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.signor\Documents\GitHub\GetSend_380\"/>
    </mc:Choice>
  </mc:AlternateContent>
  <bookViews>
    <workbookView xWindow="0" yWindow="0" windowWidth="21600" windowHeight="10320"/>
  </bookViews>
  <sheets>
    <sheet name="GetSend_380" sheetId="1" r:id="rId1"/>
    <sheet name="Dummy_Transmitters" sheetId="7" r:id="rId2"/>
    <sheet name="IO_Block_to_be_Inactive" sheetId="8" r:id="rId3"/>
  </sheets>
  <functionGroups builtInGroupCount="18"/>
  <definedNames>
    <definedName name="_xlnm._FilterDatabase" localSheetId="2" hidden="1">IO_Block_to_be_Inactive!$B$1:$G$1742</definedName>
    <definedName name="DI">Dummy_Transmitters!$C:$D</definedName>
    <definedName name="DI_Source">IO_Block_to_be_Inactive!$B$1:$G$1742</definedName>
    <definedName name="FirstColumn">GetSend_380!$D$2</definedName>
    <definedName name="FirstLine">GetSend_380!$C$2</definedName>
    <definedName name="IpAddress">GetSend_380!$A$2</definedName>
    <definedName name="Port">GetSend_380!$B$2</definedName>
  </definedNames>
  <calcPr calcId="152511"/>
</workbook>
</file>

<file path=xl/calcChain.xml><?xml version="1.0" encoding="utf-8"?>
<calcChain xmlns="http://schemas.openxmlformats.org/spreadsheetml/2006/main">
  <c r="S11" i="1" l="1"/>
  <c r="S12" i="1"/>
  <c r="S16" i="1"/>
  <c r="S22" i="1"/>
  <c r="S23" i="1"/>
  <c r="S24" i="1"/>
  <c r="S25" i="1"/>
  <c r="S26" i="1"/>
  <c r="S27" i="1"/>
  <c r="S29" i="1"/>
  <c r="S30" i="1"/>
  <c r="S97" i="1"/>
  <c r="S100" i="1"/>
  <c r="S101" i="1"/>
  <c r="S102" i="1"/>
  <c r="S103" i="1"/>
  <c r="S104" i="1"/>
  <c r="S105" i="1"/>
  <c r="S122" i="1"/>
  <c r="S123" i="1"/>
  <c r="S124" i="1"/>
  <c r="S125" i="1"/>
  <c r="S126" i="1"/>
  <c r="S127" i="1"/>
  <c r="S130" i="1"/>
  <c r="S131" i="1"/>
  <c r="S132" i="1"/>
  <c r="S133" i="1"/>
  <c r="S134" i="1"/>
  <c r="S135" i="1"/>
  <c r="S138" i="1"/>
  <c r="S139" i="1"/>
  <c r="S140" i="1"/>
  <c r="S141" i="1"/>
  <c r="S142" i="1"/>
  <c r="S143" i="1"/>
  <c r="S151" i="1"/>
  <c r="S152" i="1"/>
  <c r="S153" i="1"/>
  <c r="S154" i="1"/>
  <c r="S155" i="1"/>
  <c r="S156" i="1"/>
  <c r="S165" i="1"/>
  <c r="S166" i="1"/>
  <c r="S170" i="1"/>
  <c r="S171" i="1"/>
  <c r="S173" i="1"/>
  <c r="S174" i="1"/>
  <c r="S175" i="1"/>
  <c r="S176" i="1"/>
  <c r="S179" i="1"/>
  <c r="S181" i="1"/>
  <c r="S182" i="1"/>
  <c r="S184" i="1"/>
  <c r="S185" i="1"/>
  <c r="S186" i="1"/>
  <c r="S187" i="1"/>
  <c r="S192" i="1"/>
  <c r="S194" i="1"/>
  <c r="S195" i="1"/>
  <c r="S197" i="1"/>
  <c r="S198" i="1"/>
  <c r="S199" i="1"/>
  <c r="S200" i="1"/>
  <c r="S205" i="1"/>
  <c r="S206" i="1"/>
  <c r="S208" i="1"/>
  <c r="S209" i="1"/>
  <c r="S211" i="1"/>
  <c r="S212" i="1"/>
  <c r="S214" i="1"/>
  <c r="S217" i="1"/>
  <c r="S218" i="1"/>
  <c r="S219" i="1"/>
  <c r="S220" i="1"/>
  <c r="S221" i="1"/>
  <c r="S222" i="1"/>
  <c r="S224" i="1"/>
  <c r="S225" i="1"/>
  <c r="S226" i="1"/>
  <c r="S227" i="1"/>
  <c r="S228" i="1"/>
  <c r="S232" i="1"/>
  <c r="S233" i="1"/>
  <c r="S263" i="1"/>
  <c r="S264" i="1"/>
  <c r="S265" i="1"/>
  <c r="S266" i="1"/>
  <c r="S277" i="1"/>
  <c r="S278" i="1"/>
  <c r="S284" i="1"/>
  <c r="S285" i="1"/>
  <c r="S290" i="1"/>
  <c r="S291" i="1"/>
  <c r="S293" i="1"/>
  <c r="S294" i="1"/>
  <c r="S297" i="1"/>
  <c r="S298" i="1"/>
  <c r="S299" i="1"/>
  <c r="S300" i="1"/>
  <c r="S303" i="1"/>
  <c r="S304" i="1"/>
  <c r="S310" i="1"/>
  <c r="S311" i="1"/>
  <c r="S312" i="1"/>
  <c r="S313" i="1"/>
  <c r="S316" i="1"/>
  <c r="S317" i="1"/>
  <c r="S323" i="1"/>
  <c r="S324" i="1"/>
  <c r="S325" i="1"/>
  <c r="S326" i="1"/>
  <c r="S329" i="1"/>
  <c r="S330" i="1"/>
  <c r="S335" i="1"/>
  <c r="S337" i="1"/>
  <c r="S342" i="1"/>
  <c r="S343" i="1"/>
  <c r="S344" i="1"/>
  <c r="S345" i="1"/>
  <c r="S346" i="1"/>
  <c r="S347" i="1"/>
  <c r="S348" i="1"/>
  <c r="S351" i="1"/>
  <c r="S352" i="1"/>
  <c r="S353" i="1"/>
  <c r="S372" i="1"/>
  <c r="S405" i="1"/>
  <c r="S406" i="1"/>
  <c r="S408" i="1"/>
  <c r="S409" i="1"/>
  <c r="S410" i="1"/>
  <c r="S411" i="1"/>
  <c r="S412" i="1"/>
  <c r="S414" i="1"/>
  <c r="S415" i="1"/>
  <c r="S418" i="1"/>
  <c r="S419" i="1"/>
  <c r="S420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R11" i="1"/>
  <c r="R12" i="1"/>
  <c r="R16" i="1"/>
  <c r="R22" i="1"/>
  <c r="R23" i="1"/>
  <c r="R24" i="1"/>
  <c r="R25" i="1"/>
  <c r="R26" i="1"/>
  <c r="R27" i="1"/>
  <c r="R29" i="1"/>
  <c r="R30" i="1"/>
  <c r="R97" i="1"/>
  <c r="R100" i="1"/>
  <c r="R101" i="1"/>
  <c r="R102" i="1"/>
  <c r="R103" i="1"/>
  <c r="R104" i="1"/>
  <c r="R105" i="1"/>
  <c r="R122" i="1"/>
  <c r="R123" i="1"/>
  <c r="R124" i="1"/>
  <c r="R125" i="1"/>
  <c r="R126" i="1"/>
  <c r="R127" i="1"/>
  <c r="R130" i="1"/>
  <c r="R131" i="1"/>
  <c r="R132" i="1"/>
  <c r="R133" i="1"/>
  <c r="R134" i="1"/>
  <c r="R135" i="1"/>
  <c r="R138" i="1"/>
  <c r="R139" i="1"/>
  <c r="R140" i="1"/>
  <c r="R141" i="1"/>
  <c r="R142" i="1"/>
  <c r="R143" i="1"/>
  <c r="R151" i="1"/>
  <c r="R152" i="1"/>
  <c r="R153" i="1"/>
  <c r="R154" i="1"/>
  <c r="R155" i="1"/>
  <c r="R156" i="1"/>
  <c r="R165" i="1"/>
  <c r="R166" i="1"/>
  <c r="R170" i="1"/>
  <c r="R171" i="1"/>
  <c r="R173" i="1"/>
  <c r="R174" i="1"/>
  <c r="R175" i="1"/>
  <c r="R176" i="1"/>
  <c r="R179" i="1"/>
  <c r="R181" i="1"/>
  <c r="R182" i="1"/>
  <c r="R184" i="1"/>
  <c r="R185" i="1"/>
  <c r="R186" i="1"/>
  <c r="R187" i="1"/>
  <c r="R192" i="1"/>
  <c r="R194" i="1"/>
  <c r="R195" i="1"/>
  <c r="R197" i="1"/>
  <c r="R198" i="1"/>
  <c r="R199" i="1"/>
  <c r="R200" i="1"/>
  <c r="R205" i="1"/>
  <c r="R206" i="1"/>
  <c r="R208" i="1"/>
  <c r="R209" i="1"/>
  <c r="R211" i="1"/>
  <c r="R212" i="1"/>
  <c r="R214" i="1"/>
  <c r="R217" i="1"/>
  <c r="R218" i="1"/>
  <c r="R219" i="1"/>
  <c r="R220" i="1"/>
  <c r="R221" i="1"/>
  <c r="R222" i="1"/>
  <c r="R224" i="1"/>
  <c r="R225" i="1"/>
  <c r="R226" i="1"/>
  <c r="R227" i="1"/>
  <c r="R228" i="1"/>
  <c r="R232" i="1"/>
  <c r="R233" i="1"/>
  <c r="R263" i="1"/>
  <c r="R264" i="1"/>
  <c r="R265" i="1"/>
  <c r="R266" i="1"/>
  <c r="R277" i="1"/>
  <c r="R278" i="1"/>
  <c r="R284" i="1"/>
  <c r="R285" i="1"/>
  <c r="R290" i="1"/>
  <c r="R291" i="1"/>
  <c r="R293" i="1"/>
  <c r="R294" i="1"/>
  <c r="R297" i="1"/>
  <c r="R298" i="1"/>
  <c r="R299" i="1"/>
  <c r="R300" i="1"/>
  <c r="R303" i="1"/>
  <c r="R304" i="1"/>
  <c r="R310" i="1"/>
  <c r="R311" i="1"/>
  <c r="R312" i="1"/>
  <c r="R313" i="1"/>
  <c r="R316" i="1"/>
  <c r="R317" i="1"/>
  <c r="R323" i="1"/>
  <c r="R324" i="1"/>
  <c r="R325" i="1"/>
  <c r="R326" i="1"/>
  <c r="R329" i="1"/>
  <c r="R330" i="1"/>
  <c r="R335" i="1"/>
  <c r="R337" i="1"/>
  <c r="R342" i="1"/>
  <c r="R343" i="1"/>
  <c r="R344" i="1"/>
  <c r="R345" i="1"/>
  <c r="R346" i="1"/>
  <c r="R347" i="1"/>
  <c r="R348" i="1"/>
  <c r="R351" i="1"/>
  <c r="R352" i="1"/>
  <c r="R353" i="1"/>
  <c r="R372" i="1"/>
  <c r="R405" i="1"/>
  <c r="R406" i="1"/>
  <c r="R408" i="1"/>
  <c r="R409" i="1"/>
  <c r="R410" i="1"/>
  <c r="R411" i="1"/>
  <c r="R412" i="1"/>
  <c r="R414" i="1"/>
  <c r="R415" i="1"/>
  <c r="R418" i="1"/>
  <c r="R419" i="1"/>
  <c r="R420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S9" i="1"/>
  <c r="S13" i="1"/>
  <c r="S17" i="1"/>
  <c r="S21" i="1"/>
  <c r="S33" i="1"/>
  <c r="S37" i="1"/>
  <c r="S41" i="1"/>
  <c r="S45" i="1"/>
  <c r="S49" i="1"/>
  <c r="S53" i="1"/>
  <c r="S57" i="1"/>
  <c r="S61" i="1"/>
  <c r="S65" i="1"/>
  <c r="S69" i="1"/>
  <c r="S73" i="1"/>
  <c r="S77" i="1"/>
  <c r="S81" i="1"/>
  <c r="S85" i="1"/>
  <c r="S89" i="1"/>
  <c r="S93" i="1"/>
  <c r="S109" i="1"/>
  <c r="S113" i="1"/>
  <c r="S117" i="1"/>
  <c r="S121" i="1"/>
  <c r="S129" i="1"/>
  <c r="S137" i="1"/>
  <c r="S145" i="1"/>
  <c r="S149" i="1"/>
  <c r="S157" i="1"/>
  <c r="S161" i="1"/>
  <c r="S169" i="1"/>
  <c r="S177" i="1"/>
  <c r="S189" i="1"/>
  <c r="S193" i="1"/>
  <c r="S201" i="1"/>
  <c r="S213" i="1"/>
  <c r="S229" i="1"/>
  <c r="S237" i="1"/>
  <c r="S241" i="1"/>
  <c r="S245" i="1"/>
  <c r="S249" i="1"/>
  <c r="S253" i="1"/>
  <c r="S257" i="1"/>
  <c r="S261" i="1"/>
  <c r="S269" i="1"/>
  <c r="S273" i="1"/>
  <c r="S281" i="1"/>
  <c r="S289" i="1"/>
  <c r="S301" i="1"/>
  <c r="S305" i="1"/>
  <c r="S309" i="1"/>
  <c r="S321" i="1"/>
  <c r="S333" i="1"/>
  <c r="S341" i="1"/>
  <c r="S349" i="1"/>
  <c r="S357" i="1"/>
  <c r="S361" i="1"/>
  <c r="S365" i="1"/>
  <c r="S369" i="1"/>
  <c r="S373" i="1"/>
  <c r="S377" i="1"/>
  <c r="S381" i="1"/>
  <c r="S385" i="1"/>
  <c r="S389" i="1"/>
  <c r="S393" i="1"/>
  <c r="S397" i="1"/>
  <c r="S401" i="1"/>
  <c r="S413" i="1"/>
  <c r="S417" i="1"/>
  <c r="S421" i="1"/>
  <c r="S10" i="1"/>
  <c r="S14" i="1"/>
  <c r="S18" i="1"/>
  <c r="S34" i="1"/>
  <c r="S38" i="1"/>
  <c r="S42" i="1"/>
  <c r="S46" i="1"/>
  <c r="S50" i="1"/>
  <c r="S54" i="1"/>
  <c r="S58" i="1"/>
  <c r="S62" i="1"/>
  <c r="S66" i="1"/>
  <c r="S70" i="1"/>
  <c r="S74" i="1"/>
  <c r="S78" i="1"/>
  <c r="S82" i="1"/>
  <c r="S86" i="1"/>
  <c r="S90" i="1"/>
  <c r="S94" i="1"/>
  <c r="S98" i="1"/>
  <c r="S106" i="1"/>
  <c r="S110" i="1"/>
  <c r="S114" i="1"/>
  <c r="S118" i="1"/>
  <c r="S146" i="1"/>
  <c r="S150" i="1"/>
  <c r="S158" i="1"/>
  <c r="S162" i="1"/>
  <c r="S178" i="1"/>
  <c r="S190" i="1"/>
  <c r="S202" i="1"/>
  <c r="S210" i="1"/>
  <c r="S230" i="1"/>
  <c r="S234" i="1"/>
  <c r="S238" i="1"/>
  <c r="S242" i="1"/>
  <c r="S246" i="1"/>
  <c r="S250" i="1"/>
  <c r="S254" i="1"/>
  <c r="S258" i="1"/>
  <c r="S262" i="1"/>
  <c r="S270" i="1"/>
  <c r="S274" i="1"/>
  <c r="S282" i="1"/>
  <c r="S286" i="1"/>
  <c r="S302" i="1"/>
  <c r="S306" i="1"/>
  <c r="S314" i="1"/>
  <c r="S318" i="1"/>
  <c r="S322" i="1"/>
  <c r="S334" i="1"/>
  <c r="S338" i="1"/>
  <c r="S350" i="1"/>
  <c r="S354" i="1"/>
  <c r="S358" i="1"/>
  <c r="S362" i="1"/>
  <c r="S366" i="1"/>
  <c r="S19" i="1"/>
  <c r="S28" i="1"/>
  <c r="S32" i="1"/>
  <c r="S40" i="1"/>
  <c r="S48" i="1"/>
  <c r="S56" i="1"/>
  <c r="S64" i="1"/>
  <c r="S72" i="1"/>
  <c r="S80" i="1"/>
  <c r="S88" i="1"/>
  <c r="S96" i="1"/>
  <c r="S112" i="1"/>
  <c r="S120" i="1"/>
  <c r="S163" i="1"/>
  <c r="S167" i="1"/>
  <c r="S172" i="1"/>
  <c r="S203" i="1"/>
  <c r="S207" i="1"/>
  <c r="S231" i="1"/>
  <c r="S236" i="1"/>
  <c r="S244" i="1"/>
  <c r="S252" i="1"/>
  <c r="S260" i="1"/>
  <c r="S272" i="1"/>
  <c r="S327" i="1"/>
  <c r="S331" i="1"/>
  <c r="S360" i="1"/>
  <c r="S368" i="1"/>
  <c r="S374" i="1"/>
  <c r="S379" i="1"/>
  <c r="S384" i="1"/>
  <c r="S390" i="1"/>
  <c r="S395" i="1"/>
  <c r="S400" i="1"/>
  <c r="S20" i="1"/>
  <c r="S35" i="1"/>
  <c r="S43" i="1"/>
  <c r="S51" i="1"/>
  <c r="S59" i="1"/>
  <c r="S67" i="1"/>
  <c r="S75" i="1"/>
  <c r="S83" i="1"/>
  <c r="S91" i="1"/>
  <c r="S107" i="1"/>
  <c r="S115" i="1"/>
  <c r="S144" i="1"/>
  <c r="S164" i="1"/>
  <c r="S168" i="1"/>
  <c r="S183" i="1"/>
  <c r="S204" i="1"/>
  <c r="S239" i="1"/>
  <c r="S247" i="1"/>
  <c r="S255" i="1"/>
  <c r="S267" i="1"/>
  <c r="S275" i="1"/>
  <c r="S279" i="1"/>
  <c r="S295" i="1"/>
  <c r="S307" i="1"/>
  <c r="S328" i="1"/>
  <c r="S332" i="1"/>
  <c r="S339" i="1"/>
  <c r="S355" i="1"/>
  <c r="S363" i="1"/>
  <c r="S370" i="1"/>
  <c r="S375" i="1"/>
  <c r="S380" i="1"/>
  <c r="S386" i="1"/>
  <c r="S391" i="1"/>
  <c r="S396" i="1"/>
  <c r="S402" i="1"/>
  <c r="S15" i="1"/>
  <c r="S36" i="1"/>
  <c r="S44" i="1"/>
  <c r="S52" i="1"/>
  <c r="S60" i="1"/>
  <c r="S68" i="1"/>
  <c r="S76" i="1"/>
  <c r="S84" i="1"/>
  <c r="S92" i="1"/>
  <c r="S99" i="1"/>
  <c r="S108" i="1"/>
  <c r="S116" i="1"/>
  <c r="S136" i="1"/>
  <c r="S147" i="1"/>
  <c r="S159" i="1"/>
  <c r="S180" i="1"/>
  <c r="S188" i="1"/>
  <c r="S215" i="1"/>
  <c r="S223" i="1"/>
  <c r="S240" i="1"/>
  <c r="S248" i="1"/>
  <c r="S256" i="1"/>
  <c r="S268" i="1"/>
  <c r="S276" i="1"/>
  <c r="S280" i="1"/>
  <c r="S287" i="1"/>
  <c r="S292" i="1"/>
  <c r="S296" i="1"/>
  <c r="S308" i="1"/>
  <c r="S319" i="1"/>
  <c r="S340" i="1"/>
  <c r="S356" i="1"/>
  <c r="S364" i="1"/>
  <c r="S371" i="1"/>
  <c r="S376" i="1"/>
  <c r="S382" i="1"/>
  <c r="S387" i="1"/>
  <c r="S392" i="1"/>
  <c r="S398" i="1"/>
  <c r="S403" i="1"/>
  <c r="S407" i="1"/>
  <c r="S416" i="1"/>
  <c r="S8" i="1"/>
  <c r="S31" i="1"/>
  <c r="S39" i="1"/>
  <c r="S47" i="1"/>
  <c r="S55" i="1"/>
  <c r="S63" i="1"/>
  <c r="S71" i="1"/>
  <c r="S79" i="1"/>
  <c r="S87" i="1"/>
  <c r="S95" i="1"/>
  <c r="S111" i="1"/>
  <c r="S119" i="1"/>
  <c r="S128" i="1"/>
  <c r="S148" i="1"/>
  <c r="S160" i="1"/>
  <c r="S191" i="1"/>
  <c r="S196" i="1"/>
  <c r="S216" i="1"/>
  <c r="S235" i="1"/>
  <c r="S243" i="1"/>
  <c r="S251" i="1"/>
  <c r="S259" i="1"/>
  <c r="S271" i="1"/>
  <c r="S283" i="1"/>
  <c r="S288" i="1"/>
  <c r="S315" i="1"/>
  <c r="S320" i="1"/>
  <c r="S336" i="1"/>
  <c r="S359" i="1"/>
  <c r="S367" i="1"/>
  <c r="S378" i="1"/>
  <c r="S383" i="1"/>
  <c r="S388" i="1"/>
  <c r="S394" i="1"/>
  <c r="S399" i="1"/>
  <c r="S404" i="1"/>
  <c r="S7" i="1"/>
  <c r="R8" i="1"/>
  <c r="R20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8" i="1"/>
  <c r="R112" i="1"/>
  <c r="R116" i="1"/>
  <c r="R120" i="1"/>
  <c r="R128" i="1"/>
  <c r="R136" i="1"/>
  <c r="R144" i="1"/>
  <c r="R148" i="1"/>
  <c r="R160" i="1"/>
  <c r="R164" i="1"/>
  <c r="R168" i="1"/>
  <c r="R172" i="1"/>
  <c r="R180" i="1"/>
  <c r="R188" i="1"/>
  <c r="R196" i="1"/>
  <c r="R204" i="1"/>
  <c r="R216" i="1"/>
  <c r="R236" i="1"/>
  <c r="R240" i="1"/>
  <c r="R244" i="1"/>
  <c r="R248" i="1"/>
  <c r="R252" i="1"/>
  <c r="R256" i="1"/>
  <c r="R260" i="1"/>
  <c r="R268" i="1"/>
  <c r="R272" i="1"/>
  <c r="R276" i="1"/>
  <c r="R280" i="1"/>
  <c r="R288" i="1"/>
  <c r="R292" i="1"/>
  <c r="R296" i="1"/>
  <c r="R308" i="1"/>
  <c r="R320" i="1"/>
  <c r="R328" i="1"/>
  <c r="R332" i="1"/>
  <c r="R336" i="1"/>
  <c r="R340" i="1"/>
  <c r="R356" i="1"/>
  <c r="R360" i="1"/>
  <c r="R364" i="1"/>
  <c r="R368" i="1"/>
  <c r="R376" i="1"/>
  <c r="R380" i="1"/>
  <c r="R384" i="1"/>
  <c r="R388" i="1"/>
  <c r="R392" i="1"/>
  <c r="R396" i="1"/>
  <c r="R400" i="1"/>
  <c r="R404" i="1"/>
  <c r="R416" i="1"/>
  <c r="R9" i="1"/>
  <c r="R13" i="1"/>
  <c r="R17" i="1"/>
  <c r="R21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109" i="1"/>
  <c r="R113" i="1"/>
  <c r="R117" i="1"/>
  <c r="R121" i="1"/>
  <c r="R129" i="1"/>
  <c r="R137" i="1"/>
  <c r="R145" i="1"/>
  <c r="R149" i="1"/>
  <c r="R157" i="1"/>
  <c r="R161" i="1"/>
  <c r="R169" i="1"/>
  <c r="R177" i="1"/>
  <c r="R189" i="1"/>
  <c r="R193" i="1"/>
  <c r="R201" i="1"/>
  <c r="R213" i="1"/>
  <c r="R229" i="1"/>
  <c r="R237" i="1"/>
  <c r="R241" i="1"/>
  <c r="R245" i="1"/>
  <c r="R249" i="1"/>
  <c r="R253" i="1"/>
  <c r="R257" i="1"/>
  <c r="R261" i="1"/>
  <c r="R269" i="1"/>
  <c r="R273" i="1"/>
  <c r="R281" i="1"/>
  <c r="R289" i="1"/>
  <c r="R301" i="1"/>
  <c r="R305" i="1"/>
  <c r="R309" i="1"/>
  <c r="R321" i="1"/>
  <c r="R333" i="1"/>
  <c r="R341" i="1"/>
  <c r="R349" i="1"/>
  <c r="R357" i="1"/>
  <c r="R361" i="1"/>
  <c r="R10" i="1"/>
  <c r="R14" i="1"/>
  <c r="R18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6" i="1"/>
  <c r="R110" i="1"/>
  <c r="R114" i="1"/>
  <c r="R118" i="1"/>
  <c r="R146" i="1"/>
  <c r="R150" i="1"/>
  <c r="R158" i="1"/>
  <c r="R162" i="1"/>
  <c r="R178" i="1"/>
  <c r="R190" i="1"/>
  <c r="R202" i="1"/>
  <c r="R210" i="1"/>
  <c r="R230" i="1"/>
  <c r="R234" i="1"/>
  <c r="R238" i="1"/>
  <c r="R242" i="1"/>
  <c r="R246" i="1"/>
  <c r="R250" i="1"/>
  <c r="R254" i="1"/>
  <c r="R258" i="1"/>
  <c r="R262" i="1"/>
  <c r="R270" i="1"/>
  <c r="R274" i="1"/>
  <c r="R282" i="1"/>
  <c r="R286" i="1"/>
  <c r="R302" i="1"/>
  <c r="R306" i="1"/>
  <c r="R314" i="1"/>
  <c r="R318" i="1"/>
  <c r="R322" i="1"/>
  <c r="R334" i="1"/>
  <c r="R338" i="1"/>
  <c r="R350" i="1"/>
  <c r="R354" i="1"/>
  <c r="R358" i="1"/>
  <c r="R362" i="1"/>
  <c r="R366" i="1"/>
  <c r="R370" i="1"/>
  <c r="R374" i="1"/>
  <c r="R378" i="1"/>
  <c r="R382" i="1"/>
  <c r="R386" i="1"/>
  <c r="R390" i="1"/>
  <c r="R394" i="1"/>
  <c r="R398" i="1"/>
  <c r="R402" i="1"/>
  <c r="R15" i="1"/>
  <c r="R19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7" i="1"/>
  <c r="R111" i="1"/>
  <c r="R115" i="1"/>
  <c r="R119" i="1"/>
  <c r="R147" i="1"/>
  <c r="R159" i="1"/>
  <c r="R163" i="1"/>
  <c r="R167" i="1"/>
  <c r="R183" i="1"/>
  <c r="R191" i="1"/>
  <c r="R203" i="1"/>
  <c r="R207" i="1"/>
  <c r="R215" i="1"/>
  <c r="R223" i="1"/>
  <c r="R231" i="1"/>
  <c r="R235" i="1"/>
  <c r="R239" i="1"/>
  <c r="R243" i="1"/>
  <c r="R247" i="1"/>
  <c r="R251" i="1"/>
  <c r="R255" i="1"/>
  <c r="R259" i="1"/>
  <c r="R267" i="1"/>
  <c r="R271" i="1"/>
  <c r="R275" i="1"/>
  <c r="R279" i="1"/>
  <c r="R283" i="1"/>
  <c r="R287" i="1"/>
  <c r="R295" i="1"/>
  <c r="R307" i="1"/>
  <c r="R315" i="1"/>
  <c r="R319" i="1"/>
  <c r="R327" i="1"/>
  <c r="R331" i="1"/>
  <c r="R339" i="1"/>
  <c r="R355" i="1"/>
  <c r="R359" i="1"/>
  <c r="R363" i="1"/>
  <c r="R367" i="1"/>
  <c r="R371" i="1"/>
  <c r="R375" i="1"/>
  <c r="R365" i="1"/>
  <c r="R377" i="1"/>
  <c r="R385" i="1"/>
  <c r="R393" i="1"/>
  <c r="R401" i="1"/>
  <c r="R407" i="1"/>
  <c r="R369" i="1"/>
  <c r="R379" i="1"/>
  <c r="R387" i="1"/>
  <c r="R395" i="1"/>
  <c r="R403" i="1"/>
  <c r="R417" i="1"/>
  <c r="R421" i="1"/>
  <c r="R381" i="1"/>
  <c r="R397" i="1"/>
  <c r="R373" i="1"/>
  <c r="R383" i="1"/>
  <c r="R391" i="1"/>
  <c r="R399" i="1"/>
  <c r="R389" i="1"/>
  <c r="R413" i="1"/>
  <c r="R7" i="1"/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7" i="1"/>
  <c r="H24" i="1" l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2" i="7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P29" i="1"/>
  <c r="P93" i="1"/>
  <c r="P157" i="1"/>
  <c r="P221" i="1"/>
  <c r="P285" i="1"/>
  <c r="P349" i="1"/>
  <c r="P413" i="1"/>
  <c r="P34" i="1"/>
  <c r="P39" i="1"/>
  <c r="P142" i="1"/>
  <c r="P227" i="1"/>
  <c r="P312" i="1"/>
  <c r="P398" i="1"/>
  <c r="P48" i="1"/>
  <c r="P148" i="1"/>
  <c r="P234" i="1"/>
  <c r="P319" i="1"/>
  <c r="P404" i="1"/>
  <c r="P59" i="1"/>
  <c r="P155" i="1"/>
  <c r="P240" i="1"/>
  <c r="P326" i="1"/>
  <c r="P411" i="1"/>
  <c r="P68" i="1"/>
  <c r="P194" i="1"/>
  <c r="P220" i="1"/>
  <c r="P247" i="1"/>
  <c r="P274" i="1"/>
  <c r="P22" i="1"/>
  <c r="P49" i="1"/>
  <c r="P113" i="1"/>
  <c r="P177" i="1"/>
  <c r="P37" i="1"/>
  <c r="P117" i="1"/>
  <c r="P233" i="1"/>
  <c r="P321" i="1"/>
  <c r="P405" i="1"/>
  <c r="P46" i="1"/>
  <c r="P104" i="1"/>
  <c r="P216" i="1"/>
  <c r="P328" i="1"/>
  <c r="P446" i="1"/>
  <c r="P138" i="1"/>
  <c r="P250" i="1"/>
  <c r="P367" i="1"/>
  <c r="P43" i="1"/>
  <c r="P171" i="1"/>
  <c r="P288" i="1"/>
  <c r="P400" i="1"/>
  <c r="P92" i="1"/>
  <c r="P386" i="1"/>
  <c r="P204" i="1"/>
  <c r="P338" i="1"/>
  <c r="P13" i="1"/>
  <c r="P121" i="1"/>
  <c r="P241" i="1"/>
  <c r="P325" i="1"/>
  <c r="P409" i="1"/>
  <c r="P54" i="1"/>
  <c r="P110" i="1"/>
  <c r="P222" i="1"/>
  <c r="P339" i="1"/>
  <c r="P451" i="1"/>
  <c r="P143" i="1"/>
  <c r="P260" i="1"/>
  <c r="P372" i="1"/>
  <c r="P51" i="1"/>
  <c r="P182" i="1"/>
  <c r="P294" i="1"/>
  <c r="P406" i="1"/>
  <c r="P103" i="1"/>
  <c r="P407" i="1"/>
  <c r="P226" i="1"/>
  <c r="P380" i="1"/>
  <c r="P12" i="1"/>
  <c r="P133" i="1"/>
  <c r="P245" i="1"/>
  <c r="P329" i="1"/>
  <c r="P417" i="1"/>
  <c r="P58" i="1"/>
  <c r="P115" i="1"/>
  <c r="P232" i="1"/>
  <c r="P344" i="1"/>
  <c r="P456" i="1"/>
  <c r="P154" i="1"/>
  <c r="P266" i="1"/>
  <c r="P378" i="1"/>
  <c r="P67" i="1"/>
  <c r="P187" i="1"/>
  <c r="P299" i="1"/>
  <c r="P416" i="1"/>
  <c r="P108" i="1"/>
  <c r="P428" i="1"/>
  <c r="P268" i="1"/>
  <c r="P402" i="1"/>
  <c r="P11" i="1"/>
  <c r="P169" i="1"/>
  <c r="P465" i="1"/>
  <c r="P408" i="1"/>
  <c r="P442" i="1"/>
  <c r="P44" i="1"/>
  <c r="P20" i="1"/>
  <c r="P42" i="1"/>
  <c r="P435" i="1"/>
  <c r="P35" i="1"/>
  <c r="P84" i="1"/>
  <c r="P15" i="1"/>
  <c r="P62" i="1"/>
  <c r="P467" i="1"/>
  <c r="P75" i="1"/>
  <c r="P114" i="1"/>
  <c r="P9" i="1"/>
  <c r="P86" i="1"/>
  <c r="P64" i="1"/>
  <c r="P107" i="1"/>
  <c r="P146" i="1"/>
  <c r="P125" i="1"/>
  <c r="P253" i="1"/>
  <c r="P381" i="1"/>
  <c r="P66" i="1"/>
  <c r="P184" i="1"/>
  <c r="P355" i="1"/>
  <c r="P106" i="1"/>
  <c r="P276" i="1"/>
  <c r="P447" i="1"/>
  <c r="P112" i="1"/>
  <c r="P283" i="1"/>
  <c r="P45" i="1"/>
  <c r="P109" i="1"/>
  <c r="P173" i="1"/>
  <c r="P237" i="1"/>
  <c r="P301" i="1"/>
  <c r="P365" i="1"/>
  <c r="P429" i="1"/>
  <c r="P50" i="1"/>
  <c r="P71" i="1"/>
  <c r="P163" i="1"/>
  <c r="P248" i="1"/>
  <c r="P334" i="1"/>
  <c r="P419" i="1"/>
  <c r="P80" i="1"/>
  <c r="P170" i="1"/>
  <c r="P255" i="1"/>
  <c r="P340" i="1"/>
  <c r="P426" i="1"/>
  <c r="P91" i="1"/>
  <c r="P176" i="1"/>
  <c r="P262" i="1"/>
  <c r="P347" i="1"/>
  <c r="P432" i="1"/>
  <c r="P98" i="1"/>
  <c r="P279" i="1"/>
  <c r="P306" i="1"/>
  <c r="P332" i="1"/>
  <c r="P359" i="1"/>
  <c r="P18" i="1"/>
  <c r="P65" i="1"/>
  <c r="P129" i="1"/>
  <c r="P193" i="1"/>
  <c r="P41" i="1"/>
  <c r="P149" i="1"/>
  <c r="P257" i="1"/>
  <c r="P341" i="1"/>
  <c r="P425" i="1"/>
  <c r="P70" i="1"/>
  <c r="P131" i="1"/>
  <c r="P243" i="1"/>
  <c r="P360" i="1"/>
  <c r="P32" i="1"/>
  <c r="P164" i="1"/>
  <c r="P282" i="1"/>
  <c r="P394" i="1"/>
  <c r="P83" i="1"/>
  <c r="P203" i="1"/>
  <c r="P315" i="1"/>
  <c r="P427" i="1"/>
  <c r="P124" i="1"/>
  <c r="P178" i="1"/>
  <c r="P311" i="1"/>
  <c r="P466" i="1"/>
  <c r="P8" i="1"/>
  <c r="P153" i="1"/>
  <c r="P261" i="1"/>
  <c r="P345" i="1"/>
  <c r="P433" i="1"/>
  <c r="P74" i="1"/>
  <c r="P136" i="1"/>
  <c r="P254" i="1"/>
  <c r="P366" i="1"/>
  <c r="P40" i="1"/>
  <c r="P175" i="1"/>
  <c r="P287" i="1"/>
  <c r="P399" i="1"/>
  <c r="P96" i="1"/>
  <c r="P208" i="1"/>
  <c r="P320" i="1"/>
  <c r="P438" i="1"/>
  <c r="P130" i="1"/>
  <c r="P199" i="1"/>
  <c r="P354" i="1"/>
  <c r="P28" i="1"/>
  <c r="P7" i="1"/>
  <c r="P165" i="1"/>
  <c r="P265" i="1"/>
  <c r="P353" i="1"/>
  <c r="P437" i="1"/>
  <c r="P78" i="1"/>
  <c r="P147" i="1"/>
  <c r="P259" i="1"/>
  <c r="P371" i="1"/>
  <c r="P56" i="1"/>
  <c r="P180" i="1"/>
  <c r="P292" i="1"/>
  <c r="P410" i="1"/>
  <c r="P102" i="1"/>
  <c r="P214" i="1"/>
  <c r="P331" i="1"/>
  <c r="P443" i="1"/>
  <c r="P135" i="1"/>
  <c r="P242" i="1"/>
  <c r="P375" i="1"/>
  <c r="P27" i="1"/>
  <c r="P73" i="1"/>
  <c r="P201" i="1"/>
  <c r="P55" i="1"/>
  <c r="P100" i="1"/>
  <c r="P139" i="1"/>
  <c r="P236" i="1"/>
  <c r="P229" i="1"/>
  <c r="P94" i="1"/>
  <c r="P132" i="1"/>
  <c r="P166" i="1"/>
  <c r="P343" i="1"/>
  <c r="P249" i="1"/>
  <c r="P126" i="1"/>
  <c r="P159" i="1"/>
  <c r="P192" i="1"/>
  <c r="P156" i="1"/>
  <c r="P273" i="1"/>
  <c r="P152" i="1"/>
  <c r="P186" i="1"/>
  <c r="P224" i="1"/>
  <c r="P263" i="1"/>
  <c r="P61" i="1"/>
  <c r="P189" i="1"/>
  <c r="P317" i="1"/>
  <c r="P445" i="1"/>
  <c r="P99" i="1"/>
  <c r="P270" i="1"/>
  <c r="P440" i="1"/>
  <c r="P191" i="1"/>
  <c r="P362" i="1"/>
  <c r="P198" i="1"/>
  <c r="P368" i="1"/>
  <c r="P269" i="1"/>
  <c r="P82" i="1"/>
  <c r="P376" i="1"/>
  <c r="P298" i="1"/>
  <c r="P219" i="1"/>
  <c r="P36" i="1"/>
  <c r="P450" i="1"/>
  <c r="P188" i="1"/>
  <c r="P10" i="1"/>
  <c r="P161" i="1"/>
  <c r="P85" i="1"/>
  <c r="P297" i="1"/>
  <c r="P469" i="1"/>
  <c r="P190" i="1"/>
  <c r="P414" i="1"/>
  <c r="P223" i="1"/>
  <c r="P452" i="1"/>
  <c r="P256" i="1"/>
  <c r="P52" i="1"/>
  <c r="P412" i="1"/>
  <c r="P19" i="1"/>
  <c r="P217" i="1"/>
  <c r="P389" i="1"/>
  <c r="P79" i="1"/>
  <c r="P307" i="1"/>
  <c r="P116" i="1"/>
  <c r="P346" i="1"/>
  <c r="P150" i="1"/>
  <c r="P379" i="1"/>
  <c r="P300" i="1"/>
  <c r="P252" i="1"/>
  <c r="P101" i="1"/>
  <c r="P309" i="1"/>
  <c r="P38" i="1"/>
  <c r="P200" i="1"/>
  <c r="P430" i="1"/>
  <c r="P239" i="1"/>
  <c r="P463" i="1"/>
  <c r="P272" i="1"/>
  <c r="P76" i="1"/>
  <c r="P455" i="1"/>
  <c r="P16" i="1"/>
  <c r="P377" i="1"/>
  <c r="P330" i="1"/>
  <c r="P210" i="1"/>
  <c r="P323" i="1"/>
  <c r="P395" i="1"/>
  <c r="P421" i="1"/>
  <c r="P388" i="1"/>
  <c r="P423" i="1"/>
  <c r="P382" i="1"/>
  <c r="P448" i="1"/>
  <c r="P453" i="1"/>
  <c r="P202" i="1"/>
  <c r="P235" i="1"/>
  <c r="P464" i="1"/>
  <c r="P23" i="1"/>
  <c r="P373" i="1"/>
  <c r="P47" i="1"/>
  <c r="P95" i="1"/>
  <c r="P324" i="1"/>
  <c r="P358" i="1"/>
  <c r="P167" i="1"/>
  <c r="P105" i="1"/>
  <c r="P251" i="1"/>
  <c r="P244" i="1"/>
  <c r="P183" i="1"/>
  <c r="P310" i="1"/>
  <c r="P357" i="1"/>
  <c r="P396" i="1"/>
  <c r="P141" i="1"/>
  <c r="P468" i="1"/>
  <c r="P140" i="1"/>
  <c r="P97" i="1"/>
  <c r="P213" i="1"/>
  <c r="P63" i="1"/>
  <c r="P111" i="1"/>
  <c r="P144" i="1"/>
  <c r="P258" i="1"/>
  <c r="P89" i="1"/>
  <c r="P30" i="1"/>
  <c r="P424" i="1"/>
  <c r="P228" i="1"/>
  <c r="P267" i="1"/>
  <c r="P434" i="1"/>
  <c r="P225" i="1"/>
  <c r="P87" i="1"/>
  <c r="P122" i="1"/>
  <c r="P160" i="1"/>
  <c r="P322" i="1"/>
  <c r="P137" i="1"/>
  <c r="P363" i="1"/>
  <c r="P356" i="1"/>
  <c r="P350" i="1"/>
  <c r="P441" i="1"/>
  <c r="P25" i="1"/>
  <c r="P205" i="1"/>
  <c r="P291" i="1"/>
  <c r="P134" i="1"/>
  <c r="P364" i="1"/>
  <c r="P145" i="1"/>
  <c r="P277" i="1"/>
  <c r="P158" i="1"/>
  <c r="P196" i="1"/>
  <c r="P230" i="1"/>
  <c r="P284" i="1"/>
  <c r="P185" i="1"/>
  <c r="P31" i="1"/>
  <c r="P280" i="1"/>
  <c r="P314" i="1"/>
  <c r="P352" i="1"/>
  <c r="P460" i="1"/>
  <c r="P289" i="1"/>
  <c r="P174" i="1"/>
  <c r="P207" i="1"/>
  <c r="P246" i="1"/>
  <c r="P348" i="1"/>
  <c r="P293" i="1"/>
  <c r="P211" i="1"/>
  <c r="P337" i="1"/>
  <c r="P290" i="1"/>
  <c r="P336" i="1"/>
  <c r="P77" i="1"/>
  <c r="P333" i="1"/>
  <c r="P120" i="1"/>
  <c r="P462" i="1"/>
  <c r="P383" i="1"/>
  <c r="P304" i="1"/>
  <c r="P119" i="1"/>
  <c r="P391" i="1"/>
  <c r="P444" i="1"/>
  <c r="P81" i="1"/>
  <c r="P209" i="1"/>
  <c r="P181" i="1"/>
  <c r="P361" i="1"/>
  <c r="P90" i="1"/>
  <c r="P275" i="1"/>
  <c r="P72" i="1"/>
  <c r="P308" i="1"/>
  <c r="P118" i="1"/>
  <c r="P342" i="1"/>
  <c r="P151" i="1"/>
  <c r="P439" i="1"/>
  <c r="P57" i="1"/>
  <c r="P281" i="1"/>
  <c r="P168" i="1"/>
  <c r="P392" i="1"/>
  <c r="P431" i="1"/>
  <c r="P327" i="1"/>
  <c r="P197" i="1"/>
  <c r="P286" i="1"/>
  <c r="P128" i="1"/>
  <c r="P215" i="1"/>
  <c r="P179" i="1"/>
  <c r="P313" i="1"/>
  <c r="P238" i="1"/>
  <c r="P303" i="1"/>
  <c r="P397" i="1"/>
  <c r="P206" i="1"/>
  <c r="P127" i="1"/>
  <c r="P390" i="1"/>
  <c r="P162" i="1"/>
  <c r="P26" i="1"/>
  <c r="P33" i="1"/>
  <c r="P385" i="1"/>
  <c r="P302" i="1"/>
  <c r="P335" i="1"/>
  <c r="P374" i="1"/>
  <c r="P231" i="1"/>
  <c r="P305" i="1"/>
  <c r="P195" i="1"/>
  <c r="P458" i="1"/>
  <c r="P60" i="1"/>
  <c r="P17" i="1"/>
  <c r="P393" i="1"/>
  <c r="P318" i="1"/>
  <c r="P351" i="1"/>
  <c r="P384" i="1"/>
  <c r="P295" i="1"/>
  <c r="P296" i="1"/>
  <c r="P401" i="1"/>
  <c r="P316" i="1"/>
  <c r="P422" i="1"/>
  <c r="P415" i="1"/>
  <c r="P461" i="1"/>
  <c r="P212" i="1"/>
  <c r="P454" i="1"/>
  <c r="P418" i="1"/>
  <c r="P14" i="1"/>
  <c r="P53" i="1"/>
  <c r="P449" i="1"/>
  <c r="P387" i="1"/>
  <c r="P420" i="1"/>
  <c r="P459" i="1"/>
  <c r="P24" i="1"/>
  <c r="P369" i="1"/>
  <c r="P88" i="1"/>
  <c r="P123" i="1"/>
  <c r="P172" i="1"/>
  <c r="P69" i="1"/>
  <c r="P457" i="1"/>
  <c r="P403" i="1"/>
  <c r="P436" i="1"/>
  <c r="P470" i="1"/>
  <c r="P21" i="1"/>
  <c r="P218" i="1"/>
  <c r="P370" i="1"/>
  <c r="P278" i="1"/>
  <c r="P271" i="1"/>
  <c r="P264" i="1"/>
  <c r="F547" i="8" l="1"/>
  <c r="G547" i="8" s="1"/>
  <c r="I547" i="8" s="1"/>
  <c r="F548" i="8"/>
  <c r="G548" i="8" s="1"/>
  <c r="I548" i="8" s="1"/>
  <c r="F549" i="8"/>
  <c r="G549" i="8" s="1"/>
  <c r="I549" i="8" s="1"/>
  <c r="F550" i="8"/>
  <c r="G550" i="8" s="1"/>
  <c r="I550" i="8" s="1"/>
  <c r="F551" i="8"/>
  <c r="G551" i="8" s="1"/>
  <c r="I551" i="8" s="1"/>
  <c r="F552" i="8"/>
  <c r="G552" i="8" s="1"/>
  <c r="I552" i="8" s="1"/>
  <c r="F553" i="8"/>
  <c r="G553" i="8" s="1"/>
  <c r="I553" i="8" s="1"/>
  <c r="F554" i="8"/>
  <c r="G554" i="8" s="1"/>
  <c r="I554" i="8" s="1"/>
  <c r="F555" i="8"/>
  <c r="G555" i="8" s="1"/>
  <c r="I555" i="8" s="1"/>
  <c r="F556" i="8"/>
  <c r="G556" i="8" s="1"/>
  <c r="I556" i="8" s="1"/>
  <c r="F557" i="8"/>
  <c r="G557" i="8" s="1"/>
  <c r="I557" i="8" s="1"/>
  <c r="F558" i="8"/>
  <c r="G558" i="8" s="1"/>
  <c r="I558" i="8" s="1"/>
  <c r="F559" i="8"/>
  <c r="G559" i="8" s="1"/>
  <c r="I559" i="8" s="1"/>
  <c r="F560" i="8"/>
  <c r="G560" i="8" s="1"/>
  <c r="I560" i="8" s="1"/>
  <c r="F561" i="8"/>
  <c r="G561" i="8" s="1"/>
  <c r="I561" i="8" s="1"/>
  <c r="F407" i="8"/>
  <c r="G407" i="8" s="1"/>
  <c r="I407" i="8" s="1"/>
  <c r="F408" i="8"/>
  <c r="G408" i="8" s="1"/>
  <c r="I408" i="8" s="1"/>
  <c r="F409" i="8"/>
  <c r="G409" i="8" s="1"/>
  <c r="I409" i="8" s="1"/>
  <c r="F410" i="8"/>
  <c r="G410" i="8" s="1"/>
  <c r="I410" i="8" s="1"/>
  <c r="F411" i="8"/>
  <c r="G411" i="8" s="1"/>
  <c r="I411" i="8" s="1"/>
  <c r="F412" i="8"/>
  <c r="G412" i="8" s="1"/>
  <c r="I412" i="8" s="1"/>
  <c r="F413" i="8"/>
  <c r="G413" i="8" s="1"/>
  <c r="I413" i="8" s="1"/>
  <c r="F414" i="8"/>
  <c r="G414" i="8" s="1"/>
  <c r="I414" i="8" s="1"/>
  <c r="F415" i="8"/>
  <c r="G415" i="8" s="1"/>
  <c r="I415" i="8" s="1"/>
  <c r="F416" i="8"/>
  <c r="G416" i="8" s="1"/>
  <c r="I416" i="8" s="1"/>
  <c r="F417" i="8"/>
  <c r="G417" i="8" s="1"/>
  <c r="I417" i="8" s="1"/>
  <c r="F418" i="8"/>
  <c r="G418" i="8" s="1"/>
  <c r="I418" i="8" s="1"/>
  <c r="F419" i="8"/>
  <c r="G419" i="8" s="1"/>
  <c r="I419" i="8" s="1"/>
  <c r="F420" i="8"/>
  <c r="G420" i="8" s="1"/>
  <c r="I420" i="8" s="1"/>
  <c r="F421" i="8"/>
  <c r="G421" i="8" s="1"/>
  <c r="I421" i="8" s="1"/>
  <c r="F422" i="8"/>
  <c r="G422" i="8" s="1"/>
  <c r="I422" i="8" s="1"/>
  <c r="F423" i="8"/>
  <c r="G423" i="8" s="1"/>
  <c r="I423" i="8" s="1"/>
  <c r="F424" i="8"/>
  <c r="G424" i="8" s="1"/>
  <c r="I424" i="8" s="1"/>
  <c r="F425" i="8"/>
  <c r="G425" i="8" s="1"/>
  <c r="I425" i="8" s="1"/>
  <c r="F426" i="8"/>
  <c r="G426" i="8" s="1"/>
  <c r="I426" i="8" s="1"/>
  <c r="F427" i="8"/>
  <c r="G427" i="8" s="1"/>
  <c r="I427" i="8" s="1"/>
  <c r="F428" i="8"/>
  <c r="G428" i="8" s="1"/>
  <c r="I428" i="8" s="1"/>
  <c r="F429" i="8"/>
  <c r="G429" i="8" s="1"/>
  <c r="I429" i="8" s="1"/>
  <c r="F430" i="8"/>
  <c r="G430" i="8" s="1"/>
  <c r="I430" i="8" s="1"/>
  <c r="F431" i="8"/>
  <c r="G431" i="8" s="1"/>
  <c r="I431" i="8" s="1"/>
  <c r="F432" i="8"/>
  <c r="G432" i="8" s="1"/>
  <c r="I432" i="8" s="1"/>
  <c r="F433" i="8"/>
  <c r="G433" i="8" s="1"/>
  <c r="I433" i="8" s="1"/>
  <c r="F434" i="8"/>
  <c r="G434" i="8" s="1"/>
  <c r="I434" i="8" s="1"/>
  <c r="F435" i="8"/>
  <c r="G435" i="8" s="1"/>
  <c r="I435" i="8" s="1"/>
  <c r="F436" i="8"/>
  <c r="G436" i="8" s="1"/>
  <c r="I436" i="8" s="1"/>
  <c r="F437" i="8"/>
  <c r="G437" i="8" s="1"/>
  <c r="I437" i="8" s="1"/>
  <c r="F438" i="8"/>
  <c r="G438" i="8" s="1"/>
  <c r="I438" i="8" s="1"/>
  <c r="F439" i="8"/>
  <c r="G439" i="8" s="1"/>
  <c r="I439" i="8" s="1"/>
  <c r="F440" i="8"/>
  <c r="G440" i="8" s="1"/>
  <c r="I440" i="8" s="1"/>
  <c r="F441" i="8"/>
  <c r="G441" i="8" s="1"/>
  <c r="I441" i="8" s="1"/>
  <c r="F442" i="8"/>
  <c r="G442" i="8" s="1"/>
  <c r="I442" i="8" s="1"/>
  <c r="F443" i="8"/>
  <c r="G443" i="8" s="1"/>
  <c r="I443" i="8" s="1"/>
  <c r="F444" i="8"/>
  <c r="G444" i="8" s="1"/>
  <c r="I444" i="8" s="1"/>
  <c r="F445" i="8"/>
  <c r="G445" i="8" s="1"/>
  <c r="I445" i="8" s="1"/>
  <c r="F446" i="8"/>
  <c r="G446" i="8" s="1"/>
  <c r="I446" i="8" s="1"/>
  <c r="F447" i="8"/>
  <c r="G447" i="8" s="1"/>
  <c r="I447" i="8" s="1"/>
  <c r="F448" i="8"/>
  <c r="G448" i="8" s="1"/>
  <c r="I448" i="8" s="1"/>
  <c r="F449" i="8"/>
  <c r="G449" i="8" s="1"/>
  <c r="I449" i="8" s="1"/>
  <c r="F450" i="8"/>
  <c r="G450" i="8" s="1"/>
  <c r="I450" i="8" s="1"/>
  <c r="F451" i="8"/>
  <c r="G451" i="8" s="1"/>
  <c r="I451" i="8" s="1"/>
  <c r="F452" i="8"/>
  <c r="G452" i="8" s="1"/>
  <c r="I452" i="8" s="1"/>
  <c r="F453" i="8"/>
  <c r="G453" i="8" s="1"/>
  <c r="I453" i="8" s="1"/>
  <c r="F454" i="8"/>
  <c r="G454" i="8" s="1"/>
  <c r="I454" i="8" s="1"/>
  <c r="F455" i="8"/>
  <c r="G455" i="8" s="1"/>
  <c r="I455" i="8" s="1"/>
  <c r="F456" i="8"/>
  <c r="G456" i="8" s="1"/>
  <c r="I456" i="8" s="1"/>
  <c r="F457" i="8"/>
  <c r="G457" i="8" s="1"/>
  <c r="I457" i="8" s="1"/>
  <c r="F458" i="8"/>
  <c r="G458" i="8" s="1"/>
  <c r="I458" i="8" s="1"/>
  <c r="F459" i="8"/>
  <c r="G459" i="8" s="1"/>
  <c r="I459" i="8" s="1"/>
  <c r="F460" i="8"/>
  <c r="G460" i="8" s="1"/>
  <c r="I460" i="8" s="1"/>
  <c r="F461" i="8"/>
  <c r="G461" i="8" s="1"/>
  <c r="I461" i="8" s="1"/>
  <c r="F462" i="8"/>
  <c r="G462" i="8" s="1"/>
  <c r="I462" i="8" s="1"/>
  <c r="F463" i="8"/>
  <c r="G463" i="8" s="1"/>
  <c r="I463" i="8" s="1"/>
  <c r="F464" i="8"/>
  <c r="G464" i="8" s="1"/>
  <c r="I464" i="8" s="1"/>
  <c r="F465" i="8"/>
  <c r="G465" i="8" s="1"/>
  <c r="I465" i="8" s="1"/>
  <c r="F466" i="8"/>
  <c r="G466" i="8" s="1"/>
  <c r="I466" i="8" s="1"/>
  <c r="F467" i="8"/>
  <c r="G467" i="8" s="1"/>
  <c r="I467" i="8" s="1"/>
  <c r="F468" i="8"/>
  <c r="G468" i="8" s="1"/>
  <c r="I468" i="8" s="1"/>
  <c r="F469" i="8"/>
  <c r="G469" i="8" s="1"/>
  <c r="I469" i="8" s="1"/>
  <c r="F470" i="8"/>
  <c r="G470" i="8" s="1"/>
  <c r="I470" i="8" s="1"/>
  <c r="F471" i="8"/>
  <c r="G471" i="8" s="1"/>
  <c r="I471" i="8" s="1"/>
  <c r="F472" i="8"/>
  <c r="G472" i="8" s="1"/>
  <c r="I472" i="8" s="1"/>
  <c r="F473" i="8"/>
  <c r="G473" i="8" s="1"/>
  <c r="I473" i="8" s="1"/>
  <c r="F474" i="8"/>
  <c r="G474" i="8" s="1"/>
  <c r="I474" i="8" s="1"/>
  <c r="F475" i="8"/>
  <c r="G475" i="8" s="1"/>
  <c r="I475" i="8" s="1"/>
  <c r="F476" i="8"/>
  <c r="G476" i="8" s="1"/>
  <c r="I476" i="8" s="1"/>
  <c r="F477" i="8"/>
  <c r="G477" i="8" s="1"/>
  <c r="I477" i="8" s="1"/>
  <c r="F478" i="8"/>
  <c r="G478" i="8" s="1"/>
  <c r="I478" i="8" s="1"/>
  <c r="F479" i="8"/>
  <c r="G479" i="8" s="1"/>
  <c r="I479" i="8" s="1"/>
  <c r="F480" i="8"/>
  <c r="G480" i="8" s="1"/>
  <c r="I480" i="8" s="1"/>
  <c r="F481" i="8"/>
  <c r="G481" i="8" s="1"/>
  <c r="I481" i="8" s="1"/>
  <c r="F482" i="8"/>
  <c r="G482" i="8" s="1"/>
  <c r="I482" i="8" s="1"/>
  <c r="F483" i="8"/>
  <c r="G483" i="8" s="1"/>
  <c r="I483" i="8" s="1"/>
  <c r="F484" i="8"/>
  <c r="G484" i="8" s="1"/>
  <c r="I484" i="8" s="1"/>
  <c r="F485" i="8"/>
  <c r="G485" i="8" s="1"/>
  <c r="I485" i="8" s="1"/>
  <c r="F486" i="8"/>
  <c r="G486" i="8" s="1"/>
  <c r="I486" i="8" s="1"/>
  <c r="F487" i="8"/>
  <c r="G487" i="8" s="1"/>
  <c r="I487" i="8" s="1"/>
  <c r="F488" i="8"/>
  <c r="G488" i="8" s="1"/>
  <c r="I488" i="8" s="1"/>
  <c r="F489" i="8"/>
  <c r="G489" i="8" s="1"/>
  <c r="I489" i="8" s="1"/>
  <c r="F490" i="8"/>
  <c r="G490" i="8" s="1"/>
  <c r="I490" i="8" s="1"/>
  <c r="F491" i="8"/>
  <c r="G491" i="8" s="1"/>
  <c r="I491" i="8" s="1"/>
  <c r="F492" i="8"/>
  <c r="G492" i="8" s="1"/>
  <c r="I492" i="8" s="1"/>
  <c r="F493" i="8"/>
  <c r="G493" i="8" s="1"/>
  <c r="I493" i="8" s="1"/>
  <c r="F494" i="8"/>
  <c r="G494" i="8" s="1"/>
  <c r="I494" i="8" s="1"/>
  <c r="F495" i="8"/>
  <c r="G495" i="8" s="1"/>
  <c r="I495" i="8" s="1"/>
  <c r="F496" i="8"/>
  <c r="G496" i="8" s="1"/>
  <c r="I496" i="8" s="1"/>
  <c r="F497" i="8"/>
  <c r="G497" i="8" s="1"/>
  <c r="I497" i="8" s="1"/>
  <c r="F498" i="8"/>
  <c r="G498" i="8" s="1"/>
  <c r="I498" i="8" s="1"/>
  <c r="F499" i="8"/>
  <c r="G499" i="8" s="1"/>
  <c r="I499" i="8" s="1"/>
  <c r="F500" i="8"/>
  <c r="G500" i="8" s="1"/>
  <c r="I500" i="8" s="1"/>
  <c r="F501" i="8"/>
  <c r="G501" i="8" s="1"/>
  <c r="I501" i="8" s="1"/>
  <c r="F502" i="8"/>
  <c r="G502" i="8" s="1"/>
  <c r="I502" i="8" s="1"/>
  <c r="F503" i="8"/>
  <c r="G503" i="8" s="1"/>
  <c r="I503" i="8" s="1"/>
  <c r="F504" i="8"/>
  <c r="G504" i="8" s="1"/>
  <c r="I504" i="8" s="1"/>
  <c r="F505" i="8"/>
  <c r="G505" i="8" s="1"/>
  <c r="I505" i="8" s="1"/>
  <c r="F506" i="8"/>
  <c r="G506" i="8" s="1"/>
  <c r="I506" i="8" s="1"/>
  <c r="F507" i="8"/>
  <c r="G507" i="8" s="1"/>
  <c r="I507" i="8" s="1"/>
  <c r="F508" i="8"/>
  <c r="G508" i="8" s="1"/>
  <c r="I508" i="8" s="1"/>
  <c r="F509" i="8"/>
  <c r="G509" i="8" s="1"/>
  <c r="I509" i="8" s="1"/>
  <c r="F510" i="8"/>
  <c r="G510" i="8" s="1"/>
  <c r="I510" i="8" s="1"/>
  <c r="F511" i="8"/>
  <c r="G511" i="8" s="1"/>
  <c r="I511" i="8" s="1"/>
  <c r="F512" i="8"/>
  <c r="G512" i="8" s="1"/>
  <c r="I512" i="8" s="1"/>
  <c r="F513" i="8"/>
  <c r="G513" i="8" s="1"/>
  <c r="I513" i="8" s="1"/>
  <c r="F514" i="8"/>
  <c r="G514" i="8" s="1"/>
  <c r="I514" i="8" s="1"/>
  <c r="F515" i="8"/>
  <c r="G515" i="8" s="1"/>
  <c r="I515" i="8" s="1"/>
  <c r="F516" i="8"/>
  <c r="G516" i="8" s="1"/>
  <c r="I516" i="8" s="1"/>
  <c r="F517" i="8"/>
  <c r="G517" i="8" s="1"/>
  <c r="I517" i="8" s="1"/>
  <c r="F518" i="8"/>
  <c r="G518" i="8" s="1"/>
  <c r="I518" i="8" s="1"/>
  <c r="F519" i="8"/>
  <c r="G519" i="8" s="1"/>
  <c r="I519" i="8" s="1"/>
  <c r="F520" i="8"/>
  <c r="G520" i="8" s="1"/>
  <c r="I520" i="8" s="1"/>
  <c r="F521" i="8"/>
  <c r="G521" i="8" s="1"/>
  <c r="I521" i="8" s="1"/>
  <c r="F522" i="8"/>
  <c r="G522" i="8" s="1"/>
  <c r="I522" i="8" s="1"/>
  <c r="F523" i="8"/>
  <c r="G523" i="8" s="1"/>
  <c r="I523" i="8" s="1"/>
  <c r="F524" i="8"/>
  <c r="G524" i="8" s="1"/>
  <c r="I524" i="8" s="1"/>
  <c r="F525" i="8"/>
  <c r="G525" i="8" s="1"/>
  <c r="I525" i="8" s="1"/>
  <c r="F526" i="8"/>
  <c r="G526" i="8" s="1"/>
  <c r="I526" i="8" s="1"/>
  <c r="F527" i="8"/>
  <c r="G527" i="8" s="1"/>
  <c r="I527" i="8" s="1"/>
  <c r="F528" i="8"/>
  <c r="G528" i="8" s="1"/>
  <c r="I528" i="8" s="1"/>
  <c r="F529" i="8"/>
  <c r="G529" i="8" s="1"/>
  <c r="I529" i="8" s="1"/>
  <c r="F530" i="8"/>
  <c r="G530" i="8" s="1"/>
  <c r="I530" i="8" s="1"/>
  <c r="F531" i="8"/>
  <c r="G531" i="8" s="1"/>
  <c r="I531" i="8" s="1"/>
  <c r="F532" i="8"/>
  <c r="G532" i="8" s="1"/>
  <c r="I532" i="8" s="1"/>
  <c r="F533" i="8"/>
  <c r="G533" i="8" s="1"/>
  <c r="I533" i="8" s="1"/>
  <c r="F534" i="8"/>
  <c r="G534" i="8" s="1"/>
  <c r="I534" i="8" s="1"/>
  <c r="F535" i="8"/>
  <c r="G535" i="8" s="1"/>
  <c r="I535" i="8" s="1"/>
  <c r="F536" i="8"/>
  <c r="G536" i="8" s="1"/>
  <c r="I536" i="8" s="1"/>
  <c r="F537" i="8"/>
  <c r="G537" i="8" s="1"/>
  <c r="I537" i="8" s="1"/>
  <c r="F538" i="8"/>
  <c r="G538" i="8" s="1"/>
  <c r="I538" i="8" s="1"/>
  <c r="F539" i="8"/>
  <c r="G539" i="8" s="1"/>
  <c r="I539" i="8" s="1"/>
  <c r="F540" i="8"/>
  <c r="G540" i="8" s="1"/>
  <c r="I540" i="8" s="1"/>
  <c r="F541" i="8"/>
  <c r="G541" i="8" s="1"/>
  <c r="I541" i="8" s="1"/>
  <c r="F542" i="8"/>
  <c r="G542" i="8" s="1"/>
  <c r="I542" i="8" s="1"/>
  <c r="F543" i="8"/>
  <c r="G543" i="8" s="1"/>
  <c r="I543" i="8" s="1"/>
  <c r="F544" i="8"/>
  <c r="G544" i="8" s="1"/>
  <c r="I544" i="8" s="1"/>
  <c r="F545" i="8"/>
  <c r="G545" i="8" s="1"/>
  <c r="I545" i="8" s="1"/>
  <c r="F546" i="8"/>
  <c r="G546" i="8" s="1"/>
  <c r="I546" i="8" s="1"/>
  <c r="G7" i="1" l="1"/>
  <c r="H7" i="1"/>
  <c r="G8" i="1"/>
  <c r="H8" i="1"/>
  <c r="G9" i="1"/>
  <c r="H9" i="1"/>
  <c r="H2" i="8"/>
  <c r="F406" i="8" l="1"/>
  <c r="G406" i="8" s="1"/>
  <c r="I406" i="8" s="1"/>
  <c r="F405" i="8"/>
  <c r="G405" i="8" s="1"/>
  <c r="I405" i="8" s="1"/>
  <c r="F404" i="8"/>
  <c r="G404" i="8" s="1"/>
  <c r="I404" i="8" s="1"/>
  <c r="F403" i="8"/>
  <c r="G403" i="8" s="1"/>
  <c r="I403" i="8" s="1"/>
  <c r="F402" i="8"/>
  <c r="G402" i="8" s="1"/>
  <c r="I402" i="8" s="1"/>
  <c r="F401" i="8"/>
  <c r="G401" i="8" s="1"/>
  <c r="I401" i="8" s="1"/>
  <c r="F400" i="8"/>
  <c r="G400" i="8" s="1"/>
  <c r="I400" i="8" s="1"/>
  <c r="F399" i="8"/>
  <c r="G399" i="8" s="1"/>
  <c r="I399" i="8" s="1"/>
  <c r="F398" i="8"/>
  <c r="G398" i="8" s="1"/>
  <c r="I398" i="8" s="1"/>
  <c r="F397" i="8"/>
  <c r="G397" i="8" s="1"/>
  <c r="I397" i="8" s="1"/>
  <c r="F396" i="8"/>
  <c r="G396" i="8" s="1"/>
  <c r="I396" i="8" s="1"/>
  <c r="F395" i="8"/>
  <c r="G395" i="8" s="1"/>
  <c r="I395" i="8" s="1"/>
  <c r="F394" i="8"/>
  <c r="G394" i="8" s="1"/>
  <c r="I394" i="8" s="1"/>
  <c r="F393" i="8"/>
  <c r="G393" i="8" s="1"/>
  <c r="I393" i="8" s="1"/>
  <c r="F392" i="8"/>
  <c r="G392" i="8" s="1"/>
  <c r="I392" i="8" s="1"/>
  <c r="F391" i="8"/>
  <c r="G391" i="8" s="1"/>
  <c r="I391" i="8" s="1"/>
  <c r="F390" i="8"/>
  <c r="G390" i="8" s="1"/>
  <c r="I390" i="8" s="1"/>
  <c r="F389" i="8"/>
  <c r="G389" i="8" s="1"/>
  <c r="I389" i="8" s="1"/>
  <c r="F388" i="8"/>
  <c r="G388" i="8" s="1"/>
  <c r="I388" i="8" s="1"/>
  <c r="F387" i="8"/>
  <c r="G387" i="8" s="1"/>
  <c r="I387" i="8" s="1"/>
  <c r="F386" i="8"/>
  <c r="G386" i="8" s="1"/>
  <c r="I386" i="8" s="1"/>
  <c r="F385" i="8"/>
  <c r="G385" i="8" s="1"/>
  <c r="I385" i="8" s="1"/>
  <c r="F384" i="8"/>
  <c r="G384" i="8" s="1"/>
  <c r="I384" i="8" s="1"/>
  <c r="F383" i="8"/>
  <c r="G383" i="8" s="1"/>
  <c r="I383" i="8" s="1"/>
  <c r="F382" i="8"/>
  <c r="G382" i="8" s="1"/>
  <c r="I382" i="8" s="1"/>
  <c r="F381" i="8"/>
  <c r="G381" i="8" s="1"/>
  <c r="I381" i="8" s="1"/>
  <c r="F380" i="8"/>
  <c r="G380" i="8" s="1"/>
  <c r="I380" i="8" s="1"/>
  <c r="F379" i="8"/>
  <c r="G379" i="8" s="1"/>
  <c r="I379" i="8" s="1"/>
  <c r="F378" i="8"/>
  <c r="G378" i="8" s="1"/>
  <c r="I378" i="8" s="1"/>
  <c r="F377" i="8"/>
  <c r="G377" i="8" s="1"/>
  <c r="I377" i="8" s="1"/>
  <c r="F376" i="8"/>
  <c r="G376" i="8" s="1"/>
  <c r="I376" i="8" s="1"/>
  <c r="F375" i="8"/>
  <c r="G375" i="8" s="1"/>
  <c r="I375" i="8" s="1"/>
  <c r="F374" i="8"/>
  <c r="G374" i="8" s="1"/>
  <c r="I374" i="8" s="1"/>
  <c r="F373" i="8"/>
  <c r="G373" i="8" s="1"/>
  <c r="I373" i="8" s="1"/>
  <c r="F372" i="8"/>
  <c r="G372" i="8" s="1"/>
  <c r="I372" i="8" s="1"/>
  <c r="F371" i="8"/>
  <c r="G371" i="8" s="1"/>
  <c r="I371" i="8" s="1"/>
  <c r="F370" i="8"/>
  <c r="G370" i="8" s="1"/>
  <c r="I370" i="8" s="1"/>
  <c r="F369" i="8"/>
  <c r="G369" i="8" s="1"/>
  <c r="I369" i="8" s="1"/>
  <c r="F368" i="8"/>
  <c r="G368" i="8" s="1"/>
  <c r="I368" i="8" s="1"/>
  <c r="F367" i="8"/>
  <c r="G367" i="8" s="1"/>
  <c r="I367" i="8" s="1"/>
  <c r="F366" i="8"/>
  <c r="G366" i="8" s="1"/>
  <c r="I366" i="8" s="1"/>
  <c r="F365" i="8"/>
  <c r="G365" i="8" s="1"/>
  <c r="I365" i="8" s="1"/>
  <c r="F364" i="8"/>
  <c r="G364" i="8" s="1"/>
  <c r="I364" i="8" s="1"/>
  <c r="F363" i="8"/>
  <c r="G363" i="8" s="1"/>
  <c r="I363" i="8" s="1"/>
  <c r="F362" i="8"/>
  <c r="G362" i="8" s="1"/>
  <c r="I362" i="8" s="1"/>
  <c r="F361" i="8"/>
  <c r="G361" i="8" s="1"/>
  <c r="I361" i="8" s="1"/>
  <c r="F360" i="8"/>
  <c r="G360" i="8" s="1"/>
  <c r="I360" i="8" s="1"/>
  <c r="F359" i="8"/>
  <c r="G359" i="8" s="1"/>
  <c r="I359" i="8" s="1"/>
  <c r="F358" i="8"/>
  <c r="G358" i="8" s="1"/>
  <c r="I358" i="8" s="1"/>
  <c r="F357" i="8"/>
  <c r="G357" i="8" s="1"/>
  <c r="I357" i="8" s="1"/>
  <c r="F356" i="8"/>
  <c r="G356" i="8" s="1"/>
  <c r="I356" i="8" s="1"/>
  <c r="F355" i="8"/>
  <c r="G355" i="8" s="1"/>
  <c r="I355" i="8" s="1"/>
  <c r="F354" i="8"/>
  <c r="G354" i="8" s="1"/>
  <c r="I354" i="8" s="1"/>
  <c r="F353" i="8"/>
  <c r="G353" i="8" s="1"/>
  <c r="I353" i="8" s="1"/>
  <c r="F352" i="8"/>
  <c r="G352" i="8" s="1"/>
  <c r="I352" i="8" s="1"/>
  <c r="F351" i="8"/>
  <c r="G351" i="8" s="1"/>
  <c r="I351" i="8" s="1"/>
  <c r="F350" i="8"/>
  <c r="G350" i="8" s="1"/>
  <c r="I350" i="8" s="1"/>
  <c r="F349" i="8"/>
  <c r="G349" i="8" s="1"/>
  <c r="I349" i="8" s="1"/>
  <c r="F348" i="8"/>
  <c r="G348" i="8" s="1"/>
  <c r="I348" i="8" s="1"/>
  <c r="F347" i="8"/>
  <c r="G347" i="8" s="1"/>
  <c r="I347" i="8" s="1"/>
  <c r="F346" i="8"/>
  <c r="G346" i="8" s="1"/>
  <c r="I346" i="8" s="1"/>
  <c r="F345" i="8"/>
  <c r="G345" i="8" s="1"/>
  <c r="I345" i="8" s="1"/>
  <c r="F344" i="8"/>
  <c r="G344" i="8" s="1"/>
  <c r="I344" i="8" s="1"/>
  <c r="F343" i="8"/>
  <c r="G343" i="8" s="1"/>
  <c r="I343" i="8" s="1"/>
  <c r="F342" i="8"/>
  <c r="G342" i="8" s="1"/>
  <c r="I342" i="8" s="1"/>
  <c r="F341" i="8"/>
  <c r="G341" i="8" s="1"/>
  <c r="I341" i="8" s="1"/>
  <c r="F340" i="8"/>
  <c r="G340" i="8" s="1"/>
  <c r="I340" i="8" s="1"/>
  <c r="F339" i="8"/>
  <c r="G339" i="8" s="1"/>
  <c r="I339" i="8" s="1"/>
  <c r="F338" i="8"/>
  <c r="G338" i="8" s="1"/>
  <c r="I338" i="8" s="1"/>
  <c r="F337" i="8"/>
  <c r="G337" i="8" s="1"/>
  <c r="I337" i="8" s="1"/>
  <c r="F336" i="8"/>
  <c r="G336" i="8" s="1"/>
  <c r="I336" i="8" s="1"/>
  <c r="F335" i="8"/>
  <c r="G335" i="8" s="1"/>
  <c r="I335" i="8" s="1"/>
  <c r="F334" i="8"/>
  <c r="G334" i="8" s="1"/>
  <c r="I334" i="8" s="1"/>
  <c r="F333" i="8"/>
  <c r="G333" i="8" s="1"/>
  <c r="I333" i="8" s="1"/>
  <c r="F332" i="8"/>
  <c r="G332" i="8" s="1"/>
  <c r="I332" i="8" s="1"/>
  <c r="F331" i="8"/>
  <c r="G331" i="8" s="1"/>
  <c r="I331" i="8" s="1"/>
  <c r="F330" i="8"/>
  <c r="G330" i="8" s="1"/>
  <c r="I330" i="8" s="1"/>
  <c r="F329" i="8"/>
  <c r="G329" i="8" s="1"/>
  <c r="I329" i="8" s="1"/>
  <c r="F328" i="8"/>
  <c r="G328" i="8" s="1"/>
  <c r="I328" i="8" s="1"/>
  <c r="F327" i="8"/>
  <c r="G327" i="8" s="1"/>
  <c r="I327" i="8" s="1"/>
  <c r="F326" i="8"/>
  <c r="G326" i="8" s="1"/>
  <c r="I326" i="8" s="1"/>
  <c r="F325" i="8"/>
  <c r="G325" i="8" s="1"/>
  <c r="I325" i="8" s="1"/>
  <c r="F324" i="8"/>
  <c r="G324" i="8" s="1"/>
  <c r="I324" i="8" s="1"/>
  <c r="F323" i="8"/>
  <c r="G323" i="8" s="1"/>
  <c r="I323" i="8" s="1"/>
  <c r="F322" i="8"/>
  <c r="G322" i="8" s="1"/>
  <c r="I322" i="8" s="1"/>
  <c r="F321" i="8"/>
  <c r="G321" i="8" s="1"/>
  <c r="I321" i="8" s="1"/>
  <c r="F320" i="8"/>
  <c r="G320" i="8" s="1"/>
  <c r="I320" i="8" s="1"/>
  <c r="F319" i="8"/>
  <c r="G319" i="8" s="1"/>
  <c r="I319" i="8" s="1"/>
  <c r="F318" i="8"/>
  <c r="G318" i="8" s="1"/>
  <c r="I318" i="8" s="1"/>
  <c r="F317" i="8"/>
  <c r="G317" i="8" s="1"/>
  <c r="I317" i="8" s="1"/>
  <c r="F316" i="8"/>
  <c r="G316" i="8" s="1"/>
  <c r="I316" i="8" s="1"/>
  <c r="F315" i="8"/>
  <c r="G315" i="8" s="1"/>
  <c r="I315" i="8" s="1"/>
  <c r="F314" i="8"/>
  <c r="G314" i="8" s="1"/>
  <c r="I314" i="8" s="1"/>
  <c r="F313" i="8"/>
  <c r="G313" i="8" s="1"/>
  <c r="I313" i="8" s="1"/>
  <c r="F312" i="8"/>
  <c r="G312" i="8" s="1"/>
  <c r="I312" i="8" s="1"/>
  <c r="F311" i="8"/>
  <c r="G311" i="8" s="1"/>
  <c r="I311" i="8" s="1"/>
  <c r="F310" i="8"/>
  <c r="G310" i="8" s="1"/>
  <c r="I310" i="8" s="1"/>
  <c r="F309" i="8"/>
  <c r="G309" i="8" s="1"/>
  <c r="I309" i="8" s="1"/>
  <c r="F308" i="8"/>
  <c r="G308" i="8" s="1"/>
  <c r="I308" i="8" s="1"/>
  <c r="F307" i="8"/>
  <c r="G307" i="8" s="1"/>
  <c r="I307" i="8" s="1"/>
  <c r="F306" i="8"/>
  <c r="G306" i="8" s="1"/>
  <c r="I306" i="8" s="1"/>
  <c r="F305" i="8"/>
  <c r="G305" i="8" s="1"/>
  <c r="I305" i="8" s="1"/>
  <c r="F304" i="8"/>
  <c r="G304" i="8" s="1"/>
  <c r="I304" i="8" s="1"/>
  <c r="F303" i="8"/>
  <c r="G303" i="8" s="1"/>
  <c r="I303" i="8" s="1"/>
  <c r="F302" i="8"/>
  <c r="G302" i="8" s="1"/>
  <c r="I302" i="8" s="1"/>
  <c r="F301" i="8"/>
  <c r="G301" i="8" s="1"/>
  <c r="I301" i="8" s="1"/>
  <c r="F300" i="8"/>
  <c r="G300" i="8" s="1"/>
  <c r="I300" i="8" s="1"/>
  <c r="F299" i="8"/>
  <c r="G299" i="8" s="1"/>
  <c r="I299" i="8" s="1"/>
  <c r="F298" i="8"/>
  <c r="G298" i="8" s="1"/>
  <c r="I298" i="8" s="1"/>
  <c r="F297" i="8"/>
  <c r="G297" i="8" s="1"/>
  <c r="I297" i="8" s="1"/>
  <c r="F296" i="8"/>
  <c r="G296" i="8" s="1"/>
  <c r="I296" i="8" s="1"/>
  <c r="F295" i="8"/>
  <c r="G295" i="8" s="1"/>
  <c r="I295" i="8" s="1"/>
  <c r="F294" i="8"/>
  <c r="G294" i="8" s="1"/>
  <c r="I294" i="8" s="1"/>
  <c r="F293" i="8"/>
  <c r="G293" i="8" s="1"/>
  <c r="I293" i="8" s="1"/>
  <c r="F292" i="8"/>
  <c r="G292" i="8" s="1"/>
  <c r="I292" i="8" s="1"/>
  <c r="F291" i="8"/>
  <c r="G291" i="8" s="1"/>
  <c r="I291" i="8" s="1"/>
  <c r="F290" i="8"/>
  <c r="G290" i="8" s="1"/>
  <c r="I290" i="8" s="1"/>
  <c r="F289" i="8"/>
  <c r="G289" i="8" s="1"/>
  <c r="I289" i="8" s="1"/>
  <c r="F288" i="8"/>
  <c r="G288" i="8" s="1"/>
  <c r="I288" i="8" s="1"/>
  <c r="F287" i="8"/>
  <c r="G287" i="8" s="1"/>
  <c r="I287" i="8" s="1"/>
  <c r="F286" i="8"/>
  <c r="G286" i="8" s="1"/>
  <c r="I286" i="8" s="1"/>
  <c r="F285" i="8"/>
  <c r="G285" i="8" s="1"/>
  <c r="I285" i="8" s="1"/>
  <c r="F284" i="8"/>
  <c r="G284" i="8" s="1"/>
  <c r="I284" i="8" s="1"/>
  <c r="F283" i="8"/>
  <c r="G283" i="8" s="1"/>
  <c r="I283" i="8" s="1"/>
  <c r="F282" i="8"/>
  <c r="G282" i="8" s="1"/>
  <c r="I282" i="8" s="1"/>
  <c r="F281" i="8"/>
  <c r="G281" i="8" s="1"/>
  <c r="I281" i="8" s="1"/>
  <c r="F280" i="8"/>
  <c r="G280" i="8" s="1"/>
  <c r="I280" i="8" s="1"/>
  <c r="F279" i="8"/>
  <c r="G279" i="8" s="1"/>
  <c r="I279" i="8" s="1"/>
  <c r="F278" i="8"/>
  <c r="G278" i="8" s="1"/>
  <c r="I278" i="8" s="1"/>
  <c r="F277" i="8"/>
  <c r="G277" i="8" s="1"/>
  <c r="I277" i="8" s="1"/>
  <c r="F276" i="8"/>
  <c r="G276" i="8" s="1"/>
  <c r="I276" i="8" s="1"/>
  <c r="F275" i="8"/>
  <c r="G275" i="8" s="1"/>
  <c r="I275" i="8" s="1"/>
  <c r="F274" i="8"/>
  <c r="G274" i="8" s="1"/>
  <c r="I274" i="8" s="1"/>
  <c r="F273" i="8"/>
  <c r="G273" i="8" s="1"/>
  <c r="I273" i="8" s="1"/>
  <c r="F272" i="8"/>
  <c r="G272" i="8" s="1"/>
  <c r="I272" i="8" s="1"/>
  <c r="F271" i="8"/>
  <c r="G271" i="8" s="1"/>
  <c r="I271" i="8" s="1"/>
  <c r="F270" i="8"/>
  <c r="G270" i="8" s="1"/>
  <c r="I270" i="8" s="1"/>
  <c r="F269" i="8"/>
  <c r="G269" i="8" s="1"/>
  <c r="I269" i="8" s="1"/>
  <c r="F268" i="8"/>
  <c r="G268" i="8" s="1"/>
  <c r="I268" i="8" s="1"/>
  <c r="F267" i="8"/>
  <c r="G267" i="8" s="1"/>
  <c r="I267" i="8" s="1"/>
  <c r="F266" i="8"/>
  <c r="G266" i="8" s="1"/>
  <c r="I266" i="8" s="1"/>
  <c r="F265" i="8"/>
  <c r="G265" i="8" s="1"/>
  <c r="I265" i="8" s="1"/>
  <c r="F264" i="8"/>
  <c r="G264" i="8" s="1"/>
  <c r="I264" i="8" s="1"/>
  <c r="F263" i="8"/>
  <c r="G263" i="8" s="1"/>
  <c r="I263" i="8" s="1"/>
  <c r="F262" i="8"/>
  <c r="G262" i="8" s="1"/>
  <c r="I262" i="8" s="1"/>
  <c r="F261" i="8"/>
  <c r="G261" i="8" s="1"/>
  <c r="I261" i="8" s="1"/>
  <c r="F260" i="8"/>
  <c r="G260" i="8" s="1"/>
  <c r="I260" i="8" s="1"/>
  <c r="F259" i="8"/>
  <c r="G259" i="8" s="1"/>
  <c r="I259" i="8" s="1"/>
  <c r="F258" i="8"/>
  <c r="G258" i="8" s="1"/>
  <c r="I258" i="8" s="1"/>
  <c r="F257" i="8"/>
  <c r="G257" i="8" s="1"/>
  <c r="I257" i="8" s="1"/>
  <c r="F256" i="8"/>
  <c r="G256" i="8" s="1"/>
  <c r="I256" i="8" s="1"/>
  <c r="F255" i="8"/>
  <c r="G255" i="8" s="1"/>
  <c r="I255" i="8" s="1"/>
  <c r="F254" i="8"/>
  <c r="G254" i="8" s="1"/>
  <c r="I254" i="8" s="1"/>
  <c r="F253" i="8"/>
  <c r="G253" i="8" s="1"/>
  <c r="I253" i="8" s="1"/>
  <c r="F252" i="8"/>
  <c r="G252" i="8" s="1"/>
  <c r="I252" i="8" s="1"/>
  <c r="F251" i="8"/>
  <c r="G251" i="8" s="1"/>
  <c r="I251" i="8" s="1"/>
  <c r="F250" i="8"/>
  <c r="G250" i="8" s="1"/>
  <c r="I250" i="8" s="1"/>
  <c r="F249" i="8"/>
  <c r="G249" i="8" s="1"/>
  <c r="I249" i="8" s="1"/>
  <c r="F248" i="8"/>
  <c r="G248" i="8" s="1"/>
  <c r="I248" i="8" s="1"/>
  <c r="F247" i="8"/>
  <c r="G247" i="8" s="1"/>
  <c r="I247" i="8" s="1"/>
  <c r="F246" i="8"/>
  <c r="G246" i="8" s="1"/>
  <c r="I246" i="8" s="1"/>
  <c r="F245" i="8"/>
  <c r="G245" i="8" s="1"/>
  <c r="I245" i="8" s="1"/>
  <c r="F244" i="8"/>
  <c r="G244" i="8" s="1"/>
  <c r="I244" i="8" s="1"/>
  <c r="F243" i="8"/>
  <c r="G243" i="8" s="1"/>
  <c r="I243" i="8" s="1"/>
  <c r="F242" i="8"/>
  <c r="G242" i="8" s="1"/>
  <c r="I242" i="8" s="1"/>
  <c r="F241" i="8"/>
  <c r="G241" i="8" s="1"/>
  <c r="I241" i="8" s="1"/>
  <c r="F240" i="8"/>
  <c r="G240" i="8" s="1"/>
  <c r="I240" i="8" s="1"/>
  <c r="F239" i="8"/>
  <c r="G239" i="8" s="1"/>
  <c r="I239" i="8" s="1"/>
  <c r="F238" i="8"/>
  <c r="G238" i="8" s="1"/>
  <c r="I238" i="8" s="1"/>
  <c r="F237" i="8"/>
  <c r="G237" i="8" s="1"/>
  <c r="I237" i="8" s="1"/>
  <c r="F236" i="8"/>
  <c r="G236" i="8" s="1"/>
  <c r="I236" i="8" s="1"/>
  <c r="F235" i="8"/>
  <c r="G235" i="8" s="1"/>
  <c r="I235" i="8" s="1"/>
  <c r="F234" i="8"/>
  <c r="G234" i="8" s="1"/>
  <c r="I234" i="8" s="1"/>
  <c r="F233" i="8"/>
  <c r="G233" i="8" s="1"/>
  <c r="I233" i="8" s="1"/>
  <c r="F232" i="8"/>
  <c r="G232" i="8" s="1"/>
  <c r="I232" i="8" s="1"/>
  <c r="F231" i="8"/>
  <c r="G231" i="8" s="1"/>
  <c r="I231" i="8" s="1"/>
  <c r="F230" i="8"/>
  <c r="G230" i="8" s="1"/>
  <c r="I230" i="8" s="1"/>
  <c r="F229" i="8"/>
  <c r="G229" i="8" s="1"/>
  <c r="I229" i="8" s="1"/>
  <c r="F228" i="8"/>
  <c r="G228" i="8" s="1"/>
  <c r="I228" i="8" s="1"/>
  <c r="F227" i="8"/>
  <c r="G227" i="8" s="1"/>
  <c r="I227" i="8" s="1"/>
  <c r="F226" i="8"/>
  <c r="G226" i="8" s="1"/>
  <c r="I226" i="8" s="1"/>
  <c r="F225" i="8"/>
  <c r="G225" i="8" s="1"/>
  <c r="I225" i="8" s="1"/>
  <c r="F224" i="8"/>
  <c r="G224" i="8" s="1"/>
  <c r="I224" i="8" s="1"/>
  <c r="F223" i="8"/>
  <c r="G223" i="8" s="1"/>
  <c r="I223" i="8" s="1"/>
  <c r="F222" i="8"/>
  <c r="G222" i="8" s="1"/>
  <c r="I222" i="8" s="1"/>
  <c r="F221" i="8"/>
  <c r="G221" i="8" s="1"/>
  <c r="I221" i="8" s="1"/>
  <c r="F220" i="8"/>
  <c r="G220" i="8" s="1"/>
  <c r="I220" i="8" s="1"/>
  <c r="F219" i="8"/>
  <c r="G219" i="8" s="1"/>
  <c r="I219" i="8" s="1"/>
  <c r="F218" i="8"/>
  <c r="G218" i="8" s="1"/>
  <c r="I218" i="8" s="1"/>
  <c r="F217" i="8"/>
  <c r="G217" i="8" s="1"/>
  <c r="I217" i="8" s="1"/>
  <c r="F216" i="8"/>
  <c r="G216" i="8" s="1"/>
  <c r="I216" i="8" s="1"/>
  <c r="F215" i="8"/>
  <c r="G215" i="8" s="1"/>
  <c r="I215" i="8" s="1"/>
  <c r="F214" i="8"/>
  <c r="G214" i="8" s="1"/>
  <c r="I214" i="8" s="1"/>
  <c r="F213" i="8"/>
  <c r="G213" i="8" s="1"/>
  <c r="I213" i="8" s="1"/>
  <c r="F212" i="8"/>
  <c r="G212" i="8" s="1"/>
  <c r="I212" i="8" s="1"/>
  <c r="F211" i="8"/>
  <c r="G211" i="8" s="1"/>
  <c r="I211" i="8" s="1"/>
  <c r="F210" i="8"/>
  <c r="G210" i="8" s="1"/>
  <c r="I210" i="8" s="1"/>
  <c r="F209" i="8"/>
  <c r="G209" i="8" s="1"/>
  <c r="I209" i="8" s="1"/>
  <c r="F208" i="8"/>
  <c r="G208" i="8" s="1"/>
  <c r="I208" i="8" s="1"/>
  <c r="F207" i="8"/>
  <c r="G207" i="8" s="1"/>
  <c r="I207" i="8" s="1"/>
  <c r="F206" i="8"/>
  <c r="G206" i="8" s="1"/>
  <c r="I206" i="8" s="1"/>
  <c r="F205" i="8"/>
  <c r="G205" i="8" s="1"/>
  <c r="I205" i="8" s="1"/>
  <c r="F204" i="8"/>
  <c r="G204" i="8" s="1"/>
  <c r="I204" i="8" s="1"/>
  <c r="F203" i="8"/>
  <c r="G203" i="8" s="1"/>
  <c r="I203" i="8" s="1"/>
  <c r="F202" i="8"/>
  <c r="G202" i="8" s="1"/>
  <c r="I202" i="8" s="1"/>
  <c r="F201" i="8"/>
  <c r="G201" i="8" s="1"/>
  <c r="I201" i="8" s="1"/>
  <c r="F200" i="8"/>
  <c r="G200" i="8" s="1"/>
  <c r="I200" i="8" s="1"/>
  <c r="F199" i="8"/>
  <c r="G199" i="8" s="1"/>
  <c r="I199" i="8" s="1"/>
  <c r="F198" i="8"/>
  <c r="G198" i="8" s="1"/>
  <c r="I198" i="8" s="1"/>
  <c r="F197" i="8"/>
  <c r="G197" i="8" s="1"/>
  <c r="I197" i="8" s="1"/>
  <c r="F196" i="8"/>
  <c r="G196" i="8" s="1"/>
  <c r="I196" i="8" s="1"/>
  <c r="F195" i="8"/>
  <c r="G195" i="8" s="1"/>
  <c r="I195" i="8" s="1"/>
  <c r="F194" i="8"/>
  <c r="G194" i="8" s="1"/>
  <c r="I194" i="8" s="1"/>
  <c r="F193" i="8"/>
  <c r="G193" i="8" s="1"/>
  <c r="I193" i="8" s="1"/>
  <c r="F192" i="8"/>
  <c r="G192" i="8" s="1"/>
  <c r="I192" i="8" s="1"/>
  <c r="F191" i="8"/>
  <c r="G191" i="8" s="1"/>
  <c r="I191" i="8" s="1"/>
  <c r="F190" i="8"/>
  <c r="G190" i="8" s="1"/>
  <c r="I190" i="8" s="1"/>
  <c r="F189" i="8"/>
  <c r="G189" i="8" s="1"/>
  <c r="I189" i="8" s="1"/>
  <c r="F188" i="8"/>
  <c r="G188" i="8" s="1"/>
  <c r="I188" i="8" s="1"/>
  <c r="F187" i="8"/>
  <c r="G187" i="8" s="1"/>
  <c r="I187" i="8" s="1"/>
  <c r="F186" i="8"/>
  <c r="G186" i="8" s="1"/>
  <c r="I186" i="8" s="1"/>
  <c r="F185" i="8"/>
  <c r="G185" i="8" s="1"/>
  <c r="I185" i="8" s="1"/>
  <c r="F184" i="8"/>
  <c r="G184" i="8" s="1"/>
  <c r="I184" i="8" s="1"/>
  <c r="F183" i="8"/>
  <c r="G183" i="8" s="1"/>
  <c r="I183" i="8" s="1"/>
  <c r="F182" i="8"/>
  <c r="G182" i="8" s="1"/>
  <c r="I182" i="8" s="1"/>
  <c r="F181" i="8"/>
  <c r="G181" i="8" s="1"/>
  <c r="I181" i="8" s="1"/>
  <c r="F180" i="8"/>
  <c r="G180" i="8" s="1"/>
  <c r="I180" i="8" s="1"/>
  <c r="F179" i="8"/>
  <c r="G179" i="8" s="1"/>
  <c r="I179" i="8" s="1"/>
  <c r="F178" i="8"/>
  <c r="G178" i="8" s="1"/>
  <c r="I178" i="8" s="1"/>
  <c r="F177" i="8"/>
  <c r="G177" i="8" s="1"/>
  <c r="I177" i="8" s="1"/>
  <c r="F176" i="8"/>
  <c r="G176" i="8" s="1"/>
  <c r="I176" i="8" s="1"/>
  <c r="F175" i="8"/>
  <c r="G175" i="8" s="1"/>
  <c r="I175" i="8" s="1"/>
  <c r="F174" i="8"/>
  <c r="G174" i="8" s="1"/>
  <c r="I174" i="8" s="1"/>
  <c r="F173" i="8"/>
  <c r="G173" i="8" s="1"/>
  <c r="I173" i="8" s="1"/>
  <c r="F172" i="8"/>
  <c r="G172" i="8" s="1"/>
  <c r="I172" i="8" s="1"/>
  <c r="F171" i="8"/>
  <c r="G171" i="8" s="1"/>
  <c r="I171" i="8" s="1"/>
  <c r="F170" i="8"/>
  <c r="G170" i="8" s="1"/>
  <c r="I170" i="8" s="1"/>
  <c r="F169" i="8"/>
  <c r="G169" i="8" s="1"/>
  <c r="I169" i="8" s="1"/>
  <c r="F168" i="8"/>
  <c r="G168" i="8" s="1"/>
  <c r="I168" i="8" s="1"/>
  <c r="F167" i="8"/>
  <c r="G167" i="8" s="1"/>
  <c r="I167" i="8" s="1"/>
  <c r="F166" i="8"/>
  <c r="G166" i="8" s="1"/>
  <c r="I166" i="8" s="1"/>
  <c r="F165" i="8"/>
  <c r="G165" i="8" s="1"/>
  <c r="I165" i="8" s="1"/>
  <c r="F164" i="8"/>
  <c r="G164" i="8" s="1"/>
  <c r="I164" i="8" s="1"/>
  <c r="F163" i="8"/>
  <c r="G163" i="8" s="1"/>
  <c r="I163" i="8" s="1"/>
  <c r="F162" i="8"/>
  <c r="G162" i="8" s="1"/>
  <c r="I162" i="8" s="1"/>
  <c r="F161" i="8"/>
  <c r="G161" i="8" s="1"/>
  <c r="I161" i="8" s="1"/>
  <c r="F160" i="8"/>
  <c r="G160" i="8" s="1"/>
  <c r="I160" i="8" s="1"/>
  <c r="F159" i="8"/>
  <c r="G159" i="8" s="1"/>
  <c r="I159" i="8" s="1"/>
  <c r="F158" i="8"/>
  <c r="G158" i="8" s="1"/>
  <c r="I158" i="8" s="1"/>
  <c r="F157" i="8"/>
  <c r="G157" i="8" s="1"/>
  <c r="I157" i="8" s="1"/>
  <c r="F156" i="8"/>
  <c r="G156" i="8" s="1"/>
  <c r="I156" i="8" s="1"/>
  <c r="F155" i="8"/>
  <c r="G155" i="8" s="1"/>
  <c r="I155" i="8" s="1"/>
  <c r="F154" i="8"/>
  <c r="G154" i="8" s="1"/>
  <c r="I154" i="8" s="1"/>
  <c r="F153" i="8"/>
  <c r="G153" i="8" s="1"/>
  <c r="I153" i="8" s="1"/>
  <c r="F152" i="8"/>
  <c r="G152" i="8" s="1"/>
  <c r="I152" i="8" s="1"/>
  <c r="F151" i="8"/>
  <c r="G151" i="8" s="1"/>
  <c r="I151" i="8" s="1"/>
  <c r="F150" i="8"/>
  <c r="G150" i="8" s="1"/>
  <c r="I150" i="8" s="1"/>
  <c r="F149" i="8"/>
  <c r="G149" i="8" s="1"/>
  <c r="I149" i="8" s="1"/>
  <c r="F148" i="8"/>
  <c r="G148" i="8" s="1"/>
  <c r="I148" i="8" s="1"/>
  <c r="F147" i="8"/>
  <c r="G147" i="8" s="1"/>
  <c r="I147" i="8" s="1"/>
  <c r="F146" i="8"/>
  <c r="G146" i="8" s="1"/>
  <c r="I146" i="8" s="1"/>
  <c r="F145" i="8"/>
  <c r="G145" i="8" s="1"/>
  <c r="I145" i="8" s="1"/>
  <c r="F144" i="8"/>
  <c r="G144" i="8" s="1"/>
  <c r="I144" i="8" s="1"/>
  <c r="F143" i="8"/>
  <c r="G143" i="8" s="1"/>
  <c r="I143" i="8" s="1"/>
  <c r="F142" i="8"/>
  <c r="G142" i="8" s="1"/>
  <c r="I142" i="8" s="1"/>
  <c r="F141" i="8"/>
  <c r="G141" i="8" s="1"/>
  <c r="I141" i="8" s="1"/>
  <c r="F140" i="8"/>
  <c r="G140" i="8" s="1"/>
  <c r="I140" i="8" s="1"/>
  <c r="F139" i="8"/>
  <c r="G139" i="8" s="1"/>
  <c r="I139" i="8" s="1"/>
  <c r="F138" i="8"/>
  <c r="G138" i="8" s="1"/>
  <c r="I138" i="8" s="1"/>
  <c r="F137" i="8"/>
  <c r="G137" i="8" s="1"/>
  <c r="I137" i="8" s="1"/>
  <c r="F136" i="8"/>
  <c r="G136" i="8" s="1"/>
  <c r="I136" i="8" s="1"/>
  <c r="F135" i="8"/>
  <c r="G135" i="8" s="1"/>
  <c r="I135" i="8" s="1"/>
  <c r="F134" i="8"/>
  <c r="G134" i="8" s="1"/>
  <c r="I134" i="8" s="1"/>
  <c r="F133" i="8"/>
  <c r="G133" i="8" s="1"/>
  <c r="I133" i="8" s="1"/>
  <c r="F132" i="8"/>
  <c r="G132" i="8" s="1"/>
  <c r="I132" i="8" s="1"/>
  <c r="F131" i="8"/>
  <c r="G131" i="8" s="1"/>
  <c r="I131" i="8" s="1"/>
  <c r="F130" i="8"/>
  <c r="G130" i="8" s="1"/>
  <c r="I130" i="8" s="1"/>
  <c r="F129" i="8"/>
  <c r="G129" i="8" s="1"/>
  <c r="I129" i="8" s="1"/>
  <c r="F128" i="8"/>
  <c r="G128" i="8" s="1"/>
  <c r="I128" i="8" s="1"/>
  <c r="F127" i="8"/>
  <c r="G127" i="8" s="1"/>
  <c r="I127" i="8" s="1"/>
  <c r="F126" i="8"/>
  <c r="G126" i="8" s="1"/>
  <c r="I126" i="8" s="1"/>
  <c r="F125" i="8"/>
  <c r="G125" i="8" s="1"/>
  <c r="I125" i="8" s="1"/>
  <c r="F124" i="8"/>
  <c r="G124" i="8" s="1"/>
  <c r="I124" i="8" s="1"/>
  <c r="F123" i="8"/>
  <c r="G123" i="8" s="1"/>
  <c r="I123" i="8" s="1"/>
  <c r="F122" i="8"/>
  <c r="G122" i="8" s="1"/>
  <c r="I122" i="8" s="1"/>
  <c r="F121" i="8"/>
  <c r="G121" i="8" s="1"/>
  <c r="I121" i="8" s="1"/>
  <c r="F120" i="8"/>
  <c r="G120" i="8" s="1"/>
  <c r="I120" i="8" s="1"/>
  <c r="F119" i="8"/>
  <c r="G119" i="8" s="1"/>
  <c r="I119" i="8" s="1"/>
  <c r="F118" i="8"/>
  <c r="G118" i="8" s="1"/>
  <c r="I118" i="8" s="1"/>
  <c r="F117" i="8"/>
  <c r="G117" i="8" s="1"/>
  <c r="I117" i="8" s="1"/>
  <c r="F116" i="8"/>
  <c r="G116" i="8" s="1"/>
  <c r="I116" i="8" s="1"/>
  <c r="F115" i="8"/>
  <c r="G115" i="8" s="1"/>
  <c r="I115" i="8" s="1"/>
  <c r="F114" i="8"/>
  <c r="G114" i="8" s="1"/>
  <c r="I114" i="8" s="1"/>
  <c r="F113" i="8"/>
  <c r="G113" i="8" s="1"/>
  <c r="I113" i="8" s="1"/>
  <c r="F112" i="8"/>
  <c r="G112" i="8" s="1"/>
  <c r="I112" i="8" s="1"/>
  <c r="F111" i="8"/>
  <c r="G111" i="8" s="1"/>
  <c r="I111" i="8" s="1"/>
  <c r="F110" i="8"/>
  <c r="G110" i="8" s="1"/>
  <c r="I110" i="8" s="1"/>
  <c r="F109" i="8"/>
  <c r="G109" i="8" s="1"/>
  <c r="I109" i="8" s="1"/>
  <c r="F108" i="8"/>
  <c r="G108" i="8" s="1"/>
  <c r="I108" i="8" s="1"/>
  <c r="F107" i="8"/>
  <c r="G107" i="8" s="1"/>
  <c r="I107" i="8" s="1"/>
  <c r="F106" i="8"/>
  <c r="G106" i="8" s="1"/>
  <c r="I106" i="8" s="1"/>
  <c r="F105" i="8"/>
  <c r="G105" i="8" s="1"/>
  <c r="I105" i="8" s="1"/>
  <c r="F104" i="8"/>
  <c r="G104" i="8" s="1"/>
  <c r="I104" i="8" s="1"/>
  <c r="F103" i="8"/>
  <c r="G103" i="8" s="1"/>
  <c r="I103" i="8" s="1"/>
  <c r="F102" i="8"/>
  <c r="G102" i="8" s="1"/>
  <c r="I102" i="8" s="1"/>
  <c r="F101" i="8"/>
  <c r="G101" i="8" s="1"/>
  <c r="I101" i="8" s="1"/>
  <c r="F100" i="8"/>
  <c r="G100" i="8" s="1"/>
  <c r="I100" i="8" s="1"/>
  <c r="F99" i="8"/>
  <c r="G99" i="8" s="1"/>
  <c r="I99" i="8" s="1"/>
  <c r="F98" i="8"/>
  <c r="G98" i="8" s="1"/>
  <c r="I98" i="8" s="1"/>
  <c r="F97" i="8"/>
  <c r="G97" i="8" s="1"/>
  <c r="I97" i="8" s="1"/>
  <c r="F96" i="8"/>
  <c r="G96" i="8" s="1"/>
  <c r="I96" i="8" s="1"/>
  <c r="F95" i="8"/>
  <c r="G95" i="8" s="1"/>
  <c r="I95" i="8" s="1"/>
  <c r="F94" i="8"/>
  <c r="G94" i="8" s="1"/>
  <c r="I94" i="8" s="1"/>
  <c r="F93" i="8"/>
  <c r="G93" i="8" s="1"/>
  <c r="I93" i="8" s="1"/>
  <c r="F92" i="8"/>
  <c r="G92" i="8" s="1"/>
  <c r="I92" i="8" s="1"/>
  <c r="F91" i="8"/>
  <c r="G91" i="8" s="1"/>
  <c r="I91" i="8" s="1"/>
  <c r="F90" i="8"/>
  <c r="G90" i="8" s="1"/>
  <c r="I90" i="8" s="1"/>
  <c r="F89" i="8"/>
  <c r="G89" i="8" s="1"/>
  <c r="I89" i="8" s="1"/>
  <c r="F88" i="8"/>
  <c r="G88" i="8" s="1"/>
  <c r="I88" i="8" s="1"/>
  <c r="F87" i="8"/>
  <c r="G87" i="8" s="1"/>
  <c r="I87" i="8" s="1"/>
  <c r="F86" i="8"/>
  <c r="G86" i="8" s="1"/>
  <c r="I86" i="8" s="1"/>
  <c r="F85" i="8"/>
  <c r="G85" i="8" s="1"/>
  <c r="I85" i="8" s="1"/>
  <c r="F84" i="8"/>
  <c r="G84" i="8" s="1"/>
  <c r="I84" i="8" s="1"/>
  <c r="F83" i="8"/>
  <c r="G83" i="8" s="1"/>
  <c r="I83" i="8" s="1"/>
  <c r="F82" i="8"/>
  <c r="G82" i="8" s="1"/>
  <c r="I82" i="8" s="1"/>
  <c r="F81" i="8"/>
  <c r="G81" i="8" s="1"/>
  <c r="I81" i="8" s="1"/>
  <c r="F80" i="8"/>
  <c r="G80" i="8" s="1"/>
  <c r="I80" i="8" s="1"/>
  <c r="F79" i="8"/>
  <c r="G79" i="8" s="1"/>
  <c r="I79" i="8" s="1"/>
  <c r="F78" i="8"/>
  <c r="G78" i="8" s="1"/>
  <c r="I78" i="8" s="1"/>
  <c r="F77" i="8"/>
  <c r="G77" i="8" s="1"/>
  <c r="I77" i="8" s="1"/>
  <c r="F76" i="8"/>
  <c r="G76" i="8" s="1"/>
  <c r="I76" i="8" s="1"/>
  <c r="F75" i="8"/>
  <c r="G75" i="8" s="1"/>
  <c r="I75" i="8" s="1"/>
  <c r="F74" i="8"/>
  <c r="G74" i="8" s="1"/>
  <c r="I74" i="8" s="1"/>
  <c r="F73" i="8"/>
  <c r="G73" i="8" s="1"/>
  <c r="I73" i="8" s="1"/>
  <c r="F72" i="8"/>
  <c r="G72" i="8" s="1"/>
  <c r="I72" i="8" s="1"/>
  <c r="F71" i="8"/>
  <c r="G71" i="8" s="1"/>
  <c r="I71" i="8" s="1"/>
  <c r="F70" i="8"/>
  <c r="G70" i="8" s="1"/>
  <c r="I70" i="8" s="1"/>
  <c r="F69" i="8"/>
  <c r="G69" i="8" s="1"/>
  <c r="I69" i="8" s="1"/>
  <c r="F68" i="8"/>
  <c r="G68" i="8" s="1"/>
  <c r="I68" i="8" s="1"/>
  <c r="F67" i="8"/>
  <c r="G67" i="8" s="1"/>
  <c r="I67" i="8" s="1"/>
  <c r="F66" i="8"/>
  <c r="G66" i="8" s="1"/>
  <c r="I66" i="8" s="1"/>
  <c r="F65" i="8"/>
  <c r="G65" i="8" s="1"/>
  <c r="I65" i="8" s="1"/>
  <c r="F64" i="8"/>
  <c r="G64" i="8" s="1"/>
  <c r="I64" i="8" s="1"/>
  <c r="F63" i="8"/>
  <c r="G63" i="8" s="1"/>
  <c r="I63" i="8" s="1"/>
  <c r="F62" i="8"/>
  <c r="G62" i="8" s="1"/>
  <c r="I62" i="8" s="1"/>
  <c r="F61" i="8"/>
  <c r="G61" i="8" s="1"/>
  <c r="I61" i="8" s="1"/>
  <c r="F60" i="8"/>
  <c r="G60" i="8" s="1"/>
  <c r="I60" i="8" s="1"/>
  <c r="F59" i="8"/>
  <c r="G59" i="8" s="1"/>
  <c r="I59" i="8" s="1"/>
  <c r="F58" i="8"/>
  <c r="G58" i="8" s="1"/>
  <c r="I58" i="8" s="1"/>
  <c r="F57" i="8"/>
  <c r="G57" i="8" s="1"/>
  <c r="I57" i="8" s="1"/>
  <c r="F56" i="8"/>
  <c r="G56" i="8" s="1"/>
  <c r="I56" i="8" s="1"/>
  <c r="F55" i="8"/>
  <c r="G55" i="8" s="1"/>
  <c r="I55" i="8" s="1"/>
  <c r="F54" i="8"/>
  <c r="G54" i="8" s="1"/>
  <c r="I54" i="8" s="1"/>
  <c r="F53" i="8"/>
  <c r="G53" i="8" s="1"/>
  <c r="I53" i="8" s="1"/>
  <c r="F52" i="8"/>
  <c r="G52" i="8" s="1"/>
  <c r="I52" i="8" s="1"/>
  <c r="F51" i="8"/>
  <c r="G51" i="8" s="1"/>
  <c r="I51" i="8" s="1"/>
  <c r="F50" i="8"/>
  <c r="G50" i="8" s="1"/>
  <c r="I50" i="8" s="1"/>
  <c r="F49" i="8"/>
  <c r="G49" i="8" s="1"/>
  <c r="I49" i="8" s="1"/>
  <c r="F48" i="8"/>
  <c r="G48" i="8" s="1"/>
  <c r="I48" i="8" s="1"/>
  <c r="F47" i="8"/>
  <c r="G47" i="8" s="1"/>
  <c r="I47" i="8" s="1"/>
  <c r="F46" i="8"/>
  <c r="G46" i="8" s="1"/>
  <c r="I46" i="8" s="1"/>
  <c r="F45" i="8"/>
  <c r="G45" i="8" s="1"/>
  <c r="I45" i="8" s="1"/>
  <c r="F44" i="8"/>
  <c r="G44" i="8" s="1"/>
  <c r="I44" i="8" s="1"/>
  <c r="F43" i="8"/>
  <c r="G43" i="8" s="1"/>
  <c r="I43" i="8" s="1"/>
  <c r="F42" i="8"/>
  <c r="G42" i="8" s="1"/>
  <c r="I42" i="8" s="1"/>
  <c r="F41" i="8"/>
  <c r="G41" i="8" s="1"/>
  <c r="I41" i="8" s="1"/>
  <c r="F40" i="8"/>
  <c r="G40" i="8" s="1"/>
  <c r="I40" i="8" s="1"/>
  <c r="F39" i="8"/>
  <c r="G39" i="8" s="1"/>
  <c r="I39" i="8" s="1"/>
  <c r="F38" i="8"/>
  <c r="G38" i="8" s="1"/>
  <c r="I38" i="8" s="1"/>
  <c r="F37" i="8"/>
  <c r="G37" i="8" s="1"/>
  <c r="I37" i="8" s="1"/>
  <c r="F36" i="8"/>
  <c r="G36" i="8" s="1"/>
  <c r="I36" i="8" s="1"/>
  <c r="F35" i="8"/>
  <c r="G35" i="8" s="1"/>
  <c r="I35" i="8" s="1"/>
  <c r="F34" i="8"/>
  <c r="G34" i="8" s="1"/>
  <c r="I34" i="8" s="1"/>
  <c r="F33" i="8"/>
  <c r="G33" i="8" s="1"/>
  <c r="I33" i="8" s="1"/>
  <c r="F32" i="8"/>
  <c r="G32" i="8" s="1"/>
  <c r="I32" i="8" s="1"/>
  <c r="F31" i="8"/>
  <c r="G31" i="8" s="1"/>
  <c r="I31" i="8" s="1"/>
  <c r="F30" i="8"/>
  <c r="G30" i="8" s="1"/>
  <c r="I30" i="8" s="1"/>
  <c r="F29" i="8"/>
  <c r="G29" i="8" s="1"/>
  <c r="I29" i="8" s="1"/>
  <c r="F28" i="8"/>
  <c r="G28" i="8" s="1"/>
  <c r="I28" i="8" s="1"/>
  <c r="F27" i="8"/>
  <c r="G27" i="8" s="1"/>
  <c r="I27" i="8" s="1"/>
  <c r="F26" i="8"/>
  <c r="G26" i="8" s="1"/>
  <c r="I26" i="8" s="1"/>
  <c r="F25" i="8"/>
  <c r="G25" i="8" s="1"/>
  <c r="I25" i="8" s="1"/>
  <c r="F24" i="8"/>
  <c r="G24" i="8" s="1"/>
  <c r="I24" i="8" s="1"/>
  <c r="F23" i="8"/>
  <c r="G23" i="8" s="1"/>
  <c r="I23" i="8" s="1"/>
  <c r="F22" i="8"/>
  <c r="G22" i="8" s="1"/>
  <c r="I22" i="8" s="1"/>
  <c r="F21" i="8"/>
  <c r="G21" i="8" s="1"/>
  <c r="I21" i="8" s="1"/>
  <c r="F20" i="8"/>
  <c r="G20" i="8" s="1"/>
  <c r="I20" i="8" s="1"/>
  <c r="F19" i="8"/>
  <c r="G19" i="8" s="1"/>
  <c r="I19" i="8" s="1"/>
  <c r="F18" i="8"/>
  <c r="G18" i="8" s="1"/>
  <c r="I18" i="8" s="1"/>
  <c r="F17" i="8"/>
  <c r="G17" i="8" s="1"/>
  <c r="I17" i="8" s="1"/>
  <c r="F16" i="8"/>
  <c r="G16" i="8" s="1"/>
  <c r="I16" i="8" s="1"/>
  <c r="F15" i="8"/>
  <c r="G15" i="8" s="1"/>
  <c r="I15" i="8" s="1"/>
  <c r="F14" i="8"/>
  <c r="G14" i="8" s="1"/>
  <c r="I14" i="8" s="1"/>
  <c r="F13" i="8"/>
  <c r="G13" i="8" s="1"/>
  <c r="I13" i="8" s="1"/>
  <c r="F12" i="8"/>
  <c r="G12" i="8" s="1"/>
  <c r="I12" i="8" s="1"/>
  <c r="F11" i="8"/>
  <c r="G11" i="8" s="1"/>
  <c r="I11" i="8" s="1"/>
  <c r="F10" i="8"/>
  <c r="G10" i="8" s="1"/>
  <c r="I10" i="8" s="1"/>
  <c r="F9" i="8"/>
  <c r="G9" i="8" s="1"/>
  <c r="I9" i="8" s="1"/>
  <c r="F8" i="8"/>
  <c r="G8" i="8" s="1"/>
  <c r="I8" i="8" s="1"/>
  <c r="F7" i="8"/>
  <c r="G7" i="8" s="1"/>
  <c r="I7" i="8" s="1"/>
  <c r="F6" i="8"/>
  <c r="G6" i="8" s="1"/>
  <c r="I6" i="8" s="1"/>
  <c r="F5" i="8"/>
  <c r="G5" i="8" s="1"/>
  <c r="I5" i="8" s="1"/>
  <c r="F4" i="8"/>
  <c r="G4" i="8" s="1"/>
  <c r="I4" i="8" s="1"/>
  <c r="F3" i="8"/>
  <c r="G3" i="8" s="1"/>
  <c r="I3" i="8" s="1"/>
  <c r="F2" i="8"/>
  <c r="G2" i="8" s="1"/>
  <c r="I2" i="8" s="1"/>
</calcChain>
</file>

<file path=xl/comments1.xml><?xml version="1.0" encoding="utf-8"?>
<comments xmlns="http://schemas.openxmlformats.org/spreadsheetml/2006/main">
  <authors>
    <author>SSIGNOR</author>
  </authors>
  <commentList>
    <comment ref="I5" authorId="0" shapeId="0">
      <text>
        <r>
          <rPr>
            <b/>
            <sz val="9"/>
            <color indexed="81"/>
            <rFont val="Tahoma"/>
            <family val="2"/>
          </rPr>
          <t>SSIGNOR:</t>
        </r>
        <r>
          <rPr>
            <sz val="9"/>
            <color indexed="81"/>
            <rFont val="Tahoma"/>
            <family val="2"/>
          </rPr>
          <t xml:space="preserve">
Copy the Get Values here before to Send the new values.</t>
        </r>
      </text>
    </comment>
  </commentList>
</comments>
</file>

<file path=xl/sharedStrings.xml><?xml version="1.0" encoding="utf-8"?>
<sst xmlns="http://schemas.openxmlformats.org/spreadsheetml/2006/main" count="3237" uniqueCount="2189">
  <si>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</si>
  <si>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</si>
  <si>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</si>
  <si>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</si>
  <si>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</si>
  <si>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</si>
  <si>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</si>
  <si>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</si>
  <si>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</si>
  <si>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</si>
  <si>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</si>
  <si>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</si>
  <si>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</si>
  <si>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</si>
  <si>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IC after modification</t>
  </si>
  <si>
    <t>To be changed once the vacuum unit has been reconnected.</t>
  </si>
  <si>
    <t>IOBlocks.M_DI</t>
  </si>
  <si>
    <t>Mode</t>
  </si>
  <si>
    <t>IOBlocks.M_AI</t>
  </si>
  <si>
    <t>AA740106IO_COMP1</t>
  </si>
  <si>
    <t>AT740106.Value</t>
  </si>
  <si>
    <t>AI702008IO</t>
  </si>
  <si>
    <t>AT702008.Value</t>
  </si>
  <si>
    <t>AI702009IO</t>
  </si>
  <si>
    <t>AT702009.Value</t>
  </si>
  <si>
    <t>AI740106IO</t>
  </si>
  <si>
    <t>AI750161AIO</t>
  </si>
  <si>
    <t>AT750161A.Value</t>
  </si>
  <si>
    <t>AI750161BIO</t>
  </si>
  <si>
    <t>AT750161B.Value</t>
  </si>
  <si>
    <t>AI760161AIO</t>
  </si>
  <si>
    <t>AT760161A.Value</t>
  </si>
  <si>
    <t>AI760161BIO</t>
  </si>
  <si>
    <t>AT760161B.Value</t>
  </si>
  <si>
    <t>AI790006IO</t>
  </si>
  <si>
    <t>AT790006.Value</t>
  </si>
  <si>
    <t>AI799206IO</t>
  </si>
  <si>
    <t>AT799206.Value</t>
  </si>
  <si>
    <t>AI799501IO</t>
  </si>
  <si>
    <t>AT799501.Value</t>
  </si>
  <si>
    <t>AI799502IO</t>
  </si>
  <si>
    <t>AT799502.Value</t>
  </si>
  <si>
    <t>AI799506IO</t>
  </si>
  <si>
    <t>AT799506.Value</t>
  </si>
  <si>
    <t>AI799507IO</t>
  </si>
  <si>
    <t>AT799507.Value</t>
  </si>
  <si>
    <t>AI799508IO</t>
  </si>
  <si>
    <t>AT799508.Value</t>
  </si>
  <si>
    <t>DI700018A_1oo2IO_MA1</t>
  </si>
  <si>
    <t>DT700018A.Value</t>
  </si>
  <si>
    <t>DI700018A_1oo2IO_MA2</t>
  </si>
  <si>
    <t>DT700018B.Value</t>
  </si>
  <si>
    <t>DI703002A_1oo2IO_MA1</t>
  </si>
  <si>
    <t>DT703002A.Value</t>
  </si>
  <si>
    <t>DI703002A_1oo2IO_MA2</t>
  </si>
  <si>
    <t>EI799650IO</t>
  </si>
  <si>
    <t>ET799650.Value</t>
  </si>
  <si>
    <t>EI799651IO</t>
  </si>
  <si>
    <t>ET799651.Value</t>
  </si>
  <si>
    <t>FI700001IO</t>
  </si>
  <si>
    <t>FT700001.Value</t>
  </si>
  <si>
    <t>FI700018A_1oo2IO_MA1</t>
  </si>
  <si>
    <t>FT700018.Value</t>
  </si>
  <si>
    <t>FI700018A_1oo2IO_MA2</t>
  </si>
  <si>
    <t>FI700018IO</t>
  </si>
  <si>
    <t>FI701001IO</t>
  </si>
  <si>
    <t>FT701001.Value</t>
  </si>
  <si>
    <t>FI701012IO</t>
  </si>
  <si>
    <t>FT701012.Value</t>
  </si>
  <si>
    <t>FI701129IO</t>
  </si>
  <si>
    <t>FT701129.Value</t>
  </si>
  <si>
    <t>FI703002A_1oo2IO_MA1</t>
  </si>
  <si>
    <t>FT703002A.Value</t>
  </si>
  <si>
    <t>FI703002A_1oo2IO_MA2</t>
  </si>
  <si>
    <t>FT703002B.Value</t>
  </si>
  <si>
    <t>FI703009A_1oo2IO_MA1</t>
  </si>
  <si>
    <t>FT703009A.Value</t>
  </si>
  <si>
    <t>FI703009A_1oo2IO_MA2</t>
  </si>
  <si>
    <t>FT703009B.Value</t>
  </si>
  <si>
    <t>FI703017IO</t>
  </si>
  <si>
    <t>FT703017.Value</t>
  </si>
  <si>
    <t>FI703035IO</t>
  </si>
  <si>
    <t>FT703035.Value</t>
  </si>
  <si>
    <t>FI720001IO</t>
  </si>
  <si>
    <t>FT720001.Value</t>
  </si>
  <si>
    <t>FI720010IO</t>
  </si>
  <si>
    <t>FT720010.Value</t>
  </si>
  <si>
    <t>FI720015IO</t>
  </si>
  <si>
    <t>FT720015.Value</t>
  </si>
  <si>
    <t>FI721001IO</t>
  </si>
  <si>
    <t>FT721001.Value</t>
  </si>
  <si>
    <t>FI721010IO</t>
  </si>
  <si>
    <t>FT721010.Value</t>
  </si>
  <si>
    <t>FI721016IO</t>
  </si>
  <si>
    <t>FT721016.Value</t>
  </si>
  <si>
    <t>FI722001IO</t>
  </si>
  <si>
    <t>FT722001.Value</t>
  </si>
  <si>
    <t>FI722016IO</t>
  </si>
  <si>
    <t>FT722016.Value</t>
  </si>
  <si>
    <t>FI722212IO</t>
  </si>
  <si>
    <t>FT722212.Value</t>
  </si>
  <si>
    <t>FI722213IO</t>
  </si>
  <si>
    <t>FT722213.Value</t>
  </si>
  <si>
    <t>FI730001IO</t>
  </si>
  <si>
    <t>FT730001.Value</t>
  </si>
  <si>
    <t>FI730016IO</t>
  </si>
  <si>
    <t>FT730016.Value</t>
  </si>
  <si>
    <t>FI730018IO</t>
  </si>
  <si>
    <t>FT730018.Value</t>
  </si>
  <si>
    <t>FI730020IO</t>
  </si>
  <si>
    <t>FT730020.Value</t>
  </si>
  <si>
    <t>FI730211IO</t>
  </si>
  <si>
    <t>FT730211.Value</t>
  </si>
  <si>
    <t>FI730215IO</t>
  </si>
  <si>
    <t>FT730215.Value</t>
  </si>
  <si>
    <t>FI730407IO</t>
  </si>
  <si>
    <t>FT730407.Value</t>
  </si>
  <si>
    <t>FI730411IO</t>
  </si>
  <si>
    <t>FT730411.Value</t>
  </si>
  <si>
    <t>FI740002IO</t>
  </si>
  <si>
    <t>FT740002.Value</t>
  </si>
  <si>
    <t>FI740017IO</t>
  </si>
  <si>
    <t>FT740017.Value</t>
  </si>
  <si>
    <t>FI740020IO</t>
  </si>
  <si>
    <t>FT740020.Value</t>
  </si>
  <si>
    <t>FI740028IO</t>
  </si>
  <si>
    <t>FT740028.Value</t>
  </si>
  <si>
    <t>FI740030IO</t>
  </si>
  <si>
    <t>FT740030.Value</t>
  </si>
  <si>
    <t>FI740107IO</t>
  </si>
  <si>
    <t>FT740107.Value</t>
  </si>
  <si>
    <t>FI740209IO</t>
  </si>
  <si>
    <t>FT740209.Value</t>
  </si>
  <si>
    <t>FI740213IO</t>
  </si>
  <si>
    <t>FT740213.Value</t>
  </si>
  <si>
    <t>FI740216IO</t>
  </si>
  <si>
    <t>FT740216.Value</t>
  </si>
  <si>
    <t>FI742007IO</t>
  </si>
  <si>
    <t>FT742007.Value</t>
  </si>
  <si>
    <t>FI742013IO</t>
  </si>
  <si>
    <t>FT742013.Value</t>
  </si>
  <si>
    <t>FI750002IO</t>
  </si>
  <si>
    <t>FT750002.Value</t>
  </si>
  <si>
    <t>FI750017IO</t>
  </si>
  <si>
    <t>FT750017.Value</t>
  </si>
  <si>
    <t>FI750020IO</t>
  </si>
  <si>
    <t>FT750020.Value</t>
  </si>
  <si>
    <t>FI750028IO</t>
  </si>
  <si>
    <t>FT750028.Value</t>
  </si>
  <si>
    <t>FI750107IO</t>
  </si>
  <si>
    <t>FT750107.Value</t>
  </si>
  <si>
    <t>FI750209IO</t>
  </si>
  <si>
    <t>FT750209.Value</t>
  </si>
  <si>
    <t>FI750213IO</t>
  </si>
  <si>
    <t>FT750213.Value</t>
  </si>
  <si>
    <t>FI750216IO</t>
  </si>
  <si>
    <t>FT750216.Value</t>
  </si>
  <si>
    <t>FI752007IO</t>
  </si>
  <si>
    <t>FT752007.Value</t>
  </si>
  <si>
    <t>FI752013IO</t>
  </si>
  <si>
    <t>FT752013.Value</t>
  </si>
  <si>
    <t>FI760002IO</t>
  </si>
  <si>
    <t>FT760002.Value</t>
  </si>
  <si>
    <t>FI760017IO</t>
  </si>
  <si>
    <t>FT760017.Value</t>
  </si>
  <si>
    <t>FI760020IO</t>
  </si>
  <si>
    <t>FT760020.Value</t>
  </si>
  <si>
    <t>FI760028IO</t>
  </si>
  <si>
    <t>FT760028.Value</t>
  </si>
  <si>
    <t>FI760107IO</t>
  </si>
  <si>
    <t>FT760107.Value</t>
  </si>
  <si>
    <t>FI760209IO</t>
  </si>
  <si>
    <t>FT760209.Value</t>
  </si>
  <si>
    <t>FI760213IO</t>
  </si>
  <si>
    <t>FT760213.Value</t>
  </si>
  <si>
    <t>FI760216IO</t>
  </si>
  <si>
    <t>FT760216.Value</t>
  </si>
  <si>
    <t>FI762007IO</t>
  </si>
  <si>
    <t>FT762007.Value</t>
  </si>
  <si>
    <t>FI762013IO</t>
  </si>
  <si>
    <t>FT762013.Value</t>
  </si>
  <si>
    <t>FI763007IO</t>
  </si>
  <si>
    <t>FT763007.Value</t>
  </si>
  <si>
    <t>FI763032IO</t>
  </si>
  <si>
    <t>FT763032.Value</t>
  </si>
  <si>
    <t>FI764007IO</t>
  </si>
  <si>
    <t>FT764007.Value</t>
  </si>
  <si>
    <t>FI764013IO</t>
  </si>
  <si>
    <t>FT764013.Value</t>
  </si>
  <si>
    <t>FI764033IO</t>
  </si>
  <si>
    <t>FT764033.Value</t>
  </si>
  <si>
    <t>FI770001IO</t>
  </si>
  <si>
    <t>FT770001.Value</t>
  </si>
  <si>
    <t>FI790012IO</t>
  </si>
  <si>
    <t>FT790012.Value</t>
  </si>
  <si>
    <t>FI790014IO</t>
  </si>
  <si>
    <t>FI790107IO</t>
  </si>
  <si>
    <t>FT790107.Value</t>
  </si>
  <si>
    <t>FI791001IO</t>
  </si>
  <si>
    <t>FT791001.Value</t>
  </si>
  <si>
    <t>FI792001IO</t>
  </si>
  <si>
    <t>FT792001.Value</t>
  </si>
  <si>
    <t>FI794003IO</t>
  </si>
  <si>
    <t>FT794003.Value</t>
  </si>
  <si>
    <t>FI796024IO</t>
  </si>
  <si>
    <t>FT796024.Value</t>
  </si>
  <si>
    <t>FI798512IO</t>
  </si>
  <si>
    <t>FT798512.Value</t>
  </si>
  <si>
    <t>FI798911IO</t>
  </si>
  <si>
    <t>FT798911.Value</t>
  </si>
  <si>
    <t>FI799206IO</t>
  </si>
  <si>
    <t>FT799206.Value</t>
  </si>
  <si>
    <t>HS700006IO_Amps</t>
  </si>
  <si>
    <t>JT700006.Value</t>
  </si>
  <si>
    <t>HS700007IO_Amps</t>
  </si>
  <si>
    <t>JT700007.Value</t>
  </si>
  <si>
    <t>HS700013IO_Amps</t>
  </si>
  <si>
    <t>JT700013.Value</t>
  </si>
  <si>
    <t>HS700014IO_Amps</t>
  </si>
  <si>
    <t>JT700014.Value</t>
  </si>
  <si>
    <t>HS701003IO_Amps</t>
  </si>
  <si>
    <t>JT701003.Value</t>
  </si>
  <si>
    <t>HS701004IO_Amps</t>
  </si>
  <si>
    <t>JT701004.Value</t>
  </si>
  <si>
    <t>HS722010IO_Amps</t>
  </si>
  <si>
    <t>JT722010.Value</t>
  </si>
  <si>
    <t>HS722011IO_Amps</t>
  </si>
  <si>
    <t>JT722011.Value</t>
  </si>
  <si>
    <t>HS722204IO_Amps</t>
  </si>
  <si>
    <t>JT722204.Value</t>
  </si>
  <si>
    <t>HS722205IO_Amps</t>
  </si>
  <si>
    <t>JT722205.Value</t>
  </si>
  <si>
    <t>HS730012IO_Amps</t>
  </si>
  <si>
    <t>JT730012.Value</t>
  </si>
  <si>
    <t>HS730013IO_Amps</t>
  </si>
  <si>
    <t>JT730013.Value</t>
  </si>
  <si>
    <t>HS730203IO_Amps</t>
  </si>
  <si>
    <t>JT730203.Value</t>
  </si>
  <si>
    <t>HS730204IO_Amps</t>
  </si>
  <si>
    <t>JT730204.Value</t>
  </si>
  <si>
    <t>HS730408IO_Amps</t>
  </si>
  <si>
    <t>JT730408.Value</t>
  </si>
  <si>
    <t>HS730409IO_Amps</t>
  </si>
  <si>
    <t>JT730409.Value</t>
  </si>
  <si>
    <t>HS740021IO_Amps</t>
  </si>
  <si>
    <t>JT740021.Value</t>
  </si>
  <si>
    <t>HS740022IO_Amps</t>
  </si>
  <si>
    <t>JT740022.Value</t>
  </si>
  <si>
    <t>HS740102IO_Amps</t>
  </si>
  <si>
    <t>JT740102.Value</t>
  </si>
  <si>
    <t>HS740103IO_Amps</t>
  </si>
  <si>
    <t>JT740103.Value</t>
  </si>
  <si>
    <t>HS740205IO_Amps</t>
  </si>
  <si>
    <t>JT740205.Value</t>
  </si>
  <si>
    <t>HS740206IO_Amps</t>
  </si>
  <si>
    <t>JT740206.Value</t>
  </si>
  <si>
    <t>HS741010IO_Amps</t>
  </si>
  <si>
    <t>JT741010.Value</t>
  </si>
  <si>
    <t>HS742010IO_Amps</t>
  </si>
  <si>
    <t>JT742010.Value</t>
  </si>
  <si>
    <t>HS750021IO_Amps</t>
  </si>
  <si>
    <t>JT750021.Value</t>
  </si>
  <si>
    <t>HS750022IO_Amps</t>
  </si>
  <si>
    <t>JT750022.Value</t>
  </si>
  <si>
    <t>HS750102IO_Amps</t>
  </si>
  <si>
    <t>JT750102.Value</t>
  </si>
  <si>
    <t>HS750103IO_Amps</t>
  </si>
  <si>
    <t>JT750103.Value</t>
  </si>
  <si>
    <t>HS750205IO_Amps</t>
  </si>
  <si>
    <t>JT750205.Value</t>
  </si>
  <si>
    <t>HS750206IO_Amps</t>
  </si>
  <si>
    <t>JT750206.Value</t>
  </si>
  <si>
    <t>HS751010IO_Amps</t>
  </si>
  <si>
    <t>JT751010.Value</t>
  </si>
  <si>
    <t>HS752010IO_Amps</t>
  </si>
  <si>
    <t>JT752010.Value</t>
  </si>
  <si>
    <t>HS760021IO_Amps</t>
  </si>
  <si>
    <t>JT760021.Value</t>
  </si>
  <si>
    <t>HS760022IO_Amps</t>
  </si>
  <si>
    <t>JT760022.Value</t>
  </si>
  <si>
    <t>HS760102IO_Amps</t>
  </si>
  <si>
    <t>JT760102.Value</t>
  </si>
  <si>
    <t>HS760103IO_Amps</t>
  </si>
  <si>
    <t>JT760103.Value</t>
  </si>
  <si>
    <t>HS760205IO_Amps</t>
  </si>
  <si>
    <t>JT760205.Value</t>
  </si>
  <si>
    <t>HS760206IO_Amps</t>
  </si>
  <si>
    <t>JT760206.Value</t>
  </si>
  <si>
    <t>HS761010IO_Amps</t>
  </si>
  <si>
    <t>JT761010.Value</t>
  </si>
  <si>
    <t>HS762010IO_Amps</t>
  </si>
  <si>
    <t>JT762010.Value</t>
  </si>
  <si>
    <t>HS763010IO_Amps</t>
  </si>
  <si>
    <t>JT763010.Value</t>
  </si>
  <si>
    <t>HS764010IO_Amps</t>
  </si>
  <si>
    <t>JT764010.Value</t>
  </si>
  <si>
    <t>HS772002IO_Amps</t>
  </si>
  <si>
    <t>JT772002.Value</t>
  </si>
  <si>
    <t>HS790101IO_Amps</t>
  </si>
  <si>
    <t>JT790101.Value</t>
  </si>
  <si>
    <t>HS790102IO_Amps</t>
  </si>
  <si>
    <t>JT790102.Value</t>
  </si>
  <si>
    <t>HS796001IO_Amps</t>
  </si>
  <si>
    <t>JT796001.Value</t>
  </si>
  <si>
    <t>HS796002IO_Amps</t>
  </si>
  <si>
    <t>JT796002.Value</t>
  </si>
  <si>
    <t>HS799004IO_Amps</t>
  </si>
  <si>
    <t>JT799004.Value</t>
  </si>
  <si>
    <t>HS799005IO_Amps</t>
  </si>
  <si>
    <t>JT799005.Value</t>
  </si>
  <si>
    <t>II799648IO</t>
  </si>
  <si>
    <t>TI799648.Value</t>
  </si>
  <si>
    <t>II799649IO</t>
  </si>
  <si>
    <t>TI799649.Value</t>
  </si>
  <si>
    <t>LI700003IO</t>
  </si>
  <si>
    <t>LT700003.Value</t>
  </si>
  <si>
    <t>LI701002IO</t>
  </si>
  <si>
    <t>LT701002.Value</t>
  </si>
  <si>
    <t>LI720005IO</t>
  </si>
  <si>
    <t>LT720005.Value</t>
  </si>
  <si>
    <t>LI720008IO</t>
  </si>
  <si>
    <t>LT720008.Value</t>
  </si>
  <si>
    <t>LI721005IO</t>
  </si>
  <si>
    <t>LT721005.Value</t>
  </si>
  <si>
    <t>LI721008IO</t>
  </si>
  <si>
    <t>LT721008.Value</t>
  </si>
  <si>
    <t>LI722005IO</t>
  </si>
  <si>
    <t>LT722005.Value</t>
  </si>
  <si>
    <t>LI722008IO</t>
  </si>
  <si>
    <t>LT722008.Value</t>
  </si>
  <si>
    <t>LI722014IO</t>
  </si>
  <si>
    <t>LT722014.Value</t>
  </si>
  <si>
    <t>LI722015IO</t>
  </si>
  <si>
    <t>LT722015.Value</t>
  </si>
  <si>
    <t>LI722202IO</t>
  </si>
  <si>
    <t>LT722202.Value</t>
  </si>
  <si>
    <t>LI730007IO</t>
  </si>
  <si>
    <t>LT730007.Value</t>
  </si>
  <si>
    <t>LI730010IO</t>
  </si>
  <si>
    <t>LT730010.Value</t>
  </si>
  <si>
    <t>LI730029IO</t>
  </si>
  <si>
    <t>LT730029.Value</t>
  </si>
  <si>
    <t>LI730030IO</t>
  </si>
  <si>
    <t>LT730030.Value</t>
  </si>
  <si>
    <t>LI730201IO</t>
  </si>
  <si>
    <t>LT730201.Value</t>
  </si>
  <si>
    <t>LI730402AIO</t>
  </si>
  <si>
    <t>LT730402A.Value</t>
  </si>
  <si>
    <t>LI730402BIO</t>
  </si>
  <si>
    <t>LT730402B.Value</t>
  </si>
  <si>
    <t>LI730425IO</t>
  </si>
  <si>
    <t>LT730425.Value</t>
  </si>
  <si>
    <t>LI730435IO</t>
  </si>
  <si>
    <t>LT730435.Value</t>
  </si>
  <si>
    <t>LI740012IO</t>
  </si>
  <si>
    <t>LT740012.Value</t>
  </si>
  <si>
    <t>LI740015IO</t>
  </si>
  <si>
    <t>LT740015.Value</t>
  </si>
  <si>
    <t>LI740023IO</t>
  </si>
  <si>
    <t>LT740023.Value</t>
  </si>
  <si>
    <t>LI740101IO</t>
  </si>
  <si>
    <t>LT740101.Value</t>
  </si>
  <si>
    <t>LI740125IO</t>
  </si>
  <si>
    <t>LT740125.Value</t>
  </si>
  <si>
    <t>LI740135IO</t>
  </si>
  <si>
    <t>LT740135.Value</t>
  </si>
  <si>
    <t>LI740203IO</t>
  </si>
  <si>
    <t>LT740203.Value</t>
  </si>
  <si>
    <t>LI740229IO</t>
  </si>
  <si>
    <t>LT740229.Value</t>
  </si>
  <si>
    <t>LI740239IO</t>
  </si>
  <si>
    <t>LT740239.Value</t>
  </si>
  <si>
    <t>LI741002AIO</t>
  </si>
  <si>
    <t>LT741002A.Value</t>
  </si>
  <si>
    <t>LI741002BIO</t>
  </si>
  <si>
    <t>LT741002B.Value</t>
  </si>
  <si>
    <t>LI741017IO</t>
  </si>
  <si>
    <t>LT741017.Value</t>
  </si>
  <si>
    <t>LI742025IO</t>
  </si>
  <si>
    <t>LT742025.Value</t>
  </si>
  <si>
    <t>LI750012IO</t>
  </si>
  <si>
    <t>LT750012.Value</t>
  </si>
  <si>
    <t>LI750015IO</t>
  </si>
  <si>
    <t>LT750015.Value</t>
  </si>
  <si>
    <t>LI750024IO</t>
  </si>
  <si>
    <t>LT750024.Value</t>
  </si>
  <si>
    <t>LI750101IO</t>
  </si>
  <si>
    <t>LT750101.Value</t>
  </si>
  <si>
    <t>LI750125IO</t>
  </si>
  <si>
    <t>LT750125.Value</t>
  </si>
  <si>
    <t>LI750135IO</t>
  </si>
  <si>
    <t>LT750135.Value</t>
  </si>
  <si>
    <t>LI750203IO</t>
  </si>
  <si>
    <t>LT750203.Value</t>
  </si>
  <si>
    <t>LI750229IO</t>
  </si>
  <si>
    <t>LT750229.Value</t>
  </si>
  <si>
    <t>LI750237IO</t>
  </si>
  <si>
    <t>LT750237.Value</t>
  </si>
  <si>
    <t>LI751002AIO</t>
  </si>
  <si>
    <t>LT751002A.Value</t>
  </si>
  <si>
    <t>LI751002BIO</t>
  </si>
  <si>
    <t>LT751002B.Value</t>
  </si>
  <si>
    <t>LI751017IO</t>
  </si>
  <si>
    <t>LT751017.Value</t>
  </si>
  <si>
    <t>LI752025IO</t>
  </si>
  <si>
    <t>LT752025.Value</t>
  </si>
  <si>
    <t>LI760012IO</t>
  </si>
  <si>
    <t>LT760012.Value</t>
  </si>
  <si>
    <t>LI760015IO</t>
  </si>
  <si>
    <t>LT760015.Value</t>
  </si>
  <si>
    <t>LI760023IO</t>
  </si>
  <si>
    <t>LT760023.Value</t>
  </si>
  <si>
    <t>LI760024IO</t>
  </si>
  <si>
    <t>LT760024.Value</t>
  </si>
  <si>
    <t>LI760101IO</t>
  </si>
  <si>
    <t>LT760101.Value</t>
  </si>
  <si>
    <t>LI760125IO</t>
  </si>
  <si>
    <t>LT760125.Value</t>
  </si>
  <si>
    <t>LI760135IO</t>
  </si>
  <si>
    <t>LT760135.Value</t>
  </si>
  <si>
    <t>LI760203IO</t>
  </si>
  <si>
    <t>LT760203.Value</t>
  </si>
  <si>
    <t>LI760229IO</t>
  </si>
  <si>
    <t>LT760229.Value</t>
  </si>
  <si>
    <t>LI760239IO</t>
  </si>
  <si>
    <t>LT760239.Value</t>
  </si>
  <si>
    <t>LI761002AIO</t>
  </si>
  <si>
    <t>LT761002A.Value</t>
  </si>
  <si>
    <t>LI761002BIO</t>
  </si>
  <si>
    <t>LT761002B.Value</t>
  </si>
  <si>
    <t>LI761017IO</t>
  </si>
  <si>
    <t>LT761017.Value</t>
  </si>
  <si>
    <t>LI762020IO</t>
  </si>
  <si>
    <t>LT762020.Value</t>
  </si>
  <si>
    <t>LI763002AIO</t>
  </si>
  <si>
    <t>LT763002A.Value</t>
  </si>
  <si>
    <t>LI763002BIO</t>
  </si>
  <si>
    <t>LT763002B.Value</t>
  </si>
  <si>
    <t>LI763020IO</t>
  </si>
  <si>
    <t>LT763020.Value</t>
  </si>
  <si>
    <t>LI764002AIO</t>
  </si>
  <si>
    <t>LT764002A.Value</t>
  </si>
  <si>
    <t>LI764002BIO</t>
  </si>
  <si>
    <t>LT764002B.Value</t>
  </si>
  <si>
    <t>LI764020IO</t>
  </si>
  <si>
    <t>LT764020.Value</t>
  </si>
  <si>
    <t>LI772001IO</t>
  </si>
  <si>
    <t>LT772001.Value</t>
  </si>
  <si>
    <t>LI790010AIO</t>
  </si>
  <si>
    <t>LT790010A.Value</t>
  </si>
  <si>
    <t>LI790010BIO</t>
  </si>
  <si>
    <t>LT790010B.Value</t>
  </si>
  <si>
    <t>LI796005IO</t>
  </si>
  <si>
    <t>LT796005.Value</t>
  </si>
  <si>
    <t>LI799016AIO</t>
  </si>
  <si>
    <t>LT799016A.Value</t>
  </si>
  <si>
    <t>LI799016BIO</t>
  </si>
  <si>
    <t>LT799016B.Value</t>
  </si>
  <si>
    <t>PDI701011IO</t>
  </si>
  <si>
    <t>PDT701011.Value</t>
  </si>
  <si>
    <t>PDI701016IO</t>
  </si>
  <si>
    <t>PDT701016.Value</t>
  </si>
  <si>
    <t>PDI701130IO</t>
  </si>
  <si>
    <t>PDT701130.Value</t>
  </si>
  <si>
    <t>PDI703007AIO</t>
  </si>
  <si>
    <t>PDT703007A.Value</t>
  </si>
  <si>
    <t>PDI703007BIO</t>
  </si>
  <si>
    <t>PDT703007B.Value</t>
  </si>
  <si>
    <t>PDI703013IO</t>
  </si>
  <si>
    <t>PDT703013.Value</t>
  </si>
  <si>
    <t>PDI703027IO</t>
  </si>
  <si>
    <t>PDT703027.Value</t>
  </si>
  <si>
    <t>PDI705001IO</t>
  </si>
  <si>
    <t>PDT705001.Value</t>
  </si>
  <si>
    <t>PDI722210IO</t>
  </si>
  <si>
    <t>PDT722210.Value</t>
  </si>
  <si>
    <t>PDI730025IO</t>
  </si>
  <si>
    <t>PDT730025.Value</t>
  </si>
  <si>
    <t>PDI730026IO</t>
  </si>
  <si>
    <t>PDT730026.Value</t>
  </si>
  <si>
    <t>PDI730027IO</t>
  </si>
  <si>
    <t>PDT730027.Value</t>
  </si>
  <si>
    <t>PDI730213IO</t>
  </si>
  <si>
    <t>PDT730213.Value</t>
  </si>
  <si>
    <t>PDI740001IO</t>
  </si>
  <si>
    <t>PDT740001.Value</t>
  </si>
  <si>
    <t>PDI740005IO</t>
  </si>
  <si>
    <t>PDT740005.Value</t>
  </si>
  <si>
    <t>PDI740006IO</t>
  </si>
  <si>
    <t>PDT740006.Value</t>
  </si>
  <si>
    <t>PDI740014IO</t>
  </si>
  <si>
    <t>PDT740014.Value</t>
  </si>
  <si>
    <t>PDI740219IO</t>
  </si>
  <si>
    <t>PDT740219.Value</t>
  </si>
  <si>
    <t>PDI742015IO</t>
  </si>
  <si>
    <t>PDT742015.Value</t>
  </si>
  <si>
    <t>PDI742017IO</t>
  </si>
  <si>
    <t>PDT742017.Value</t>
  </si>
  <si>
    <t>PDI742019IO</t>
  </si>
  <si>
    <t>PDT742019.Value</t>
  </si>
  <si>
    <t>PDI750001IO</t>
  </si>
  <si>
    <t>PDT750001.Value</t>
  </si>
  <si>
    <t>PDI750005IO</t>
  </si>
  <si>
    <t>PDT750005.Value</t>
  </si>
  <si>
    <t>PDI750006IO</t>
  </si>
  <si>
    <t>PDT750006.Value</t>
  </si>
  <si>
    <t>PDI750014IO</t>
  </si>
  <si>
    <t>PDT750014.Value</t>
  </si>
  <si>
    <t>PDI750219IO</t>
  </si>
  <si>
    <t>PDT750219.Value</t>
  </si>
  <si>
    <t>PDI752015IO</t>
  </si>
  <si>
    <t>PDT752015.Value</t>
  </si>
  <si>
    <t>PDI760001IO</t>
  </si>
  <si>
    <t>PDT760001.Value</t>
  </si>
  <si>
    <t>PDI760005IO</t>
  </si>
  <si>
    <t>PDT760005.Value</t>
  </si>
  <si>
    <t>PDI760006IO</t>
  </si>
  <si>
    <t>PDT760006.Value</t>
  </si>
  <si>
    <t>PDI760014IO</t>
  </si>
  <si>
    <t>PDT760014.Value</t>
  </si>
  <si>
    <t>PDI760219IO</t>
  </si>
  <si>
    <t>PDT760219.Value</t>
  </si>
  <si>
    <t>PDI790016IO</t>
  </si>
  <si>
    <t>PDT790016.Value</t>
  </si>
  <si>
    <t>PDI791008IO</t>
  </si>
  <si>
    <t>PDT791008.Value</t>
  </si>
  <si>
    <t>PDI792003IO</t>
  </si>
  <si>
    <t>PDT792003.Value</t>
  </si>
  <si>
    <t>PDI794004IO</t>
  </si>
  <si>
    <t>PDT794004.Value</t>
  </si>
  <si>
    <t>PDI794006IO</t>
  </si>
  <si>
    <t>PDT794006.Value</t>
  </si>
  <si>
    <t>PDI796011IO</t>
  </si>
  <si>
    <t>PDT796011.Value</t>
  </si>
  <si>
    <t>PI700005IO</t>
  </si>
  <si>
    <t>PT700005.Value</t>
  </si>
  <si>
    <t>PI700012IO</t>
  </si>
  <si>
    <t>PT700012.Value</t>
  </si>
  <si>
    <t>PI701017IO</t>
  </si>
  <si>
    <t>PT701017.Value</t>
  </si>
  <si>
    <t>PI701101IO</t>
  </si>
  <si>
    <t>PT701101.Value</t>
  </si>
  <si>
    <t>PI701104IO</t>
  </si>
  <si>
    <t>PT701104.Value</t>
  </si>
  <si>
    <t>PI703016IO</t>
  </si>
  <si>
    <t>PT703016.Value</t>
  </si>
  <si>
    <t>PI703035IO</t>
  </si>
  <si>
    <t>PT703035.Value</t>
  </si>
  <si>
    <t>PI703037IO</t>
  </si>
  <si>
    <t>PT703037.Value</t>
  </si>
  <si>
    <t>PI704008A_1oo2IO_MA1</t>
  </si>
  <si>
    <t>PT704008A.Value</t>
  </si>
  <si>
    <t>PI704008A_1oo2IO_MA2</t>
  </si>
  <si>
    <t>PT704008B.Value</t>
  </si>
  <si>
    <t>PI720003AIO</t>
  </si>
  <si>
    <t>PT720003A.Value</t>
  </si>
  <si>
    <t>PI720003BIO</t>
  </si>
  <si>
    <t>PT720003B.Value</t>
  </si>
  <si>
    <t>PI720007IO</t>
  </si>
  <si>
    <t>PT720007.Value</t>
  </si>
  <si>
    <t>PI721003IO</t>
  </si>
  <si>
    <t>PT721003.Value</t>
  </si>
  <si>
    <t>PI721007IO</t>
  </si>
  <si>
    <t>PT721007.Value</t>
  </si>
  <si>
    <t>PI722003IO</t>
  </si>
  <si>
    <t>PT722003.Value</t>
  </si>
  <si>
    <t>PI722007IO</t>
  </si>
  <si>
    <t>PT722007.Value</t>
  </si>
  <si>
    <t>PI722027IO</t>
  </si>
  <si>
    <t>PT722027.Value</t>
  </si>
  <si>
    <t>PI722037IO</t>
  </si>
  <si>
    <t>PT722037.Value</t>
  </si>
  <si>
    <t>PI730005IO</t>
  </si>
  <si>
    <t>PT730005.Value</t>
  </si>
  <si>
    <t>PI730006IO</t>
  </si>
  <si>
    <t>PT730006.Value</t>
  </si>
  <si>
    <t>PI730028IO</t>
  </si>
  <si>
    <t>PT730028.Value</t>
  </si>
  <si>
    <t>PI730038IO</t>
  </si>
  <si>
    <t>PT730038.Value</t>
  </si>
  <si>
    <t>PI730045IO</t>
  </si>
  <si>
    <t>PT730045.Value</t>
  </si>
  <si>
    <t>PI730055IO</t>
  </si>
  <si>
    <t>PT730055.Value</t>
  </si>
  <si>
    <t>PI730404IO</t>
  </si>
  <si>
    <t>PT730404.Value</t>
  </si>
  <si>
    <t>PI730423IO</t>
  </si>
  <si>
    <t>PT730423.Value</t>
  </si>
  <si>
    <t>PI730433IO</t>
  </si>
  <si>
    <t>PT730433.Value</t>
  </si>
  <si>
    <t>PI740011IO</t>
  </si>
  <si>
    <t>PT740011.Value</t>
  </si>
  <si>
    <t>PI740019IO</t>
  </si>
  <si>
    <t>PT740019.Value</t>
  </si>
  <si>
    <t>PI740045IO</t>
  </si>
  <si>
    <t>PT740045.Value</t>
  </si>
  <si>
    <t>PI740055IO</t>
  </si>
  <si>
    <t>PT740055.Value</t>
  </si>
  <si>
    <t>PI740123IO</t>
  </si>
  <si>
    <t>PT740123.Value</t>
  </si>
  <si>
    <t>PI740133IO</t>
  </si>
  <si>
    <t>PT740133.Value</t>
  </si>
  <si>
    <t>PI740201IO</t>
  </si>
  <si>
    <t>PT740201.Value</t>
  </si>
  <si>
    <t>PI740202IO</t>
  </si>
  <si>
    <t>PT740202.Value</t>
  </si>
  <si>
    <t>PI740227IO</t>
  </si>
  <si>
    <t>PT740227.Value</t>
  </si>
  <si>
    <t>PI740237IO</t>
  </si>
  <si>
    <t>PT740237.Value</t>
  </si>
  <si>
    <t>PI741004IO</t>
  </si>
  <si>
    <t>PT741004.Value</t>
  </si>
  <si>
    <t>PI741015IO</t>
  </si>
  <si>
    <t>PT741015.Value</t>
  </si>
  <si>
    <t>PI742023IO</t>
  </si>
  <si>
    <t>PT742023.Value</t>
  </si>
  <si>
    <t>PI750011IO</t>
  </si>
  <si>
    <t>PT750011.Value</t>
  </si>
  <si>
    <t>PI750019IO</t>
  </si>
  <si>
    <t>PT750019.Value</t>
  </si>
  <si>
    <t>PI750045IO</t>
  </si>
  <si>
    <t>PT750045.Value</t>
  </si>
  <si>
    <t>PI750055IO</t>
  </si>
  <si>
    <t>PT750055.Value</t>
  </si>
  <si>
    <t>PI750123IO</t>
  </si>
  <si>
    <t>PT750123.Value</t>
  </si>
  <si>
    <t>PI750133IO</t>
  </si>
  <si>
    <t>PT750133.Value</t>
  </si>
  <si>
    <t>PI750201IO</t>
  </si>
  <si>
    <t>PT750201.Value</t>
  </si>
  <si>
    <t>PI750202IO</t>
  </si>
  <si>
    <t>PT750202.Value</t>
  </si>
  <si>
    <t>PI750227IO</t>
  </si>
  <si>
    <t>PT750227.Value</t>
  </si>
  <si>
    <t>PI750237IO</t>
  </si>
  <si>
    <t>PT750237.Value</t>
  </si>
  <si>
    <t>PI751004IO</t>
  </si>
  <si>
    <t>PT751004.Value</t>
  </si>
  <si>
    <t>PI751015IO</t>
  </si>
  <si>
    <t>PT751015.Value</t>
  </si>
  <si>
    <t>PI752023IO</t>
  </si>
  <si>
    <t>PT752023.Value</t>
  </si>
  <si>
    <t>PI760011IO</t>
  </si>
  <si>
    <t>PT760011.Value</t>
  </si>
  <si>
    <t>PI760019IO</t>
  </si>
  <si>
    <t>PT760019.Value</t>
  </si>
  <si>
    <t>PI760045IO</t>
  </si>
  <si>
    <t>PT760045.Value</t>
  </si>
  <si>
    <t>PI760055IO</t>
  </si>
  <si>
    <t>PT760055.Value</t>
  </si>
  <si>
    <t>PI760123IO</t>
  </si>
  <si>
    <t>PT760123.Value</t>
  </si>
  <si>
    <t>PI760133IO</t>
  </si>
  <si>
    <t>PT760133.Value</t>
  </si>
  <si>
    <t>PI760201IO</t>
  </si>
  <si>
    <t>PT760201.Value</t>
  </si>
  <si>
    <t>PI760202IO</t>
  </si>
  <si>
    <t>PT760202.Value</t>
  </si>
  <si>
    <t>PI760227IO</t>
  </si>
  <si>
    <t>PT760227.Value</t>
  </si>
  <si>
    <t>PI760237IO</t>
  </si>
  <si>
    <t>PT760237.Value</t>
  </si>
  <si>
    <t>PI761004IO</t>
  </si>
  <si>
    <t>PT761004.Value</t>
  </si>
  <si>
    <t>PI761015IO</t>
  </si>
  <si>
    <t>PT761015.Value</t>
  </si>
  <si>
    <t>PI762018IO</t>
  </si>
  <si>
    <t>PT762018.Value</t>
  </si>
  <si>
    <t>PI763004IO</t>
  </si>
  <si>
    <t>PT763004.Value</t>
  </si>
  <si>
    <t>PI763018IO</t>
  </si>
  <si>
    <t>PT763018.Value</t>
  </si>
  <si>
    <t>PI764004IO</t>
  </si>
  <si>
    <t>PT764004.Value</t>
  </si>
  <si>
    <t>PI764018IO</t>
  </si>
  <si>
    <t>PT764018.Value</t>
  </si>
  <si>
    <t>PI790007IO</t>
  </si>
  <si>
    <t>PT790007.Value</t>
  </si>
  <si>
    <t>PI790012IO</t>
  </si>
  <si>
    <t>PT790012.Value</t>
  </si>
  <si>
    <t>PI791003IO</t>
  </si>
  <si>
    <t>PT791003.Value</t>
  </si>
  <si>
    <t>PI791006IO</t>
  </si>
  <si>
    <t>PT791006.Value</t>
  </si>
  <si>
    <t>PI792005IO</t>
  </si>
  <si>
    <t>PT792005.Value</t>
  </si>
  <si>
    <t>PI792007IO</t>
  </si>
  <si>
    <t>PT792007.Value</t>
  </si>
  <si>
    <t>PI794005IO</t>
  </si>
  <si>
    <t>PT794005.Value</t>
  </si>
  <si>
    <t>PI794010IO</t>
  </si>
  <si>
    <t>PT794010.Value</t>
  </si>
  <si>
    <t>PI796003IO</t>
  </si>
  <si>
    <t>PT796003.Value</t>
  </si>
  <si>
    <t>PI796004IO</t>
  </si>
  <si>
    <t>PT796004.Value</t>
  </si>
  <si>
    <t>PI799010IO</t>
  </si>
  <si>
    <t>PT799010.Value</t>
  </si>
  <si>
    <t>TI700004IO</t>
  </si>
  <si>
    <t>TT700004.Value</t>
  </si>
  <si>
    <t>TI701013IO</t>
  </si>
  <si>
    <t>TT701013.Value</t>
  </si>
  <si>
    <t>TI703014A_2oo3IO_MA1</t>
  </si>
  <si>
    <t>TT703014A.Value</t>
  </si>
  <si>
    <t>TI703014A_2oo3IO_MA2</t>
  </si>
  <si>
    <t>TT703014B.Value</t>
  </si>
  <si>
    <t>TI703014A_2oo3IO_MA3</t>
  </si>
  <si>
    <t>TT703014C.Value</t>
  </si>
  <si>
    <t>TI704001IO</t>
  </si>
  <si>
    <t>TT704001.Value</t>
  </si>
  <si>
    <t>TI704002IO</t>
  </si>
  <si>
    <t>TT704002.Value</t>
  </si>
  <si>
    <t>TI704003IO</t>
  </si>
  <si>
    <t>TT704003.Value</t>
  </si>
  <si>
    <t>TI704004IO</t>
  </si>
  <si>
    <t>TT704004.Value</t>
  </si>
  <si>
    <t>TI704005IO</t>
  </si>
  <si>
    <t>TT704005.Value</t>
  </si>
  <si>
    <t>TI704006IO</t>
  </si>
  <si>
    <t>TT704006.Value</t>
  </si>
  <si>
    <t>TI704007IO</t>
  </si>
  <si>
    <t>TT704007.Value</t>
  </si>
  <si>
    <t>TI705006IO</t>
  </si>
  <si>
    <t>TT705006.Value</t>
  </si>
  <si>
    <t>TI720004IO</t>
  </si>
  <si>
    <t>TT720004.Value</t>
  </si>
  <si>
    <t>TI720006IO</t>
  </si>
  <si>
    <t>TT720006.Value</t>
  </si>
  <si>
    <t>TI721004IO</t>
  </si>
  <si>
    <t>TT721004.Value</t>
  </si>
  <si>
    <t>TI721006IO</t>
  </si>
  <si>
    <t>TT721006.Value</t>
  </si>
  <si>
    <t>TI722004IO</t>
  </si>
  <si>
    <t>TT722004.Value</t>
  </si>
  <si>
    <t>TI722006IO</t>
  </si>
  <si>
    <t>TT722006.Value</t>
  </si>
  <si>
    <t>TI722201IO</t>
  </si>
  <si>
    <t>TT722201.Value</t>
  </si>
  <si>
    <t>TI730004IO</t>
  </si>
  <si>
    <t>TT730004.Value</t>
  </si>
  <si>
    <t>TI730008IO</t>
  </si>
  <si>
    <t>TT730008.Value</t>
  </si>
  <si>
    <t>TI730009IO</t>
  </si>
  <si>
    <t>TT730009.Value</t>
  </si>
  <si>
    <t>TI730022IO</t>
  </si>
  <si>
    <t>TT730022.Value</t>
  </si>
  <si>
    <t>TI730023IO</t>
  </si>
  <si>
    <t>TT730023.Value</t>
  </si>
  <si>
    <t>TI730202IO</t>
  </si>
  <si>
    <t>TT730202.Value</t>
  </si>
  <si>
    <t>TI730413IO</t>
  </si>
  <si>
    <t>TT730413.Value</t>
  </si>
  <si>
    <t>TI740008IO</t>
  </si>
  <si>
    <t>TT740008.Value</t>
  </si>
  <si>
    <t>TI740009IO</t>
  </si>
  <si>
    <t>TT740009.Value</t>
  </si>
  <si>
    <t>TI740010IO</t>
  </si>
  <si>
    <t>TT740010.Value</t>
  </si>
  <si>
    <t>TI740013IO</t>
  </si>
  <si>
    <t>TT740013.Value</t>
  </si>
  <si>
    <t>TI740110IO</t>
  </si>
  <si>
    <t>TT740110.Value</t>
  </si>
  <si>
    <t>TI740204IO</t>
  </si>
  <si>
    <t>TT740204.Value</t>
  </si>
  <si>
    <t>TI740220IO</t>
  </si>
  <si>
    <t>TT740220.Value</t>
  </si>
  <si>
    <t>TI741009IO</t>
  </si>
  <si>
    <t>TT741009.Value</t>
  </si>
  <si>
    <t>TI750008IO</t>
  </si>
  <si>
    <t>TT750008.Value</t>
  </si>
  <si>
    <t>TI750009IO</t>
  </si>
  <si>
    <t>TT750009.Value</t>
  </si>
  <si>
    <t>TI750010IO</t>
  </si>
  <si>
    <t>TT750010.Value</t>
  </si>
  <si>
    <t>TI750013IO</t>
  </si>
  <si>
    <t>TT750013.Value</t>
  </si>
  <si>
    <t>TI750110IO</t>
  </si>
  <si>
    <t>TT750110.Value</t>
  </si>
  <si>
    <t>TI750204IO</t>
  </si>
  <si>
    <t>TT750204.Value</t>
  </si>
  <si>
    <t>TI750220IO</t>
  </si>
  <si>
    <t>TT750220.Value</t>
  </si>
  <si>
    <t>TI751009IO</t>
  </si>
  <si>
    <t>TT751009.Value</t>
  </si>
  <si>
    <t>TI760008IO</t>
  </si>
  <si>
    <t>TT760008.Value</t>
  </si>
  <si>
    <t>TI760009IO</t>
  </si>
  <si>
    <t>TT760009.Value</t>
  </si>
  <si>
    <t>TI760010IO</t>
  </si>
  <si>
    <t>TT760010.Value</t>
  </si>
  <si>
    <t>TI760013IO</t>
  </si>
  <si>
    <t>TT760013.Value</t>
  </si>
  <si>
    <t>TI760110IO</t>
  </si>
  <si>
    <t>TT760110.Value</t>
  </si>
  <si>
    <t>TI760204IO</t>
  </si>
  <si>
    <t>TT760204.Value</t>
  </si>
  <si>
    <t>TI760220IO</t>
  </si>
  <si>
    <t>TT760220.Value</t>
  </si>
  <si>
    <t>TI761009IO</t>
  </si>
  <si>
    <t>TT761009.Value</t>
  </si>
  <si>
    <t>TI763009IO</t>
  </si>
  <si>
    <t>TT763009.Value</t>
  </si>
  <si>
    <t>TI764009IO</t>
  </si>
  <si>
    <t>TT764009.Value</t>
  </si>
  <si>
    <t>TI790005IO</t>
  </si>
  <si>
    <t>TT790005.Value</t>
  </si>
  <si>
    <t>TI791004IO</t>
  </si>
  <si>
    <t>TT791004.Value</t>
  </si>
  <si>
    <t>TI791007IO</t>
  </si>
  <si>
    <t>TT791007.Value</t>
  </si>
  <si>
    <t>TI793004IO</t>
  </si>
  <si>
    <t>TT793004.Value</t>
  </si>
  <si>
    <t>TI799011IO</t>
  </si>
  <si>
    <t>TT799011.Value</t>
  </si>
  <si>
    <t>TI799203IO</t>
  </si>
  <si>
    <t>TT799203.Value</t>
  </si>
  <si>
    <t>TI799640IO</t>
  </si>
  <si>
    <t>TT799640.Value</t>
  </si>
  <si>
    <t>TI799642IO</t>
  </si>
  <si>
    <t>TT799642.Value</t>
  </si>
  <si>
    <t>TI799643IO</t>
  </si>
  <si>
    <t>TT799643.Value</t>
  </si>
  <si>
    <t>XI799009IO</t>
  </si>
  <si>
    <t>XT799009.Value</t>
  </si>
  <si>
    <t>Transmitters</t>
  </si>
  <si>
    <t>AT702008</t>
  </si>
  <si>
    <t>AT702009</t>
  </si>
  <si>
    <t>AT740106</t>
  </si>
  <si>
    <t>AT750161A</t>
  </si>
  <si>
    <t>AT750161B</t>
  </si>
  <si>
    <t>AT760161A</t>
  </si>
  <si>
    <t>AT760161B</t>
  </si>
  <si>
    <t>AT790006</t>
  </si>
  <si>
    <t>AT799206</t>
  </si>
  <si>
    <t>AT799501</t>
  </si>
  <si>
    <t>AT799502</t>
  </si>
  <si>
    <t>AT799506</t>
  </si>
  <si>
    <t>AT799507</t>
  </si>
  <si>
    <t>AT799508</t>
  </si>
  <si>
    <t>OVERVIEW.PCSD_R7040.7220A_T7220</t>
  </si>
  <si>
    <t>DFC3757220A01</t>
  </si>
  <si>
    <t>OVERVIEW.PCSD_R7040.7210_T7210</t>
  </si>
  <si>
    <t>DFT375720002</t>
  </si>
  <si>
    <t>OVERVIEW.PCSD_R7040.7030B_E7030</t>
  </si>
  <si>
    <t>DFT70301</t>
  </si>
  <si>
    <t>OVERVIEW.PCSD_T7500.7600A_FL7600A</t>
  </si>
  <si>
    <t>DFT76000</t>
  </si>
  <si>
    <t>OVERVIEW.PCSD_EWSS375.7990A_D7990</t>
  </si>
  <si>
    <t>DPT3757990A01</t>
  </si>
  <si>
    <t>OVERVIEW.PCSD_R7040.7200_T7200</t>
  </si>
  <si>
    <t>DPT720003</t>
  </si>
  <si>
    <t>DT700018A</t>
  </si>
  <si>
    <t>DT700018B</t>
  </si>
  <si>
    <t>OVERVIEW.PCSD_V7630.7992B</t>
  </si>
  <si>
    <t>DT703002A</t>
  </si>
  <si>
    <t>DT703002B</t>
  </si>
  <si>
    <t>ET799650</t>
  </si>
  <si>
    <t>ET799651</t>
  </si>
  <si>
    <t>OVERVIEW.PCSD_R7040.7000A_D7000</t>
  </si>
  <si>
    <t>FT700001</t>
  </si>
  <si>
    <t>OVERVIEW.PCSD_R7040.7000B_P7000</t>
  </si>
  <si>
    <t>FT700018</t>
  </si>
  <si>
    <t>OVERVIEW.PCSD_R7040.7010_D7010</t>
  </si>
  <si>
    <t>FT701001</t>
  </si>
  <si>
    <t>OVERVIEW.PCSD_R7040.7992E</t>
  </si>
  <si>
    <t>FT701012</t>
  </si>
  <si>
    <t>FT701129</t>
  </si>
  <si>
    <t>FT703002A</t>
  </si>
  <si>
    <t>FT703002B</t>
  </si>
  <si>
    <t>OVERVIEW.PCSD_R7040.7030A_MM7030</t>
  </si>
  <si>
    <t>FT703009A</t>
  </si>
  <si>
    <t>FT703009B</t>
  </si>
  <si>
    <t>FT703017</t>
  </si>
  <si>
    <t>FT703035</t>
  </si>
  <si>
    <t>FT720001</t>
  </si>
  <si>
    <t>FT720010</t>
  </si>
  <si>
    <t>FT720015</t>
  </si>
  <si>
    <t>FT721001</t>
  </si>
  <si>
    <t>FT721010</t>
  </si>
  <si>
    <t>FT721016</t>
  </si>
  <si>
    <t>FT722001</t>
  </si>
  <si>
    <t>FT722016</t>
  </si>
  <si>
    <t>OVERVIEW.PCSD_R7040.7222_E7222</t>
  </si>
  <si>
    <t>FT722212</t>
  </si>
  <si>
    <t>FT722213</t>
  </si>
  <si>
    <t>OVERVIEW.PCSD_R7040.7300A_FL7300AB</t>
  </si>
  <si>
    <t>FT730001</t>
  </si>
  <si>
    <t>OVERVIEW.PCSD_T7300.7300B_T7300</t>
  </si>
  <si>
    <t>FT730016</t>
  </si>
  <si>
    <t>FT730018</t>
  </si>
  <si>
    <t>OVERVIEW.PCSD_T7300.7300C_P7300AB</t>
  </si>
  <si>
    <t>FT730020</t>
  </si>
  <si>
    <t>OVERVIEW.PCSD_T7300.7302_E7302</t>
  </si>
  <si>
    <t>FT730211</t>
  </si>
  <si>
    <t>FT730215</t>
  </si>
  <si>
    <t>OVERVIEW.PCSD_V7304.7304_V7304</t>
  </si>
  <si>
    <t>FT730407</t>
  </si>
  <si>
    <t>FT730411</t>
  </si>
  <si>
    <t>OVERVIEW.PCSD_T7300.7400A_FL7400AB</t>
  </si>
  <si>
    <t>FT740002</t>
  </si>
  <si>
    <t>OVERVIEW.PCSD_T7400.7400B_T7400</t>
  </si>
  <si>
    <t>FT740003</t>
  </si>
  <si>
    <t>FT740004</t>
  </si>
  <si>
    <t>FT740017</t>
  </si>
  <si>
    <t>OVERVIEW.PCSD_T7400.7400C_P7400AB</t>
  </si>
  <si>
    <t>FT740020</t>
  </si>
  <si>
    <t>FT740028</t>
  </si>
  <si>
    <t>FT740030</t>
  </si>
  <si>
    <t>OVERVIEW.PCSD_T7400.7401_E7401</t>
  </si>
  <si>
    <t>FT740107</t>
  </si>
  <si>
    <t>OVERVIEW.PCSD_T7400.7402_E7402</t>
  </si>
  <si>
    <t>FT740209</t>
  </si>
  <si>
    <t>FT740213</t>
  </si>
  <si>
    <t>FT740216</t>
  </si>
  <si>
    <t>OVERVIEW.PCSD_V7410.7420_P7410B</t>
  </si>
  <si>
    <t>FT742007</t>
  </si>
  <si>
    <t>OVERVIEW.PCSD_V7410.7992A</t>
  </si>
  <si>
    <t>FT742013</t>
  </si>
  <si>
    <t>OVERVIEW.PCSD_T7400.7500A_FL7500AB</t>
  </si>
  <si>
    <t>FT750002</t>
  </si>
  <si>
    <t>OVERVIEW.PCSD_T7500.7500B_T7500</t>
  </si>
  <si>
    <t>FT750003</t>
  </si>
  <si>
    <t>OVERVIEW.PCSD_T7600.7600B_T7600</t>
  </si>
  <si>
    <t>FT750004</t>
  </si>
  <si>
    <t>FT750017</t>
  </si>
  <si>
    <t>OVERVIEW.PCSD_T7500.7500C_P7500AB</t>
  </si>
  <si>
    <t>FT750020</t>
  </si>
  <si>
    <t>FT750028</t>
  </si>
  <si>
    <t>OVERVIEW.PCSD_T7500.7501_E7501</t>
  </si>
  <si>
    <t>FT750107</t>
  </si>
  <si>
    <t>OVERVIEW.PCSD_T7500.7502_E7502</t>
  </si>
  <si>
    <t>FT750209</t>
  </si>
  <si>
    <t>FT750213</t>
  </si>
  <si>
    <t>FT750216</t>
  </si>
  <si>
    <t>OVERVIEW.PCSD_V7510.7520_P7510B</t>
  </si>
  <si>
    <t>FT752007</t>
  </si>
  <si>
    <t>FT752013</t>
  </si>
  <si>
    <t>FT760002</t>
  </si>
  <si>
    <t>FT760017</t>
  </si>
  <si>
    <t>OVERVIEW.PCSD_T7600.7600C_P7600AB</t>
  </si>
  <si>
    <t>FT760020</t>
  </si>
  <si>
    <t>FT760028</t>
  </si>
  <si>
    <t>OVERVIEW.PCSD_T7600.7601_E7601</t>
  </si>
  <si>
    <t>FT760107</t>
  </si>
  <si>
    <t>FT760108</t>
  </si>
  <si>
    <t>OVERVIEW.PCSD_T7600.7602_E7602</t>
  </si>
  <si>
    <t>FT760209</t>
  </si>
  <si>
    <t>FT760210</t>
  </si>
  <si>
    <t>FT760213</t>
  </si>
  <si>
    <t>FT760216</t>
  </si>
  <si>
    <t>OVERVIEW.PCSD_V7610.7620_P7610B</t>
  </si>
  <si>
    <t>FT762007</t>
  </si>
  <si>
    <t>FT762013</t>
  </si>
  <si>
    <t>OVERVIEW.PCSD_V7630.7630_V7630</t>
  </si>
  <si>
    <t>FT763007</t>
  </si>
  <si>
    <t>FT763032</t>
  </si>
  <si>
    <t>OVERVIEW.PCSD_V7640.7640_V7640</t>
  </si>
  <si>
    <t>FT764007</t>
  </si>
  <si>
    <t>FT764013</t>
  </si>
  <si>
    <t>FT764033</t>
  </si>
  <si>
    <t>OVERVIEW.PCSD_PU7700.7700_PU7700</t>
  </si>
  <si>
    <t>FT770001</t>
  </si>
  <si>
    <t>OVERVIEW.PCSD_D7900.7992D</t>
  </si>
  <si>
    <t>FT790012</t>
  </si>
  <si>
    <t>OVERVIEW.PCSD_D7900.7901_P7901</t>
  </si>
  <si>
    <t>FT790107</t>
  </si>
  <si>
    <t>FT791001</t>
  </si>
  <si>
    <t>OVERVIEW.PCSD_UTIL375.7992C</t>
  </si>
  <si>
    <t>FT792001</t>
  </si>
  <si>
    <t>FT794003</t>
  </si>
  <si>
    <t>FT796024</t>
  </si>
  <si>
    <t>FT798512</t>
  </si>
  <si>
    <t>FT798911</t>
  </si>
  <si>
    <t>FT799206</t>
  </si>
  <si>
    <t>OVERVIEW.PCSD_PU7700.7011_J7011</t>
  </si>
  <si>
    <t>J7011_Transmitter</t>
  </si>
  <si>
    <t>J7700_Trans</t>
  </si>
  <si>
    <t>J7701_Trans</t>
  </si>
  <si>
    <t>J7702_Trans</t>
  </si>
  <si>
    <t>J7703_7704_Trans</t>
  </si>
  <si>
    <t>JT700006</t>
  </si>
  <si>
    <t>JT700007</t>
  </si>
  <si>
    <t>JT700013</t>
  </si>
  <si>
    <t>JT700014</t>
  </si>
  <si>
    <t>JT701003</t>
  </si>
  <si>
    <t>JT701004</t>
  </si>
  <si>
    <t>OVERVIEW.PCSD_R7040.7220B_P7220AB</t>
  </si>
  <si>
    <t>JT722010</t>
  </si>
  <si>
    <t>JT722011</t>
  </si>
  <si>
    <t>JT722204</t>
  </si>
  <si>
    <t>JT722205</t>
  </si>
  <si>
    <t>JT730012</t>
  </si>
  <si>
    <t>JT730013</t>
  </si>
  <si>
    <t>JT730203</t>
  </si>
  <si>
    <t>JT730204</t>
  </si>
  <si>
    <t>JT730408</t>
  </si>
  <si>
    <t>JT730409</t>
  </si>
  <si>
    <t>JT740021</t>
  </si>
  <si>
    <t>JT740022</t>
  </si>
  <si>
    <t>JT740102</t>
  </si>
  <si>
    <t>JT740103</t>
  </si>
  <si>
    <t>JT740205</t>
  </si>
  <si>
    <t>JT740206</t>
  </si>
  <si>
    <t>OVERVIEW.PCSD_V7410.7410_V7410</t>
  </si>
  <si>
    <t>JT741010</t>
  </si>
  <si>
    <t>JT742010</t>
  </si>
  <si>
    <t>JT750021</t>
  </si>
  <si>
    <t>JT750022</t>
  </si>
  <si>
    <t>JT750102</t>
  </si>
  <si>
    <t>JT750103</t>
  </si>
  <si>
    <t>JT750205</t>
  </si>
  <si>
    <t>JT750206</t>
  </si>
  <si>
    <t>OVERVIEW.PCSD_V7510.7510_V7510</t>
  </si>
  <si>
    <t>JT751010</t>
  </si>
  <si>
    <t>JT752010</t>
  </si>
  <si>
    <t>JT760021</t>
  </si>
  <si>
    <t>JT760022</t>
  </si>
  <si>
    <t>JT760102</t>
  </si>
  <si>
    <t>JT760103</t>
  </si>
  <si>
    <t>JT760205</t>
  </si>
  <si>
    <t>JT760206</t>
  </si>
  <si>
    <t>OVERVIEW.PCSD_V7610.7610_V7610</t>
  </si>
  <si>
    <t>JT761010</t>
  </si>
  <si>
    <t>JT762010</t>
  </si>
  <si>
    <t>JT763010</t>
  </si>
  <si>
    <t>JT764010</t>
  </si>
  <si>
    <t>OVERVIEW.PCSD_PU7700.7720_V7720</t>
  </si>
  <si>
    <t>JT772002</t>
  </si>
  <si>
    <t>JT790101</t>
  </si>
  <si>
    <t>JT790102</t>
  </si>
  <si>
    <t>OVERVIEW.7960_P7960</t>
  </si>
  <si>
    <t>JT796001</t>
  </si>
  <si>
    <t>JT796002</t>
  </si>
  <si>
    <t>JT799004</t>
  </si>
  <si>
    <t>JT799005</t>
  </si>
  <si>
    <t>LT700003</t>
  </si>
  <si>
    <t>LT701002</t>
  </si>
  <si>
    <t>LT720005</t>
  </si>
  <si>
    <t>LT720008</t>
  </si>
  <si>
    <t>LT721005</t>
  </si>
  <si>
    <t>LT721008</t>
  </si>
  <si>
    <t>LT722005</t>
  </si>
  <si>
    <t>LT722008</t>
  </si>
  <si>
    <t>LT722014</t>
  </si>
  <si>
    <t>LT722015</t>
  </si>
  <si>
    <t>LT722202</t>
  </si>
  <si>
    <t>LT730007</t>
  </si>
  <si>
    <t>LT730010</t>
  </si>
  <si>
    <t>LT730029</t>
  </si>
  <si>
    <t>LT730030</t>
  </si>
  <si>
    <t>LT730201</t>
  </si>
  <si>
    <t>LT730402A</t>
  </si>
  <si>
    <t>LT730402B</t>
  </si>
  <si>
    <t>LT730425</t>
  </si>
  <si>
    <t>LT730435</t>
  </si>
  <si>
    <t>LT740012</t>
  </si>
  <si>
    <t>LT740015</t>
  </si>
  <si>
    <t>LT740023</t>
  </si>
  <si>
    <t>LT740101</t>
  </si>
  <si>
    <t>LT740125</t>
  </si>
  <si>
    <t>LT740135</t>
  </si>
  <si>
    <t>LT740203</t>
  </si>
  <si>
    <t>LT740229</t>
  </si>
  <si>
    <t>LT740239</t>
  </si>
  <si>
    <t>LT741002A</t>
  </si>
  <si>
    <t>LT741002B</t>
  </si>
  <si>
    <t>LT741017</t>
  </si>
  <si>
    <t>LT742025</t>
  </si>
  <si>
    <t>LT750012</t>
  </si>
  <si>
    <t>LT750015</t>
  </si>
  <si>
    <t>LT750024</t>
  </si>
  <si>
    <t>LT750101</t>
  </si>
  <si>
    <t>LT750125</t>
  </si>
  <si>
    <t>LT750135</t>
  </si>
  <si>
    <t>LT750203</t>
  </si>
  <si>
    <t>LT750229</t>
  </si>
  <si>
    <t>LT750237</t>
  </si>
  <si>
    <t>LT751002A</t>
  </si>
  <si>
    <t>LT751002B</t>
  </si>
  <si>
    <t>LT751017</t>
  </si>
  <si>
    <t>LT752025</t>
  </si>
  <si>
    <t>LT760012</t>
  </si>
  <si>
    <t>LT760015</t>
  </si>
  <si>
    <t>LT760023</t>
  </si>
  <si>
    <t>LT760024</t>
  </si>
  <si>
    <t>LT760101</t>
  </si>
  <si>
    <t>LT760125</t>
  </si>
  <si>
    <t>LT760135</t>
  </si>
  <si>
    <t>LT760203</t>
  </si>
  <si>
    <t>LT760229</t>
  </si>
  <si>
    <t>LT760239</t>
  </si>
  <si>
    <t>LT761002A</t>
  </si>
  <si>
    <t>LT761002B</t>
  </si>
  <si>
    <t>LT761017</t>
  </si>
  <si>
    <t>LT762020</t>
  </si>
  <si>
    <t>LT763002A</t>
  </si>
  <si>
    <t>LT763002B</t>
  </si>
  <si>
    <t>LT763020</t>
  </si>
  <si>
    <t>LT764002A</t>
  </si>
  <si>
    <t>LT764002B</t>
  </si>
  <si>
    <t>LT764020</t>
  </si>
  <si>
    <t>LT772001</t>
  </si>
  <si>
    <t>OVERVIEW.PCSD_D7900.7900_D7900</t>
  </si>
  <si>
    <t>LT790010A</t>
  </si>
  <si>
    <t>LT790010B</t>
  </si>
  <si>
    <t>LT796005</t>
  </si>
  <si>
    <t>LT799016A</t>
  </si>
  <si>
    <t>LT799016B</t>
  </si>
  <si>
    <t>LX700003</t>
  </si>
  <si>
    <t>LX701002</t>
  </si>
  <si>
    <t>LX720005</t>
  </si>
  <si>
    <t>LX720008</t>
  </si>
  <si>
    <t>LX721005</t>
  </si>
  <si>
    <t>LX721008</t>
  </si>
  <si>
    <t>LX722005</t>
  </si>
  <si>
    <t>LX722008</t>
  </si>
  <si>
    <t>LX722202</t>
  </si>
  <si>
    <t>LX730007</t>
  </si>
  <si>
    <t>LX730010</t>
  </si>
  <si>
    <t>LX730201</t>
  </si>
  <si>
    <t>LX730402A</t>
  </si>
  <si>
    <t>LX730402B</t>
  </si>
  <si>
    <t>LX740012</t>
  </si>
  <si>
    <t>LX740015</t>
  </si>
  <si>
    <t>LX74020203</t>
  </si>
  <si>
    <t>LX741002A</t>
  </si>
  <si>
    <t>LX741002B</t>
  </si>
  <si>
    <t>LX750012</t>
  </si>
  <si>
    <t>LX750015</t>
  </si>
  <si>
    <t>LX75020203</t>
  </si>
  <si>
    <t>LX751002A</t>
  </si>
  <si>
    <t>LX751002B</t>
  </si>
  <si>
    <t>LX760012</t>
  </si>
  <si>
    <t>LX760015</t>
  </si>
  <si>
    <t>LX760203</t>
  </si>
  <si>
    <t>LX761002A</t>
  </si>
  <si>
    <t>LX761002B</t>
  </si>
  <si>
    <t>LX763002A</t>
  </si>
  <si>
    <t>LX763002B</t>
  </si>
  <si>
    <t>LX764002A</t>
  </si>
  <si>
    <t>LX764002B</t>
  </si>
  <si>
    <t>LX772001</t>
  </si>
  <si>
    <t>LX790010A</t>
  </si>
  <si>
    <t>LX790010B</t>
  </si>
  <si>
    <t>LX799016A</t>
  </si>
  <si>
    <t>LX799016B</t>
  </si>
  <si>
    <t>PCV730406_PV</t>
  </si>
  <si>
    <t>PCV741001_PV</t>
  </si>
  <si>
    <t>PCV751001_PV</t>
  </si>
  <si>
    <t>PCV761001_PV</t>
  </si>
  <si>
    <t>PCV763001_PV</t>
  </si>
  <si>
    <t>PCV764001_PV</t>
  </si>
  <si>
    <t>PDCV792010_PV</t>
  </si>
  <si>
    <t>PDI720003</t>
  </si>
  <si>
    <t>PDI721003</t>
  </si>
  <si>
    <t>PDT701011</t>
  </si>
  <si>
    <t>PDT701016</t>
  </si>
  <si>
    <t>PDT701130</t>
  </si>
  <si>
    <t>PDT703007A</t>
  </si>
  <si>
    <t>PDT703007B</t>
  </si>
  <si>
    <t>PDT703013</t>
  </si>
  <si>
    <t>PDT703027</t>
  </si>
  <si>
    <t>OVERVIEW.PCSD_R7040.7050_E7050</t>
  </si>
  <si>
    <t>PDT705001</t>
  </si>
  <si>
    <t>PDT722210</t>
  </si>
  <si>
    <t>PDT730025</t>
  </si>
  <si>
    <t>PDT730026</t>
  </si>
  <si>
    <t>PDT730027</t>
  </si>
  <si>
    <t>PDT730213</t>
  </si>
  <si>
    <t>PDT740001</t>
  </si>
  <si>
    <t>PDT740005</t>
  </si>
  <si>
    <t>PDT740006</t>
  </si>
  <si>
    <t>PDT740014</t>
  </si>
  <si>
    <t>PDT740219</t>
  </si>
  <si>
    <t>PDT742015</t>
  </si>
  <si>
    <t>PDT742017</t>
  </si>
  <si>
    <t>PDT742019</t>
  </si>
  <si>
    <t>PDT750001</t>
  </si>
  <si>
    <t>PDT750005</t>
  </si>
  <si>
    <t>PDT750006</t>
  </si>
  <si>
    <t>PDT750014</t>
  </si>
  <si>
    <t>PDT750219</t>
  </si>
  <si>
    <t>PDT752015</t>
  </si>
  <si>
    <t>PDT760001</t>
  </si>
  <si>
    <t>PDT760005</t>
  </si>
  <si>
    <t>PDT760006</t>
  </si>
  <si>
    <t>PDT760014</t>
  </si>
  <si>
    <t>PDT760219</t>
  </si>
  <si>
    <t>PDT790016</t>
  </si>
  <si>
    <t>PDT791008</t>
  </si>
  <si>
    <t>PDT792003</t>
  </si>
  <si>
    <t>PDT794004</t>
  </si>
  <si>
    <t>PDT794006</t>
  </si>
  <si>
    <t>PDT796011</t>
  </si>
  <si>
    <t>PT700005</t>
  </si>
  <si>
    <t>PT700012</t>
  </si>
  <si>
    <t>PT701017</t>
  </si>
  <si>
    <t>PT701101</t>
  </si>
  <si>
    <t>PT701104</t>
  </si>
  <si>
    <t>PT703016</t>
  </si>
  <si>
    <t>PT703035</t>
  </si>
  <si>
    <t>PT703037</t>
  </si>
  <si>
    <t>OVERVIEW.PCSD_R7040.7040_R7040</t>
  </si>
  <si>
    <t>PT704008A</t>
  </si>
  <si>
    <t>PT704008B</t>
  </si>
  <si>
    <t>PT720003A</t>
  </si>
  <si>
    <t>PT720003B</t>
  </si>
  <si>
    <t>PT720007</t>
  </si>
  <si>
    <t>PT721003</t>
  </si>
  <si>
    <t>PT721007</t>
  </si>
  <si>
    <t>PT722003</t>
  </si>
  <si>
    <t>PT722007</t>
  </si>
  <si>
    <t>PT722027</t>
  </si>
  <si>
    <t>PT722037</t>
  </si>
  <si>
    <t>PT730005</t>
  </si>
  <si>
    <t>PT730006</t>
  </si>
  <si>
    <t>PT730028</t>
  </si>
  <si>
    <t>PT730038</t>
  </si>
  <si>
    <t>PT730045</t>
  </si>
  <si>
    <t>PT730055</t>
  </si>
  <si>
    <t>PT730404</t>
  </si>
  <si>
    <t>PT730423</t>
  </si>
  <si>
    <t>PT730433</t>
  </si>
  <si>
    <t>PT740011</t>
  </si>
  <si>
    <t>PT740019</t>
  </si>
  <si>
    <t>PT740045</t>
  </si>
  <si>
    <t>PT740055</t>
  </si>
  <si>
    <t>PT740123</t>
  </si>
  <si>
    <t>PT740133</t>
  </si>
  <si>
    <t>PT740201</t>
  </si>
  <si>
    <t>PT740202</t>
  </si>
  <si>
    <t>PT740227</t>
  </si>
  <si>
    <t>PT740237</t>
  </si>
  <si>
    <t>PT741004</t>
  </si>
  <si>
    <t>PT741015</t>
  </si>
  <si>
    <t>PT742023</t>
  </si>
  <si>
    <t>PT750011</t>
  </si>
  <si>
    <t>PT750019</t>
  </si>
  <si>
    <t>PT750045</t>
  </si>
  <si>
    <t>PT750055</t>
  </si>
  <si>
    <t>PT750123</t>
  </si>
  <si>
    <t>PT750133</t>
  </si>
  <si>
    <t>PT750201</t>
  </si>
  <si>
    <t>PT750202</t>
  </si>
  <si>
    <t>PT750227</t>
  </si>
  <si>
    <t>PT750237</t>
  </si>
  <si>
    <t>PT751004</t>
  </si>
  <si>
    <t>PT751015</t>
  </si>
  <si>
    <t>PT752023</t>
  </si>
  <si>
    <t>PT760011</t>
  </si>
  <si>
    <t>PT760019</t>
  </si>
  <si>
    <t>PT760045</t>
  </si>
  <si>
    <t>PT760055</t>
  </si>
  <si>
    <t>PT760123</t>
  </si>
  <si>
    <t>PT760133</t>
  </si>
  <si>
    <t>PT760201</t>
  </si>
  <si>
    <t>PT760202</t>
  </si>
  <si>
    <t>PT760227</t>
  </si>
  <si>
    <t>PT760237</t>
  </si>
  <si>
    <t>PT761004</t>
  </si>
  <si>
    <t>PT761015</t>
  </si>
  <si>
    <t>PT762018</t>
  </si>
  <si>
    <t>PT763004</t>
  </si>
  <si>
    <t>PT763018</t>
  </si>
  <si>
    <t>PT764004</t>
  </si>
  <si>
    <t>PT764018</t>
  </si>
  <si>
    <t>PT790007</t>
  </si>
  <si>
    <t>PT790012</t>
  </si>
  <si>
    <t>PT791003</t>
  </si>
  <si>
    <t>OVERVIEW.PCSD_D7900.7910_DS7910</t>
  </si>
  <si>
    <t>PT791006</t>
  </si>
  <si>
    <t>PT792005</t>
  </si>
  <si>
    <t>OVERVIEW.PCSD_UTIL375.7920A</t>
  </si>
  <si>
    <t>PT792007</t>
  </si>
  <si>
    <t>PT794005</t>
  </si>
  <si>
    <t>PT794010</t>
  </si>
  <si>
    <t>PT796003</t>
  </si>
  <si>
    <t>PT796004</t>
  </si>
  <si>
    <t>OVERVIEW.PCSD_EWSS375.7990B_MRU7990</t>
  </si>
  <si>
    <t>PT799010</t>
  </si>
  <si>
    <t>TI799648</t>
  </si>
  <si>
    <t>TI799649</t>
  </si>
  <si>
    <t>TT700004</t>
  </si>
  <si>
    <t>TT701013</t>
  </si>
  <si>
    <t>TT703014A</t>
  </si>
  <si>
    <t>TT703014B</t>
  </si>
  <si>
    <t>TT703014C</t>
  </si>
  <si>
    <t>TT704001</t>
  </si>
  <si>
    <t>TT704002</t>
  </si>
  <si>
    <t>TT704003</t>
  </si>
  <si>
    <t>TT704004</t>
  </si>
  <si>
    <t>TT704005</t>
  </si>
  <si>
    <t>TT704006</t>
  </si>
  <si>
    <t>TT704007</t>
  </si>
  <si>
    <t>TT705006</t>
  </si>
  <si>
    <t>TT720004</t>
  </si>
  <si>
    <t>TT720006</t>
  </si>
  <si>
    <t>TT721004</t>
  </si>
  <si>
    <t>TT721006</t>
  </si>
  <si>
    <t>TT722004</t>
  </si>
  <si>
    <t>TT722006</t>
  </si>
  <si>
    <t>TT722201</t>
  </si>
  <si>
    <t>TT730004</t>
  </si>
  <si>
    <t>TT730008</t>
  </si>
  <si>
    <t>TT730009</t>
  </si>
  <si>
    <t>TT730022</t>
  </si>
  <si>
    <t>TT730023</t>
  </si>
  <si>
    <t>TT730202</t>
  </si>
  <si>
    <t>TT730413</t>
  </si>
  <si>
    <t>TT740008</t>
  </si>
  <si>
    <t>TT740009</t>
  </si>
  <si>
    <t>TT740010</t>
  </si>
  <si>
    <t>TT740013</t>
  </si>
  <si>
    <t>TT740110</t>
  </si>
  <si>
    <t>TT740204</t>
  </si>
  <si>
    <t>TT740220</t>
  </si>
  <si>
    <t>TT741009</t>
  </si>
  <si>
    <t>TT750008</t>
  </si>
  <si>
    <t>TT750009</t>
  </si>
  <si>
    <t>TT750010</t>
  </si>
  <si>
    <t>TT750013</t>
  </si>
  <si>
    <t>TT750110</t>
  </si>
  <si>
    <t>TT750204</t>
  </si>
  <si>
    <t>TT750220</t>
  </si>
  <si>
    <t>TT751009</t>
  </si>
  <si>
    <t>TT760008</t>
  </si>
  <si>
    <t>TT760009</t>
  </si>
  <si>
    <t>TT760010</t>
  </si>
  <si>
    <t>TT760013</t>
  </si>
  <si>
    <t>TT760110</t>
  </si>
  <si>
    <t>TT760204</t>
  </si>
  <si>
    <t>TT760220</t>
  </si>
  <si>
    <t>TT761009</t>
  </si>
  <si>
    <t>TT763009</t>
  </si>
  <si>
    <t>TT764009</t>
  </si>
  <si>
    <t>TT790005</t>
  </si>
  <si>
    <t>TT791004</t>
  </si>
  <si>
    <t>TT791007</t>
  </si>
  <si>
    <t>TT793004</t>
  </si>
  <si>
    <t>TT799011</t>
  </si>
  <si>
    <t>TT799203</t>
  </si>
  <si>
    <t>TT799640</t>
  </si>
  <si>
    <t>TT799642</t>
  </si>
  <si>
    <t>TT799643</t>
  </si>
  <si>
    <t>XT799009</t>
  </si>
  <si>
    <t>DI</t>
  </si>
  <si>
    <t>AY750161</t>
  </si>
  <si>
    <t>HS799645</t>
  </si>
  <si>
    <t>ZS799105</t>
  </si>
  <si>
    <t>AS760161A</t>
  </si>
  <si>
    <t>XS799619</t>
  </si>
  <si>
    <t>XS799605</t>
  </si>
  <si>
    <t>AY740161</t>
  </si>
  <si>
    <t>ZS799616</t>
  </si>
  <si>
    <t>AS740106B</t>
  </si>
  <si>
    <t>XS799634</t>
  </si>
  <si>
    <t>ZS799123</t>
  </si>
  <si>
    <t>AY760161</t>
  </si>
  <si>
    <t>AS740106A</t>
  </si>
  <si>
    <t>XS799621</t>
  </si>
  <si>
    <t>XS799654</t>
  </si>
  <si>
    <t>XS799631</t>
  </si>
  <si>
    <t>XS799643</t>
  </si>
  <si>
    <t>ZS799113</t>
  </si>
  <si>
    <t>XS799630</t>
  </si>
  <si>
    <t>XS799652</t>
  </si>
  <si>
    <t>ZS799125</t>
  </si>
  <si>
    <t>XS799632</t>
  </si>
  <si>
    <t>ZS799119</t>
  </si>
  <si>
    <t>ZS799610</t>
  </si>
  <si>
    <t>XS799655</t>
  </si>
  <si>
    <t>ZS799109</t>
  </si>
  <si>
    <t>ES799611</t>
  </si>
  <si>
    <t>HS799646</t>
  </si>
  <si>
    <t>XS799602</t>
  </si>
  <si>
    <t>ES799604</t>
  </si>
  <si>
    <t>XS799618</t>
  </si>
  <si>
    <t>XS799013</t>
  </si>
  <si>
    <t>XS799633</t>
  </si>
  <si>
    <t>XS799620</t>
  </si>
  <si>
    <t>ZS799117</t>
  </si>
  <si>
    <t>AS750161B</t>
  </si>
  <si>
    <t>ZS799103</t>
  </si>
  <si>
    <t>FSL790007</t>
  </si>
  <si>
    <t>AS750161A</t>
  </si>
  <si>
    <t>ZS799603</t>
  </si>
  <si>
    <t>ZS799121</t>
  </si>
  <si>
    <t>ZS799107</t>
  </si>
  <si>
    <t>XS799653</t>
  </si>
  <si>
    <t>ZS799617</t>
  </si>
  <si>
    <t>XS799609</t>
  </si>
  <si>
    <t>XS799637</t>
  </si>
  <si>
    <t>ZS799115</t>
  </si>
  <si>
    <t>ZS799111</t>
  </si>
  <si>
    <t>ZS799615</t>
  </si>
  <si>
    <t>AY740106</t>
  </si>
  <si>
    <t>XS799656</t>
  </si>
  <si>
    <t>XS799635</t>
  </si>
  <si>
    <t>ZS799101</t>
  </si>
  <si>
    <t>XS799657</t>
  </si>
  <si>
    <t>AS760161B</t>
  </si>
  <si>
    <t>XS799612</t>
  </si>
  <si>
    <t>XA799013</t>
  </si>
  <si>
    <t>MRU_Start_Stop</t>
  </si>
  <si>
    <t>AA740106AIO</t>
  </si>
  <si>
    <t>AS740106A.CIN</t>
  </si>
  <si>
    <t>AA740106BIO</t>
  </si>
  <si>
    <t>AS740106B.CIN</t>
  </si>
  <si>
    <t>AA740106CIO</t>
  </si>
  <si>
    <t>AY740106.CIN</t>
  </si>
  <si>
    <t>AA740106DIO</t>
  </si>
  <si>
    <t>AA750161AIO</t>
  </si>
  <si>
    <t>AS750161A.CIN</t>
  </si>
  <si>
    <t>AA750161BIO</t>
  </si>
  <si>
    <t>AS750161B.CIN</t>
  </si>
  <si>
    <t>AA750161CIO</t>
  </si>
  <si>
    <t>AY740161.CIN</t>
  </si>
  <si>
    <t>AA750161DIO</t>
  </si>
  <si>
    <t>AA760161AIO</t>
  </si>
  <si>
    <t>AS760161A.CIN</t>
  </si>
  <si>
    <t>AA760161BIO</t>
  </si>
  <si>
    <t>AS760161B.CIN</t>
  </si>
  <si>
    <t>EA799604IO</t>
  </si>
  <si>
    <t>ES799604.CIN</t>
  </si>
  <si>
    <t>EA799611IO</t>
  </si>
  <si>
    <t>ES799611.CIN</t>
  </si>
  <si>
    <t>FAL790007IO</t>
  </si>
  <si>
    <t>FSL790007.CIN</t>
  </si>
  <si>
    <t>HS700010IO_XGH</t>
  </si>
  <si>
    <t>A_EBV700010.Zhl</t>
  </si>
  <si>
    <t>HS700010IO_XGL</t>
  </si>
  <si>
    <t>A_EBV700010.Zll</t>
  </si>
  <si>
    <t>HS700011IO_XGH</t>
  </si>
  <si>
    <t>A_EBV700011.Zhl</t>
  </si>
  <si>
    <t>HS700011IO_XGL</t>
  </si>
  <si>
    <t>A_EBV700011.Zll</t>
  </si>
  <si>
    <t>HS701010IO_FB0</t>
  </si>
  <si>
    <t>A_ABV701010.Zll</t>
  </si>
  <si>
    <t>HS701015IO_FB0</t>
  </si>
  <si>
    <t>A_ABV701015.Zll</t>
  </si>
  <si>
    <t>HS701102IO_FB0</t>
  </si>
  <si>
    <t>A_ABV701102.Zll</t>
  </si>
  <si>
    <t>HS701103IO_FB1</t>
  </si>
  <si>
    <t>A_ABV701103.Zhl</t>
  </si>
  <si>
    <t>HS701131IO_FB0</t>
  </si>
  <si>
    <t>A_ABV701131.Zll</t>
  </si>
  <si>
    <t>HS703001IO_FB0</t>
  </si>
  <si>
    <t>A_EBV703001.Zll</t>
  </si>
  <si>
    <t>HS703001IO_FB1</t>
  </si>
  <si>
    <t>A_EBV703001.Zhl</t>
  </si>
  <si>
    <t>HS703005IO_XGH</t>
  </si>
  <si>
    <t>A_ABV703005.Zhl</t>
  </si>
  <si>
    <t>HS703005IO_XGL</t>
  </si>
  <si>
    <t>A_ABV703005.Zll</t>
  </si>
  <si>
    <t>HS703006IO_XGH</t>
  </si>
  <si>
    <t>A_EBV703006.Zhl</t>
  </si>
  <si>
    <t>HS703006IO_XGL</t>
  </si>
  <si>
    <t>A_EBV703006.Zll</t>
  </si>
  <si>
    <t>HS703012IO_XGH</t>
  </si>
  <si>
    <t>A_EBV703012.Zhl</t>
  </si>
  <si>
    <t>HS703012IO_XGL</t>
  </si>
  <si>
    <t>A_EBV703012.Zll</t>
  </si>
  <si>
    <t>HS703015IO_FB0</t>
  </si>
  <si>
    <t>A_ABV703015.Zll</t>
  </si>
  <si>
    <t>HS703015IO_FB1</t>
  </si>
  <si>
    <t>A_ABV703015.Zhl</t>
  </si>
  <si>
    <t>HS703016IO_FB1</t>
  </si>
  <si>
    <t>A_ABV703016.Zhl</t>
  </si>
  <si>
    <t>HS705001IO_FB0</t>
  </si>
  <si>
    <t>A_ABV705001.Zll</t>
  </si>
  <si>
    <t>HS720013IO_XGH</t>
  </si>
  <si>
    <t>A_EBV720013.Zhl</t>
  </si>
  <si>
    <t>HS720013IO_XGL</t>
  </si>
  <si>
    <t>A_EBV720013.Zll</t>
  </si>
  <si>
    <t>HS720016IO_XGL</t>
  </si>
  <si>
    <t>A_ABV720016.Zll</t>
  </si>
  <si>
    <t>HS722020IO_FB1</t>
  </si>
  <si>
    <t>A_ABV722020.Zhl</t>
  </si>
  <si>
    <t>HS722021IO_FB0</t>
  </si>
  <si>
    <t>A_ABV722021.Zll</t>
  </si>
  <si>
    <t>HS722022IO_FB1</t>
  </si>
  <si>
    <t>A_ABV722022.Zhl</t>
  </si>
  <si>
    <t>HS722023IO_FB0</t>
  </si>
  <si>
    <t>A_ABV722023.Zll</t>
  </si>
  <si>
    <t>HS730003IO_FB0</t>
  </si>
  <si>
    <t>A_ABV730003.Zll</t>
  </si>
  <si>
    <t>HS730024IO_FB0</t>
  </si>
  <si>
    <t>A_ABV730024.Zll</t>
  </si>
  <si>
    <t>HS730034IO_FB1</t>
  </si>
  <si>
    <t>A_ABV730034.Zhl</t>
  </si>
  <si>
    <t>HS730035IO_FB0</t>
  </si>
  <si>
    <t>A_ABV730035.Zll</t>
  </si>
  <si>
    <t>HS730036IO_FB1</t>
  </si>
  <si>
    <t>A_ABV730036.Zhl</t>
  </si>
  <si>
    <t>HS730037IO_FB0</t>
  </si>
  <si>
    <t>A_ABV730037.Zll</t>
  </si>
  <si>
    <t>HS730401IO_FB0</t>
  </si>
  <si>
    <t>A_ABV730401.Zll</t>
  </si>
  <si>
    <t>HS730403IO_FB0</t>
  </si>
  <si>
    <t>A_ABV730403.Zll</t>
  </si>
  <si>
    <t>HS730405IO_FB1</t>
  </si>
  <si>
    <t>A_HV730405.Zhl</t>
  </si>
  <si>
    <t>HS740004IO_FB0</t>
  </si>
  <si>
    <t>A_ABV740004.Zll</t>
  </si>
  <si>
    <t>HS740032IO_FB0</t>
  </si>
  <si>
    <t>A_ABV740032.Zll</t>
  </si>
  <si>
    <t>HS740034IO_FB1</t>
  </si>
  <si>
    <t>A_ABV740034.Zhl</t>
  </si>
  <si>
    <t>HS740035IO_FB0</t>
  </si>
  <si>
    <t>A_ABV740035.Zll</t>
  </si>
  <si>
    <t>HS740036IO_FB1</t>
  </si>
  <si>
    <t>A_ABV740036.Zhl</t>
  </si>
  <si>
    <t>HS740037IO_FB0</t>
  </si>
  <si>
    <t>A_ABV740037.Zll</t>
  </si>
  <si>
    <t>HS740038IO_FB0</t>
  </si>
  <si>
    <t>A_ABV740038.Zll</t>
  </si>
  <si>
    <t>HS740109IO_FB0</t>
  </si>
  <si>
    <t>A_ABV740109.Zll</t>
  </si>
  <si>
    <t>HS740201AIO_FB0</t>
  </si>
  <si>
    <t>A_PV740201A.Zll</t>
  </si>
  <si>
    <t>HS740211IO_FB0</t>
  </si>
  <si>
    <t>A_ABV740211.Zll</t>
  </si>
  <si>
    <t>HS740212IO_FB0</t>
  </si>
  <si>
    <t>A_ABV740212.Zll</t>
  </si>
  <si>
    <t>HS741003IO_FB0</t>
  </si>
  <si>
    <t>A_ABV741003.Zll</t>
  </si>
  <si>
    <t>HS742014IO_FB0</t>
  </si>
  <si>
    <t>A_ABV742014.Zll</t>
  </si>
  <si>
    <t>HS742016IO_FB0</t>
  </si>
  <si>
    <t>A_ABV742016.Zll</t>
  </si>
  <si>
    <t>HS742018IO_FB0</t>
  </si>
  <si>
    <t>A_ABV742018.Zll</t>
  </si>
  <si>
    <t>HS750004IO_FB0</t>
  </si>
  <si>
    <t>A_ABV750004.Zll</t>
  </si>
  <si>
    <t>HS750032IO_FB0</t>
  </si>
  <si>
    <t>A_ABV750032.Zll</t>
  </si>
  <si>
    <t>HS750034IO_FB1</t>
  </si>
  <si>
    <t>A_ABV750034.Zhl</t>
  </si>
  <si>
    <t>HS750035IO_FB0</t>
  </si>
  <si>
    <t>A_ABV750035.Zll</t>
  </si>
  <si>
    <t>HS750036IO_FB1</t>
  </si>
  <si>
    <t>A_ABV750036.Zhl</t>
  </si>
  <si>
    <t>HS750037IO_FB0</t>
  </si>
  <si>
    <t>A_ABV750037.Zll</t>
  </si>
  <si>
    <t>HS750109IO_FB0</t>
  </si>
  <si>
    <t>A_ABV750109.Zll</t>
  </si>
  <si>
    <t>HS750201AIO_FB0</t>
  </si>
  <si>
    <t>A_PV750201A.Zll</t>
  </si>
  <si>
    <t>HS750201AIO_FB1</t>
  </si>
  <si>
    <t>A_PV750201A.Zhl</t>
  </si>
  <si>
    <t>HS750211IO_FB0</t>
  </si>
  <si>
    <t>A_ABV750211.Zll</t>
  </si>
  <si>
    <t>HS750212IO_FB0</t>
  </si>
  <si>
    <t>A_ABV750212.Zll</t>
  </si>
  <si>
    <t>HS751003IO_FB0</t>
  </si>
  <si>
    <t>A_ABV751003.Zll</t>
  </si>
  <si>
    <t>HS752014IO_FB0</t>
  </si>
  <si>
    <t>A_ABV752014.Zll</t>
  </si>
  <si>
    <t>HS760004IO_FB0</t>
  </si>
  <si>
    <t>A_ABV760004.Zll</t>
  </si>
  <si>
    <t>HS760032IO_FB0</t>
  </si>
  <si>
    <t>A_ABV760032.Zll</t>
  </si>
  <si>
    <t>HS760034IO_FB1</t>
  </si>
  <si>
    <t>A_ABV760034.Zhl</t>
  </si>
  <si>
    <t>HS760035IO_FB0</t>
  </si>
  <si>
    <t>A_ABV760035.Zll</t>
  </si>
  <si>
    <t>HS760036IO_FB1</t>
  </si>
  <si>
    <t>A_ABV760036.Zhl</t>
  </si>
  <si>
    <t>HS760037IO_FB0</t>
  </si>
  <si>
    <t>A_ABV760037.Zll</t>
  </si>
  <si>
    <t>HS760109IO_FB0</t>
  </si>
  <si>
    <t>A_ABV760109.Zll</t>
  </si>
  <si>
    <t>HS760212IO_FB0</t>
  </si>
  <si>
    <t>A_ABV760212.Zll</t>
  </si>
  <si>
    <t>HS763003IO_FB0</t>
  </si>
  <si>
    <t>A_ABV763003.Zll</t>
  </si>
  <si>
    <t>HS763005IO_FB0</t>
  </si>
  <si>
    <t>A_ABV763005.Zll</t>
  </si>
  <si>
    <t>HS763005IO_FB1</t>
  </si>
  <si>
    <t>A_ABV763005.Zhl</t>
  </si>
  <si>
    <t>HS763012IO_FB0</t>
  </si>
  <si>
    <t>A_ABV763012.Zll</t>
  </si>
  <si>
    <t>HS764003IO_FB0</t>
  </si>
  <si>
    <t>A_ABV764003.Zll</t>
  </si>
  <si>
    <t>HS764005IO_FB0</t>
  </si>
  <si>
    <t>A_ABV764005.Zll</t>
  </si>
  <si>
    <t>HS764005IO_FB1</t>
  </si>
  <si>
    <t>A_ABV764005.Zhl</t>
  </si>
  <si>
    <t>HS764012IO_FB0</t>
  </si>
  <si>
    <t>A_ABV764012.Zll</t>
  </si>
  <si>
    <t>HS790001IO_FB0</t>
  </si>
  <si>
    <t>A_ABV790001.Zll</t>
  </si>
  <si>
    <t>HS790008IO_FB0</t>
  </si>
  <si>
    <t>A_ABV790008.Zll</t>
  </si>
  <si>
    <t>HS790015IO_FB0</t>
  </si>
  <si>
    <t>A_ABV790015.Zll</t>
  </si>
  <si>
    <t>HS791002IO_FB0</t>
  </si>
  <si>
    <t>A_ABV791002.Zll</t>
  </si>
  <si>
    <t>HS791009IO_FB0</t>
  </si>
  <si>
    <t>A_ABV791009.Zll</t>
  </si>
  <si>
    <t>HS791011IO_FB0</t>
  </si>
  <si>
    <t>A_ABV791011.Zll</t>
  </si>
  <si>
    <t>HS794001IO_FB0</t>
  </si>
  <si>
    <t>A_ABV794001.Zll</t>
  </si>
  <si>
    <t>HS796008IO_FB0</t>
  </si>
  <si>
    <t>A_ABV796008.Zll</t>
  </si>
  <si>
    <t>HS796010IO_FB0</t>
  </si>
  <si>
    <t>A_ABV796010.Zll</t>
  </si>
  <si>
    <t>HS796025IO_FB0</t>
  </si>
  <si>
    <t>A_ABV796025.Zll</t>
  </si>
  <si>
    <t>HS799001IO_FB1</t>
  </si>
  <si>
    <t>A_ABV799001.Zhl</t>
  </si>
  <si>
    <t>HS799645AIO</t>
  </si>
  <si>
    <t>HS799645.CIN</t>
  </si>
  <si>
    <t>HS799645AIO_2oo2_MB1</t>
  </si>
  <si>
    <t>HS799645AIO_2oo2_MB2</t>
  </si>
  <si>
    <t>HS799645BIO</t>
  </si>
  <si>
    <t>HS799646IO</t>
  </si>
  <si>
    <t>HS799646.CIN</t>
  </si>
  <si>
    <t>XA799013IO</t>
  </si>
  <si>
    <t>XA799013.CIN</t>
  </si>
  <si>
    <t>XA799602IO</t>
  </si>
  <si>
    <t>XS799602.CIN</t>
  </si>
  <si>
    <t>XA799605IO</t>
  </si>
  <si>
    <t>XS799605.CIN</t>
  </si>
  <si>
    <t>XA799609IO</t>
  </si>
  <si>
    <t>XS799609.CIN</t>
  </si>
  <si>
    <t>XA799612IO</t>
  </si>
  <si>
    <t>XS799612.CIN</t>
  </si>
  <si>
    <t>XA799618IO</t>
  </si>
  <si>
    <t>XS799618.CIN</t>
  </si>
  <si>
    <t>XA799619IO</t>
  </si>
  <si>
    <t>XS799619.CIN</t>
  </si>
  <si>
    <t>XA799620IO</t>
  </si>
  <si>
    <t>XS799620.CIN</t>
  </si>
  <si>
    <t>XA799621IO</t>
  </si>
  <si>
    <t>XS799621.CIN</t>
  </si>
  <si>
    <t>XA799630IO</t>
  </si>
  <si>
    <t>XS799630.CIN</t>
  </si>
  <si>
    <t>XA799631IO</t>
  </si>
  <si>
    <t>XS799631.CIN</t>
  </si>
  <si>
    <t>XA799632IO</t>
  </si>
  <si>
    <t>XS799632.CIN</t>
  </si>
  <si>
    <t>XA799633IO</t>
  </si>
  <si>
    <t>XS799633.CIN</t>
  </si>
  <si>
    <t>XA799634IO</t>
  </si>
  <si>
    <t>XS799634.CIN</t>
  </si>
  <si>
    <t>XA799635IO</t>
  </si>
  <si>
    <t>XS799635.CIN</t>
  </si>
  <si>
    <t>XA799637IO</t>
  </si>
  <si>
    <t>XS799637.CIN</t>
  </si>
  <si>
    <t>XA799643IO</t>
  </si>
  <si>
    <t>XS799643.CIN</t>
  </si>
  <si>
    <t>XA799652IO</t>
  </si>
  <si>
    <t>XS799652.CIN</t>
  </si>
  <si>
    <t>XA799653IO</t>
  </si>
  <si>
    <t>XS799653.CIN</t>
  </si>
  <si>
    <t>XA799654IO</t>
  </si>
  <si>
    <t>XS799654.CIN</t>
  </si>
  <si>
    <t>XA799655IO</t>
  </si>
  <si>
    <t>XS799655.CIN</t>
  </si>
  <si>
    <t>XA799656IO</t>
  </si>
  <si>
    <t>XS799656.CIN</t>
  </si>
  <si>
    <t>XA799657IO</t>
  </si>
  <si>
    <t>XS799657.CIN</t>
  </si>
  <si>
    <t>ZA799616IO</t>
  </si>
  <si>
    <t>ZS799616.CIN</t>
  </si>
  <si>
    <t>ZA799617IO</t>
  </si>
  <si>
    <t>ZS799617.CIN</t>
  </si>
  <si>
    <t>ZI722003IO_FB0</t>
  </si>
  <si>
    <t>A_PV722003A.Zll</t>
  </si>
  <si>
    <t>ZI730005AIO</t>
  </si>
  <si>
    <t>A_PV730005A.Zll</t>
  </si>
  <si>
    <t>ZI760201AIO_FB0</t>
  </si>
  <si>
    <t>A_PV760201A.Zll</t>
  </si>
  <si>
    <t>ZI760201AIO_FB1</t>
  </si>
  <si>
    <t>A_PV760201A.Zhl</t>
  </si>
  <si>
    <t>ZI799101IO</t>
  </si>
  <si>
    <t>ZS799101.CIN</t>
  </si>
  <si>
    <t>ZI799103IO</t>
  </si>
  <si>
    <t>ZS799103.CIN</t>
  </si>
  <si>
    <t>ZI799105IO</t>
  </si>
  <si>
    <t>ZS799105.CIN</t>
  </si>
  <si>
    <t>ZI799107IO</t>
  </si>
  <si>
    <t>ZS799107.CIN</t>
  </si>
  <si>
    <t>ZI799109IO</t>
  </si>
  <si>
    <t>ZS799109.CIN</t>
  </si>
  <si>
    <t>ZI799111IO</t>
  </si>
  <si>
    <t>ZS799111.CIN</t>
  </si>
  <si>
    <t>ZI799113IO</t>
  </si>
  <si>
    <t>ZS799113.CIN</t>
  </si>
  <si>
    <t>ZI799115IO</t>
  </si>
  <si>
    <t>ZS799115.CIN</t>
  </si>
  <si>
    <t>ZI799117IO</t>
  </si>
  <si>
    <t>ZS799117.CIN</t>
  </si>
  <si>
    <t>ZI799119IO</t>
  </si>
  <si>
    <t>ZS799119.CIN</t>
  </si>
  <si>
    <t>ZI799121IO</t>
  </si>
  <si>
    <t>ZS799121.CIN</t>
  </si>
  <si>
    <t>ZI799123IO</t>
  </si>
  <si>
    <t>ZS799123.CIN</t>
  </si>
  <si>
    <t>ZI799125IO</t>
  </si>
  <si>
    <t>ZS799125.CIN</t>
  </si>
  <si>
    <t>ZI799603IO</t>
  </si>
  <si>
    <t>ZS799603.CIN</t>
  </si>
  <si>
    <t>ZI799610IO</t>
  </si>
  <si>
    <t>ZS799610.CIN</t>
  </si>
  <si>
    <t>ZI799615IO</t>
  </si>
  <si>
    <t>ZS799615.CIN</t>
  </si>
  <si>
    <t>Status</t>
  </si>
  <si>
    <t>AA740106IO_COMP1.MA</t>
  </si>
  <si>
    <t>AI702008IO.MA</t>
  </si>
  <si>
    <t>AI702009IO.MA</t>
  </si>
  <si>
    <t>AI740106IO.MA</t>
  </si>
  <si>
    <t>AI750161AIO.MA</t>
  </si>
  <si>
    <t>AI750161BIO.MA</t>
  </si>
  <si>
    <t>AI760161AIO.MA</t>
  </si>
  <si>
    <t>AI760161BIO.MA</t>
  </si>
  <si>
    <t>AI790006IO.MA</t>
  </si>
  <si>
    <t>AI799206IO.MA</t>
  </si>
  <si>
    <t>AI799501IO.MA</t>
  </si>
  <si>
    <t>AI799502IO.MA</t>
  </si>
  <si>
    <t>AI799506IO.MA</t>
  </si>
  <si>
    <t>AI799507IO.MA</t>
  </si>
  <si>
    <t>AI799508IO.MA</t>
  </si>
  <si>
    <t>DI700018A_1oo2IO_MA1.MA</t>
  </si>
  <si>
    <t>DI700018A_1oo2IO_MA2.MA</t>
  </si>
  <si>
    <t>DI703002A_1oo2IO_MA1.MA</t>
  </si>
  <si>
    <t>DI703002A_1oo2IO_MA2.MA</t>
  </si>
  <si>
    <t>EI799650IO.MA</t>
  </si>
  <si>
    <t>EI799651IO.MA</t>
  </si>
  <si>
    <t>FI700001IO.MA</t>
  </si>
  <si>
    <t>FI700018A_1oo2IO_MA1.MA</t>
  </si>
  <si>
    <t>FI700018A_1oo2IO_MA2.MA</t>
  </si>
  <si>
    <t>FI700018IO.MA</t>
  </si>
  <si>
    <t>FI701001IO.MA</t>
  </si>
  <si>
    <t>FI701012IO.MA</t>
  </si>
  <si>
    <t>FI701129IO.MA</t>
  </si>
  <si>
    <t>FI703002A_1oo2IO_MA1.MA</t>
  </si>
  <si>
    <t>FI703002A_1oo2IO_MA2.MA</t>
  </si>
  <si>
    <t>FI703009A_1oo2IO_MA1.MA</t>
  </si>
  <si>
    <t>FI703009A_1oo2IO_MA2.MA</t>
  </si>
  <si>
    <t>FI703017IO.MA</t>
  </si>
  <si>
    <t>FI703035IO.MA</t>
  </si>
  <si>
    <t>FI720001IO.MA</t>
  </si>
  <si>
    <t>FI720010IO.MA</t>
  </si>
  <si>
    <t>FI720015IO.MA</t>
  </si>
  <si>
    <t>FI721001IO.MA</t>
  </si>
  <si>
    <t>FI721010IO.MA</t>
  </si>
  <si>
    <t>FI721016IO.MA</t>
  </si>
  <si>
    <t>FI722001IO.MA</t>
  </si>
  <si>
    <t>FI722016IO.MA</t>
  </si>
  <si>
    <t>FI722212IO.MA</t>
  </si>
  <si>
    <t>FI722213IO.MA</t>
  </si>
  <si>
    <t>FI730001IO.MA</t>
  </si>
  <si>
    <t>FI730016IO.MA</t>
  </si>
  <si>
    <t>FI730018IO.MA</t>
  </si>
  <si>
    <t>FI730020IO.MA</t>
  </si>
  <si>
    <t>FI730211IO.MA</t>
  </si>
  <si>
    <t>FI730215IO.MA</t>
  </si>
  <si>
    <t>FI730407IO.MA</t>
  </si>
  <si>
    <t>FI730411IO.MA</t>
  </si>
  <si>
    <t>FI740002IO.MA</t>
  </si>
  <si>
    <t>FI740017IO.MA</t>
  </si>
  <si>
    <t>FI740020IO.MA</t>
  </si>
  <si>
    <t>FI740028IO.MA</t>
  </si>
  <si>
    <t>FI740030IO.MA</t>
  </si>
  <si>
    <t>FI740107IO.MA</t>
  </si>
  <si>
    <t>FI740209IO.MA</t>
  </si>
  <si>
    <t>FI740213IO.MA</t>
  </si>
  <si>
    <t>FI740216IO.MA</t>
  </si>
  <si>
    <t>FI742007IO.MA</t>
  </si>
  <si>
    <t>FI742013IO.MA</t>
  </si>
  <si>
    <t>FI750002IO.MA</t>
  </si>
  <si>
    <t>FI750017IO.MA</t>
  </si>
  <si>
    <t>FI750020IO.MA</t>
  </si>
  <si>
    <t>FI750028IO.MA</t>
  </si>
  <si>
    <t>FI750107IO.MA</t>
  </si>
  <si>
    <t>FI750209IO.MA</t>
  </si>
  <si>
    <t>FI750213IO.MA</t>
  </si>
  <si>
    <t>FI750216IO.MA</t>
  </si>
  <si>
    <t>FI752007IO.MA</t>
  </si>
  <si>
    <t>FI752013IO.MA</t>
  </si>
  <si>
    <t>FI760002IO.MA</t>
  </si>
  <si>
    <t>FI760017IO.MA</t>
  </si>
  <si>
    <t>FI760020IO.MA</t>
  </si>
  <si>
    <t>FI760028IO.MA</t>
  </si>
  <si>
    <t>FI760107IO.MA</t>
  </si>
  <si>
    <t>FI760209IO.MA</t>
  </si>
  <si>
    <t>FI760213IO.MA</t>
  </si>
  <si>
    <t>FI760216IO.MA</t>
  </si>
  <si>
    <t>FI762007IO.MA</t>
  </si>
  <si>
    <t>FI762013IO.MA</t>
  </si>
  <si>
    <t>FI763007IO.MA</t>
  </si>
  <si>
    <t>FI763032IO.MA</t>
  </si>
  <si>
    <t>FI764007IO.MA</t>
  </si>
  <si>
    <t>FI764013IO.MA</t>
  </si>
  <si>
    <t>FI764033IO.MA</t>
  </si>
  <si>
    <t>FI770001IO.MA</t>
  </si>
  <si>
    <t>FI790012IO.MA</t>
  </si>
  <si>
    <t>FI790014IO.MA</t>
  </si>
  <si>
    <t>FI790107IO.MA</t>
  </si>
  <si>
    <t>FI791001IO.MA</t>
  </si>
  <si>
    <t>FI792001IO.MA</t>
  </si>
  <si>
    <t>FI794003IO.MA</t>
  </si>
  <si>
    <t>FI796024IO.MA</t>
  </si>
  <si>
    <t>FI798512IO.MA</t>
  </si>
  <si>
    <t>FI798911IO.MA</t>
  </si>
  <si>
    <t>FI799206IO.MA</t>
  </si>
  <si>
    <t>HS700006IO_Amps.MA</t>
  </si>
  <si>
    <t>HS700007IO_Amps.MA</t>
  </si>
  <si>
    <t>HS700013IO_Amps.MA</t>
  </si>
  <si>
    <t>HS700014IO_Amps.MA</t>
  </si>
  <si>
    <t>HS701003IO_Amps.MA</t>
  </si>
  <si>
    <t>HS701004IO_Amps.MA</t>
  </si>
  <si>
    <t>HS722010IO_Amps.MA</t>
  </si>
  <si>
    <t>HS722011IO_Amps.MA</t>
  </si>
  <si>
    <t>HS722204IO_Amps.MA</t>
  </si>
  <si>
    <t>HS722205IO_Amps.MA</t>
  </si>
  <si>
    <t>HS730012IO_Amps.MA</t>
  </si>
  <si>
    <t>HS730013IO_Amps.MA</t>
  </si>
  <si>
    <t>HS730203IO_Amps.MA</t>
  </si>
  <si>
    <t>HS730204IO_Amps.MA</t>
  </si>
  <si>
    <t>HS730408IO_Amps.MA</t>
  </si>
  <si>
    <t>HS730409IO_Amps.MA</t>
  </si>
  <si>
    <t>HS740021IO_Amps.MA</t>
  </si>
  <si>
    <t>HS740022IO_Amps.MA</t>
  </si>
  <si>
    <t>HS740102IO_Amps.MA</t>
  </si>
  <si>
    <t>HS740103IO_Amps.MA</t>
  </si>
  <si>
    <t>HS740205IO_Amps.MA</t>
  </si>
  <si>
    <t>HS740206IO_Amps.MA</t>
  </si>
  <si>
    <t>HS741010IO_Amps.MA</t>
  </si>
  <si>
    <t>HS742010IO_Amps.MA</t>
  </si>
  <si>
    <t>HS750021IO_Amps.MA</t>
  </si>
  <si>
    <t>HS750022IO_Amps.MA</t>
  </si>
  <si>
    <t>HS750102IO_Amps.MA</t>
  </si>
  <si>
    <t>HS750103IO_Amps.MA</t>
  </si>
  <si>
    <t>HS750205IO_Amps.MA</t>
  </si>
  <si>
    <t>HS750206IO_Amps.MA</t>
  </si>
  <si>
    <t>HS751010IO_Amps.MA</t>
  </si>
  <si>
    <t>HS752010IO_Amps.MA</t>
  </si>
  <si>
    <t>HS760021IO_Amps.MA</t>
  </si>
  <si>
    <t>HS760022IO_Amps.MA</t>
  </si>
  <si>
    <t>HS760102IO_Amps.MA</t>
  </si>
  <si>
    <t>HS760103IO_Amps.MA</t>
  </si>
  <si>
    <t>HS760205IO_Amps.MA</t>
  </si>
  <si>
    <t>HS760206IO_Amps.MA</t>
  </si>
  <si>
    <t>HS761010IO_Amps.MA</t>
  </si>
  <si>
    <t>HS762010IO_Amps.MA</t>
  </si>
  <si>
    <t>HS763010IO_Amps.MA</t>
  </si>
  <si>
    <t>HS764010IO_Amps.MA</t>
  </si>
  <si>
    <t>HS772002IO_Amps.MA</t>
  </si>
  <si>
    <t>HS790101IO_Amps.MA</t>
  </si>
  <si>
    <t>HS790102IO_Amps.MA</t>
  </si>
  <si>
    <t>HS796001IO_Amps.MA</t>
  </si>
  <si>
    <t>HS796002IO_Amps.MA</t>
  </si>
  <si>
    <t>HS799004IO_Amps.MA</t>
  </si>
  <si>
    <t>HS799005IO_Amps.MA</t>
  </si>
  <si>
    <t>II799648IO.MA</t>
  </si>
  <si>
    <t>II799649IO.MA</t>
  </si>
  <si>
    <t>LI700003IO.MA</t>
  </si>
  <si>
    <t>LI701002IO.MA</t>
  </si>
  <si>
    <t>LI720005IO.MA</t>
  </si>
  <si>
    <t>LI720008IO.MA</t>
  </si>
  <si>
    <t>LI721005IO.MA</t>
  </si>
  <si>
    <t>LI721008IO.MA</t>
  </si>
  <si>
    <t>LI722005IO.MA</t>
  </si>
  <si>
    <t>LI722008IO.MA</t>
  </si>
  <si>
    <t>LI722014IO.MA</t>
  </si>
  <si>
    <t>LI722015IO.MA</t>
  </si>
  <si>
    <t>LI722202IO.MA</t>
  </si>
  <si>
    <t>LI730007IO.MA</t>
  </si>
  <si>
    <t>LI730010IO.MA</t>
  </si>
  <si>
    <t>LI730029IO.MA</t>
  </si>
  <si>
    <t>LI730030IO.MA</t>
  </si>
  <si>
    <t>LI730201IO.MA</t>
  </si>
  <si>
    <t>LI730402AIO.MA</t>
  </si>
  <si>
    <t>LI730402BIO.MA</t>
  </si>
  <si>
    <t>LI730425IO.MA</t>
  </si>
  <si>
    <t>LI730435IO.MA</t>
  </si>
  <si>
    <t>LI740012IO.MA</t>
  </si>
  <si>
    <t>LI740015IO.MA</t>
  </si>
  <si>
    <t>LI740023IO.MA</t>
  </si>
  <si>
    <t>LI740101IO.MA</t>
  </si>
  <si>
    <t>LI740125IO.MA</t>
  </si>
  <si>
    <t>LI740135IO.MA</t>
  </si>
  <si>
    <t>LI740203IO.MA</t>
  </si>
  <si>
    <t>LI740229IO.MA</t>
  </si>
  <si>
    <t>LI740239IO.MA</t>
  </si>
  <si>
    <t>LI741002AIO.MA</t>
  </si>
  <si>
    <t>LI741002BIO.MA</t>
  </si>
  <si>
    <t>LI741017IO.MA</t>
  </si>
  <si>
    <t>LI742025IO.MA</t>
  </si>
  <si>
    <t>LI750012IO.MA</t>
  </si>
  <si>
    <t>LI750015IO.MA</t>
  </si>
  <si>
    <t>LI750024IO.MA</t>
  </si>
  <si>
    <t>LI750101IO.MA</t>
  </si>
  <si>
    <t>LI750125IO.MA</t>
  </si>
  <si>
    <t>LI750135IO.MA</t>
  </si>
  <si>
    <t>LI750203IO.MA</t>
  </si>
  <si>
    <t>LI750229IO.MA</t>
  </si>
  <si>
    <t>LI750237IO.MA</t>
  </si>
  <si>
    <t>LI751002AIO.MA</t>
  </si>
  <si>
    <t>LI751002BIO.MA</t>
  </si>
  <si>
    <t>LI751017IO.MA</t>
  </si>
  <si>
    <t>LI752025IO.MA</t>
  </si>
  <si>
    <t>LI760012IO.MA</t>
  </si>
  <si>
    <t>LI760015IO.MA</t>
  </si>
  <si>
    <t>LI760023IO.MA</t>
  </si>
  <si>
    <t>LI760024IO.MA</t>
  </si>
  <si>
    <t>LI760101IO.MA</t>
  </si>
  <si>
    <t>LI760125IO.MA</t>
  </si>
  <si>
    <t>LI760135IO.MA</t>
  </si>
  <si>
    <t>LI760203IO.MA</t>
  </si>
  <si>
    <t>LI760229IO.MA</t>
  </si>
  <si>
    <t>LI760239IO.MA</t>
  </si>
  <si>
    <t>LI761002AIO.MA</t>
  </si>
  <si>
    <t>LI761002BIO.MA</t>
  </si>
  <si>
    <t>LI761017IO.MA</t>
  </si>
  <si>
    <t>LI762020IO.MA</t>
  </si>
  <si>
    <t>LI763002AIO.MA</t>
  </si>
  <si>
    <t>LI763002BIO.MA</t>
  </si>
  <si>
    <t>LI763020IO.MA</t>
  </si>
  <si>
    <t>LI764002AIO.MA</t>
  </si>
  <si>
    <t>LI764002BIO.MA</t>
  </si>
  <si>
    <t>LI764020IO.MA</t>
  </si>
  <si>
    <t>LI772001IO.MA</t>
  </si>
  <si>
    <t>LI790010AIO.MA</t>
  </si>
  <si>
    <t>LI790010BIO.MA</t>
  </si>
  <si>
    <t>LI796005IO.MA</t>
  </si>
  <si>
    <t>LI799016AIO.MA</t>
  </si>
  <si>
    <t>LI799016BIO.MA</t>
  </si>
  <si>
    <t>PDI701011IO.MA</t>
  </si>
  <si>
    <t>PDI701016IO.MA</t>
  </si>
  <si>
    <t>PDI701130IO.MA</t>
  </si>
  <si>
    <t>PDI703007AIO.MA</t>
  </si>
  <si>
    <t>PDI703007BIO.MA</t>
  </si>
  <si>
    <t>PDI703013IO.MA</t>
  </si>
  <si>
    <t>PDI703027IO.MA</t>
  </si>
  <si>
    <t>PDI705001IO.MA</t>
  </si>
  <si>
    <t>PDI722210IO.MA</t>
  </si>
  <si>
    <t>PDI730025IO.MA</t>
  </si>
  <si>
    <t>PDI730026IO.MA</t>
  </si>
  <si>
    <t>PDI730027IO.MA</t>
  </si>
  <si>
    <t>PDI730213IO.MA</t>
  </si>
  <si>
    <t>PDI740001IO.MA</t>
  </si>
  <si>
    <t>PDI740005IO.MA</t>
  </si>
  <si>
    <t>PDI740006IO.MA</t>
  </si>
  <si>
    <t>PDI740014IO.MA</t>
  </si>
  <si>
    <t>PDI740219IO.MA</t>
  </si>
  <si>
    <t>PDI742015IO.MA</t>
  </si>
  <si>
    <t>PDI742017IO.MA</t>
  </si>
  <si>
    <t>PDI742019IO.MA</t>
  </si>
  <si>
    <t>PDI750001IO.MA</t>
  </si>
  <si>
    <t>PDI750005IO.MA</t>
  </si>
  <si>
    <t>PDI750006IO.MA</t>
  </si>
  <si>
    <t>PDI750014IO.MA</t>
  </si>
  <si>
    <t>PDI750219IO.MA</t>
  </si>
  <si>
    <t>PDI752015IO.MA</t>
  </si>
  <si>
    <t>PDI760001IO.MA</t>
  </si>
  <si>
    <t>PDI760005IO.MA</t>
  </si>
  <si>
    <t>PDI760006IO.MA</t>
  </si>
  <si>
    <t>PDI760014IO.MA</t>
  </si>
  <si>
    <t>PDI760219IO.MA</t>
  </si>
  <si>
    <t>PDI790016IO.MA</t>
  </si>
  <si>
    <t>PDI791008IO.MA</t>
  </si>
  <si>
    <t>PDI792003IO.MA</t>
  </si>
  <si>
    <t>PDI794004IO.MA</t>
  </si>
  <si>
    <t>PDI794006IO.MA</t>
  </si>
  <si>
    <t>PDI796011IO.MA</t>
  </si>
  <si>
    <t>PI700005IO.MA</t>
  </si>
  <si>
    <t>PI700012IO.MA</t>
  </si>
  <si>
    <t>PI701017IO.MA</t>
  </si>
  <si>
    <t>PI701101IO.MA</t>
  </si>
  <si>
    <t>PI701104IO.MA</t>
  </si>
  <si>
    <t>PI703016IO.MA</t>
  </si>
  <si>
    <t>PI703035IO.MA</t>
  </si>
  <si>
    <t>PI703037IO.MA</t>
  </si>
  <si>
    <t>PI704008A_1oo2IO_MA1.MA</t>
  </si>
  <si>
    <t>PI704008A_1oo2IO_MA2.MA</t>
  </si>
  <si>
    <t>PI720003AIO.MA</t>
  </si>
  <si>
    <t>PI720003BIO.MA</t>
  </si>
  <si>
    <t>PI720007IO.MA</t>
  </si>
  <si>
    <t>PI721003IO.MA</t>
  </si>
  <si>
    <t>PI721007IO.MA</t>
  </si>
  <si>
    <t>PI722003IO.MA</t>
  </si>
  <si>
    <t>PI722007IO.MA</t>
  </si>
  <si>
    <t>PI722027IO.MA</t>
  </si>
  <si>
    <t>PI722037IO.MA</t>
  </si>
  <si>
    <t>PI730005IO.MA</t>
  </si>
  <si>
    <t>PI730006IO.MA</t>
  </si>
  <si>
    <t>PI730028IO.MA</t>
  </si>
  <si>
    <t>PI730038IO.MA</t>
  </si>
  <si>
    <t>PI730045IO.MA</t>
  </si>
  <si>
    <t>PI730055IO.MA</t>
  </si>
  <si>
    <t>PI730404IO.MA</t>
  </si>
  <si>
    <t>PI730423IO.MA</t>
  </si>
  <si>
    <t>PI730433IO.MA</t>
  </si>
  <si>
    <t>PI740011IO.MA</t>
  </si>
  <si>
    <t>PI740019IO.MA</t>
  </si>
  <si>
    <t>PI740045IO.MA</t>
  </si>
  <si>
    <t>PI740055IO.MA</t>
  </si>
  <si>
    <t>PI740123IO.MA</t>
  </si>
  <si>
    <t>PI740133IO.MA</t>
  </si>
  <si>
    <t>PI740201IO.MA</t>
  </si>
  <si>
    <t>PI740202IO.MA</t>
  </si>
  <si>
    <t>PI740227IO.MA</t>
  </si>
  <si>
    <t>PI740237IO.MA</t>
  </si>
  <si>
    <t>PI741004IO.MA</t>
  </si>
  <si>
    <t>PI741015IO.MA</t>
  </si>
  <si>
    <t>PI742023IO.MA</t>
  </si>
  <si>
    <t>PI750011IO.MA</t>
  </si>
  <si>
    <t>PI750019IO.MA</t>
  </si>
  <si>
    <t>PI750045IO.MA</t>
  </si>
  <si>
    <t>PI750055IO.MA</t>
  </si>
  <si>
    <t>PI750123IO.MA</t>
  </si>
  <si>
    <t>PI750133IO.MA</t>
  </si>
  <si>
    <t>PI750201IO.MA</t>
  </si>
  <si>
    <t>PI750202IO.MA</t>
  </si>
  <si>
    <t>PI750227IO.MA</t>
  </si>
  <si>
    <t>PI750237IO.MA</t>
  </si>
  <si>
    <t>PI751004IO.MA</t>
  </si>
  <si>
    <t>PI751015IO.MA</t>
  </si>
  <si>
    <t>PI752023IO.MA</t>
  </si>
  <si>
    <t>PI760011IO.MA</t>
  </si>
  <si>
    <t>PI760019IO.MA</t>
  </si>
  <si>
    <t>PI760045IO.MA</t>
  </si>
  <si>
    <t>PI760055IO.MA</t>
  </si>
  <si>
    <t>PI760123IO.MA</t>
  </si>
  <si>
    <t>PI760133IO.MA</t>
  </si>
  <si>
    <t>PI760201IO.MA</t>
  </si>
  <si>
    <t>PI760202IO.MA</t>
  </si>
  <si>
    <t>PI760227IO.MA</t>
  </si>
  <si>
    <t>PI760237IO.MA</t>
  </si>
  <si>
    <t>PI761004IO.MA</t>
  </si>
  <si>
    <t>PI761015IO.MA</t>
  </si>
  <si>
    <t>PI762018IO.MA</t>
  </si>
  <si>
    <t>PI763004IO.MA</t>
  </si>
  <si>
    <t>PI763018IO.MA</t>
  </si>
  <si>
    <t>PI764004IO.MA</t>
  </si>
  <si>
    <t>PI764018IO.MA</t>
  </si>
  <si>
    <t>PI790007IO.MA</t>
  </si>
  <si>
    <t>PI790012IO.MA</t>
  </si>
  <si>
    <t>PI791003IO.MA</t>
  </si>
  <si>
    <t>PI791006IO.MA</t>
  </si>
  <si>
    <t>PI792005IO.MA</t>
  </si>
  <si>
    <t>PI792007IO.MA</t>
  </si>
  <si>
    <t>PI794005IO.MA</t>
  </si>
  <si>
    <t>PI794010IO.MA</t>
  </si>
  <si>
    <t>PI796003IO.MA</t>
  </si>
  <si>
    <t>PI796004IO.MA</t>
  </si>
  <si>
    <t>PI799010IO.MA</t>
  </si>
  <si>
    <t>TI700004IO.MA</t>
  </si>
  <si>
    <t>TI701013IO.MA</t>
  </si>
  <si>
    <t>TI703014A_2oo3IO_MA1.MA</t>
  </si>
  <si>
    <t>TI703014A_2oo3IO_MA2.MA</t>
  </si>
  <si>
    <t>TI703014A_2oo3IO_MA3.MA</t>
  </si>
  <si>
    <t>TI704001IO.MA</t>
  </si>
  <si>
    <t>TI704002IO.MA</t>
  </si>
  <si>
    <t>TI704003IO.MA</t>
  </si>
  <si>
    <t>TI704004IO.MA</t>
  </si>
  <si>
    <t>TI704005IO.MA</t>
  </si>
  <si>
    <t>TI704006IO.MA</t>
  </si>
  <si>
    <t>TI704007IO.MA</t>
  </si>
  <si>
    <t>TI705006IO.MA</t>
  </si>
  <si>
    <t>TI720004IO.MA</t>
  </si>
  <si>
    <t>TI720006IO.MA</t>
  </si>
  <si>
    <t>TI721004IO.MA</t>
  </si>
  <si>
    <t>TI721006IO.MA</t>
  </si>
  <si>
    <t>TI722004IO.MA</t>
  </si>
  <si>
    <t>TI722006IO.MA</t>
  </si>
  <si>
    <t>TI722201IO.MA</t>
  </si>
  <si>
    <t>TI730004IO.MA</t>
  </si>
  <si>
    <t>TI730008IO.MA</t>
  </si>
  <si>
    <t>TI730009IO.MA</t>
  </si>
  <si>
    <t>TI730022IO.MA</t>
  </si>
  <si>
    <t>TI730023IO.MA</t>
  </si>
  <si>
    <t>TI730202IO.MA</t>
  </si>
  <si>
    <t>TI730413IO.MA</t>
  </si>
  <si>
    <t>TI740008IO.MA</t>
  </si>
  <si>
    <t>TI740009IO.MA</t>
  </si>
  <si>
    <t>TI740010IO.MA</t>
  </si>
  <si>
    <t>TI740013IO.MA</t>
  </si>
  <si>
    <t>TI740110IO.MA</t>
  </si>
  <si>
    <t>TI740204IO.MA</t>
  </si>
  <si>
    <t>TI740220IO.MA</t>
  </si>
  <si>
    <t>TI741009IO.MA</t>
  </si>
  <si>
    <t>TI750008IO.MA</t>
  </si>
  <si>
    <t>TI750009IO.MA</t>
  </si>
  <si>
    <t>TI750010IO.MA</t>
  </si>
  <si>
    <t>TI750013IO.MA</t>
  </si>
  <si>
    <t>TI750110IO.MA</t>
  </si>
  <si>
    <t>TI750204IO.MA</t>
  </si>
  <si>
    <t>TI750220IO.MA</t>
  </si>
  <si>
    <t>TI751009IO.MA</t>
  </si>
  <si>
    <t>TI760008IO.MA</t>
  </si>
  <si>
    <t>TI760009IO.MA</t>
  </si>
  <si>
    <t>TI760010IO.MA</t>
  </si>
  <si>
    <t>TI760013IO.MA</t>
  </si>
  <si>
    <t>TI760110IO.MA</t>
  </si>
  <si>
    <t>TI760204IO.MA</t>
  </si>
  <si>
    <t>TI760220IO.MA</t>
  </si>
  <si>
    <t>TI761009IO.MA</t>
  </si>
  <si>
    <t>TI763009IO.MA</t>
  </si>
  <si>
    <t>TI764009IO.MA</t>
  </si>
  <si>
    <t>TI790005IO.MA</t>
  </si>
  <si>
    <t>TI791004IO.MA</t>
  </si>
  <si>
    <t>TI791007IO.MA</t>
  </si>
  <si>
    <t>TI793004IO.MA</t>
  </si>
  <si>
    <t>TI799011IO.MA</t>
  </si>
  <si>
    <t>TI799203IO.MA</t>
  </si>
  <si>
    <t>TI799640IO.MA</t>
  </si>
  <si>
    <t>TI799642IO.MA</t>
  </si>
  <si>
    <t>TI799643IO.MA</t>
  </si>
  <si>
    <t>XI799009IO.MA</t>
  </si>
  <si>
    <t>AA740106AIO.MA</t>
  </si>
  <si>
    <t>AA740106BIO.MA</t>
  </si>
  <si>
    <t>AA740106CIO.MA</t>
  </si>
  <si>
    <t>AA740106DIO.MA</t>
  </si>
  <si>
    <t>AA750161AIO.MA</t>
  </si>
  <si>
    <t>AA750161BIO.MA</t>
  </si>
  <si>
    <t>AA750161CIO.MA</t>
  </si>
  <si>
    <t>AA750161DIO.MA</t>
  </si>
  <si>
    <t>AA760161AIO.MA</t>
  </si>
  <si>
    <t>AA760161BIO.MA</t>
  </si>
  <si>
    <t>EA799604IO.MA</t>
  </si>
  <si>
    <t>EA799611IO.MA</t>
  </si>
  <si>
    <t>FAL790007IO.MA</t>
  </si>
  <si>
    <t>HS799645AIO.MA</t>
  </si>
  <si>
    <t>HS799645AIO_2oo2_MB1.MA</t>
  </si>
  <si>
    <t>HS799645AIO_2oo2_MB2.MA</t>
  </si>
  <si>
    <t>HS799645BIO.MA</t>
  </si>
  <si>
    <t>HS799646IO.MA</t>
  </si>
  <si>
    <t>XA799013IO.MA</t>
  </si>
  <si>
    <t>XA799602IO.MA</t>
  </si>
  <si>
    <t>XA799605IO.MA</t>
  </si>
  <si>
    <t>XA799609IO.MA</t>
  </si>
  <si>
    <t>XA799612IO.MA</t>
  </si>
  <si>
    <t>XA799618IO.MA</t>
  </si>
  <si>
    <t>XA799619IO.MA</t>
  </si>
  <si>
    <t>XA799620IO.MA</t>
  </si>
  <si>
    <t>XA799621IO.MA</t>
  </si>
  <si>
    <t>XA799630IO.MA</t>
  </si>
  <si>
    <t>XA799631IO.MA</t>
  </si>
  <si>
    <t>XA799632IO.MA</t>
  </si>
  <si>
    <t>XA799633IO.MA</t>
  </si>
  <si>
    <t>XA799634IO.MA</t>
  </si>
  <si>
    <t>XA799635IO.MA</t>
  </si>
  <si>
    <t>XA799637IO.MA</t>
  </si>
  <si>
    <t>XA799643IO.MA</t>
  </si>
  <si>
    <t>XA799652IO.MA</t>
  </si>
  <si>
    <t>XA799653IO.MA</t>
  </si>
  <si>
    <t>XA799654IO.MA</t>
  </si>
  <si>
    <t>XA799655IO.MA</t>
  </si>
  <si>
    <t>XA799656IO.MA</t>
  </si>
  <si>
    <t>XA799657IO.MA</t>
  </si>
  <si>
    <t>ZA799616IO.MA</t>
  </si>
  <si>
    <t>ZA799617IO.MA</t>
  </si>
  <si>
    <t>ZI799101IO.MA</t>
  </si>
  <si>
    <t>ZI799103IO.MA</t>
  </si>
  <si>
    <t>ZI799105IO.MA</t>
  </si>
  <si>
    <t>ZI799107IO.MA</t>
  </si>
  <si>
    <t>ZI799109IO.MA</t>
  </si>
  <si>
    <t>ZI799111IO.MA</t>
  </si>
  <si>
    <t>ZI799113IO.MA</t>
  </si>
  <si>
    <t>ZI799115IO.MA</t>
  </si>
  <si>
    <t>ZI799117IO.MA</t>
  </si>
  <si>
    <t>ZI799119IO.MA</t>
  </si>
  <si>
    <t>ZI799121IO.MA</t>
  </si>
  <si>
    <t>ZI799123IO.MA</t>
  </si>
  <si>
    <t>ZI799125IO.MA</t>
  </si>
  <si>
    <t>ZI799603IO.MA</t>
  </si>
  <si>
    <t>ZI799610IO.MA</t>
  </si>
  <si>
    <t>ZI799615IO.MA</t>
  </si>
  <si>
    <t>TAG</t>
  </si>
  <si>
    <t>Indiss Variable TAG</t>
  </si>
  <si>
    <t>Required Status</t>
  </si>
  <si>
    <t>Transmitter TAG</t>
  </si>
  <si>
    <t>IO Variable to change</t>
  </si>
  <si>
    <t>Sheet Location</t>
  </si>
  <si>
    <t>IO Only or Not</t>
  </si>
  <si>
    <t>Value Before Change</t>
  </si>
  <si>
    <t>To be back connected with the Transmitter to show the value in the IS Graphics</t>
  </si>
  <si>
    <t>Graphic Page</t>
  </si>
  <si>
    <t>Position from Top</t>
  </si>
  <si>
    <t>Position from Left</t>
  </si>
  <si>
    <t>Source TAG</t>
  </si>
  <si>
    <t>Directory:</t>
  </si>
  <si>
    <t>C:\Users\stefano.signor\Desktop\OnlyGraphicDisplay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</si>
</sst>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i/>
      <sz val="14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9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18" xfId="0" applyFont="1" applyFill="1" applyBorder="1"/>
    <xf numFmtId="11" fontId="3" fillId="0" borderId="18" xfId="0" applyNumberFormat="1" applyFont="1" applyFill="1" applyBorder="1"/>
    <xf numFmtId="0" fontId="3" fillId="0" borderId="15" xfId="0" applyFont="1" applyFill="1" applyBorder="1"/>
    <xf numFmtId="0" fontId="0" fillId="0" borderId="7" xfId="0" applyBorder="1" applyAlignment="1">
      <alignment horizontal="left" vertical="center" wrapText="1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ont="1"/>
    <xf numFmtId="0" fontId="10" fillId="0" borderId="0" xfId="0" applyFont="1"/>
    <xf numFmtId="0" fontId="11" fillId="0" borderId="0" xfId="0" applyFont="1" applyAlignment="1">
      <alignment vertical="center" wrapText="1"/>
    </xf>
    <xf numFmtId="0" fontId="11" fillId="0" borderId="0" xfId="0" applyFont="1"/>
    <xf numFmtId="0" fontId="3" fillId="0" borderId="8" xfId="0" applyFont="1" applyFill="1" applyBorder="1" applyAlignment="1">
      <alignment vertical="center"/>
    </xf>
    <xf numFmtId="0" fontId="14" fillId="0" borderId="0" xfId="2"/>
    <xf numFmtId="2" fontId="0" fillId="0" borderId="0" xfId="0" applyNumberFormat="1"/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2" fontId="9" fillId="0" borderId="11" xfId="0" applyNumberFormat="1" applyFont="1" applyFill="1" applyBorder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4" fillId="0" borderId="13" xfId="0" applyNumberFormat="1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wrapText="1"/>
    </xf>
    <xf numFmtId="0" fontId="2" fillId="0" borderId="11" xfId="0" applyFont="1" applyFill="1" applyBorder="1" applyAlignment="1">
      <alignment horizontal="center" wrapText="1"/>
    </xf>
    <xf numFmtId="0" fontId="2" fillId="0" borderId="16" xfId="0" applyFont="1" applyFill="1" applyBorder="1" applyAlignment="1">
      <alignment horizontal="center" vertical="center" wrapText="1" shrinkToFit="1"/>
    </xf>
    <xf numFmtId="0" fontId="2" fillId="0" borderId="17" xfId="0" applyFont="1" applyFill="1" applyBorder="1" applyAlignment="1">
      <alignment horizontal="center" vertical="center" wrapText="1" shrinkToFit="1"/>
    </xf>
    <xf numFmtId="0" fontId="2" fillId="0" borderId="19" xfId="0" applyFont="1" applyFill="1" applyBorder="1" applyAlignment="1">
      <alignment horizontal="center" vertical="center" wrapText="1" shrinkToFit="1"/>
    </xf>
    <xf numFmtId="0" fontId="2" fillId="0" borderId="20" xfId="0" applyFont="1" applyFill="1" applyBorder="1" applyAlignment="1">
      <alignment horizontal="center" vertical="center" wrapText="1" shrinkToFi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16">
    <dxf>
      <font>
        <b val="0"/>
        <i val="0"/>
      </font>
    </dxf>
    <dxf>
      <font>
        <b val="0"/>
        <i val="0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349"/>
  <ax:ocxPr ax:name="Sizel_cy" ax:value="476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349"/>
  <ax:ocxPr ax:name="Sizel_cy" ax:value="503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0</xdr:rowOff>
        </xdr:from>
        <xdr:to>
          <xdr:col>0</xdr:col>
          <xdr:colOff>628650</xdr:colOff>
          <xdr:row>4</xdr:row>
          <xdr:rowOff>171450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485775</xdr:colOff>
          <xdr:row>4</xdr:row>
          <xdr:rowOff>180975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1:D524" totalsRowShown="0">
  <autoFilter ref="B1:D524"/>
  <tableColumns count="3">
    <tableColumn id="1" name="Sheet Location" dataDxfId="9"/>
    <tableColumn id="2" name="TAG" dataDxfId="8"/>
    <tableColumn id="3" name="IO Only or Not">
      <calculatedColumnFormula>+IF(OR(B2="Transmitters",B2="DI"),"IO","no")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1:I561" totalsRowShown="0">
  <autoFilter ref="B1:I561"/>
  <tableColumns count="8">
    <tableColumn id="1" name="Sheet Location" dataDxfId="7"/>
    <tableColumn id="2" name="TAG" dataDxfId="6"/>
    <tableColumn id="3" name="Mode" dataDxfId="5"/>
    <tableColumn id="4" name="Indiss Variable TAG" dataDxfId="4"/>
    <tableColumn id="5" name="Transmitter TAG" dataDxfId="3">
      <calculatedColumnFormula>+LEFT(E2,FIND(".",E2,1)-1)</calculatedColumnFormula>
    </tableColumn>
    <tableColumn id="6" name="Required Status" dataDxfId="2">
      <calculatedColumnFormula>+IFERROR(IF(LEFT(VLOOKUP(F2,DI,6,FALSE),2)="IO",2,0),"N/A")</calculatedColumnFormula>
    </tableColumn>
    <tableColumn id="7" name="IO Variable to change" dataDxfId="1">
      <calculatedColumnFormula>+CONCATENATE(C2,".MA")</calculatedColumnFormula>
    </tableColumn>
    <tableColumn id="8" name="Status" dataDxfId="0">
      <calculatedColumnFormula>+G2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.24\ProjectsOTS\INP-13-197_RSI-SADARA_OTS\14.IS_Graphics\Unit375\OnlyGraphicDisplay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70"/>
  <sheetViews>
    <sheetView tabSelected="1" zoomScale="85" zoomScaleNormal="85" workbookViewId="0">
      <pane xSplit="4" ySplit="6" topLeftCell="M7" activePane="bottomRight" state="frozen"/>
      <selection pane="topRight" activeCell="E1" sqref="E1"/>
      <selection pane="bottomLeft" activeCell="A7" sqref="A7"/>
      <selection pane="bottomRight" activeCell="P13" sqref="P13"/>
    </sheetView>
  </sheetViews>
  <sheetFormatPr defaultColWidth="9.140625" defaultRowHeight="15" x14ac:dyDescent="0.25"/>
  <cols>
    <col min="1" max="1" width="16.85546875" customWidth="1"/>
    <col min="2" max="2" width="16.7109375" customWidth="1"/>
    <col min="3" max="3" width="21.140625" customWidth="1"/>
    <col min="4" max="4" width="74.7109375" bestFit="1" customWidth="1"/>
    <col min="5" max="6" width="8.85546875" customWidth="1"/>
    <col min="10" max="10" width="63.85546875" customWidth="1"/>
    <col min="11" max="11" width="21.85546875" bestFit="1" customWidth="1"/>
    <col min="12" max="12" width="28.7109375" bestFit="1" customWidth="1"/>
    <col min="13" max="13" width="11.5703125" bestFit="1" customWidth="1"/>
    <col min="15" max="15" width="14.85546875" customWidth="1"/>
    <col min="16" max="16" width="35.85546875" customWidth="1"/>
    <col min="17" max="17" width="28.7109375" bestFit="1" customWidth="1"/>
    <col min="18" max="19" width="12.85546875" customWidth="1"/>
  </cols>
  <sheetData>
    <row r="1" spans="1:21" ht="30" customHeight="1" x14ac:dyDescent="0.25">
      <c r="A1" s="11" t="s">
        <v>0</v>
      </c>
      <c r="B1" s="11" t="s">
        <v>1</v>
      </c>
      <c r="C1" s="11" t="s">
        <v>2</v>
      </c>
      <c r="D1" s="11" t="s">
        <v>3</v>
      </c>
    </row>
    <row r="2" spans="1:21" ht="15.75" thickBot="1" x14ac:dyDescent="0.3">
      <c r="A2" s="1" t="s">
        <v>4</v>
      </c>
      <c r="B2" s="8">
        <v>8732</v>
      </c>
      <c r="C2" s="8">
        <v>7</v>
      </c>
      <c r="D2" s="9">
        <v>4</v>
      </c>
      <c r="O2" t="s">
        <v>2187</v>
      </c>
      <c r="P2" s="30" t="s">
        <v>2188</v>
      </c>
    </row>
    <row r="4" spans="1:21" ht="15.75" thickBot="1" x14ac:dyDescent="0.3">
      <c r="U4" s="31"/>
    </row>
    <row r="5" spans="1:21" ht="20.25" customHeight="1" thickBot="1" x14ac:dyDescent="0.3">
      <c r="C5" s="40" t="s">
        <v>9</v>
      </c>
      <c r="D5" s="38" t="s">
        <v>10</v>
      </c>
      <c r="E5" s="42" t="s">
        <v>5</v>
      </c>
      <c r="F5" s="44" t="s">
        <v>6</v>
      </c>
      <c r="G5" s="36" t="s">
        <v>7</v>
      </c>
      <c r="H5" s="37"/>
      <c r="I5" s="48" t="s">
        <v>2181</v>
      </c>
      <c r="J5" s="46" t="s">
        <v>11</v>
      </c>
      <c r="K5" s="32" t="s">
        <v>12</v>
      </c>
      <c r="L5" s="32" t="s">
        <v>14</v>
      </c>
      <c r="M5" s="34" t="s">
        <v>13</v>
      </c>
      <c r="O5" s="54" t="s">
        <v>2186</v>
      </c>
      <c r="P5" s="46" t="s">
        <v>2183</v>
      </c>
      <c r="Q5" s="32" t="s">
        <v>14</v>
      </c>
      <c r="R5" s="52" t="s">
        <v>2185</v>
      </c>
      <c r="S5" s="50" t="s">
        <v>2184</v>
      </c>
      <c r="U5" s="31"/>
    </row>
    <row r="6" spans="1:21" ht="20.25" customHeight="1" thickBot="1" x14ac:dyDescent="0.3">
      <c r="C6" s="41"/>
      <c r="D6" s="39"/>
      <c r="E6" s="43"/>
      <c r="F6" s="45"/>
      <c r="G6" s="2"/>
      <c r="H6" s="3" t="s">
        <v>8</v>
      </c>
      <c r="I6" s="49"/>
      <c r="J6" s="47"/>
      <c r="K6" s="33"/>
      <c r="L6" s="33"/>
      <c r="M6" s="35"/>
      <c r="O6" s="55"/>
      <c r="P6" s="47"/>
      <c r="Q6" s="33"/>
      <c r="R6" s="53"/>
      <c r="S6" s="51"/>
    </row>
    <row r="7" spans="1:21" x14ac:dyDescent="0.25">
      <c r="C7" s="10"/>
      <c r="D7" s="12" t="s">
        <v>1710</v>
      </c>
      <c r="E7" s="4"/>
      <c r="F7" s="5">
        <v>2</v>
      </c>
      <c r="G7" s="7">
        <f>(E7-F7)</f>
        <v>-2</v>
      </c>
      <c r="H7" s="6">
        <f>IF(F7&lt;&gt;0,(E7-F7)/F7,"")</f>
        <v>-1</v>
      </c>
      <c r="I7" s="4"/>
      <c r="J7" s="22"/>
      <c r="K7" s="20"/>
      <c r="L7" s="20"/>
      <c r="M7" s="16"/>
      <c r="O7" s="20" t="str">
        <f>+LEFT(D7,FIND("IO",D7,1)-1)</f>
        <v>AA740106</v>
      </c>
      <c r="P7" s="20" t="str">
        <f t="shared" ref="P7:P28" si="0">+FindinFile($P$2,$O7,"Name")</f>
        <v>T7400_Overview_Display.xgml</v>
      </c>
      <c r="Q7" s="20"/>
      <c r="R7" s="29">
        <f>+IF(P7="Not Found",P7,VALUE(FINDProp($P$2,$P7,$O7,"XPos")))</f>
        <v>1288</v>
      </c>
      <c r="S7" s="29">
        <f>+IF(P7="Not Found",P7,VALUE(FINDProp($P$2,$P7,$O7,"YPos")))</f>
        <v>459</v>
      </c>
    </row>
    <row r="8" spans="1:21" x14ac:dyDescent="0.25">
      <c r="C8" s="10"/>
      <c r="D8" s="12" t="s">
        <v>1711</v>
      </c>
      <c r="E8" s="4"/>
      <c r="F8" s="5">
        <v>2</v>
      </c>
      <c r="G8" s="7">
        <f>(E8-F8)</f>
        <v>-2</v>
      </c>
      <c r="H8" s="6">
        <f>IF(F8&lt;&gt;0,(E8-F8)/F8,"")</f>
        <v>-1</v>
      </c>
      <c r="I8" s="4"/>
      <c r="J8" s="22"/>
      <c r="K8" s="20"/>
      <c r="L8" s="20"/>
      <c r="M8" s="16"/>
      <c r="O8" s="20" t="str">
        <f t="shared" ref="O8:O71" si="1">+LEFT(D8,FIND("IO",D8,1)-1)</f>
        <v>AI702008</v>
      </c>
      <c r="P8" s="20" t="str">
        <f t="shared" si="0"/>
        <v>F &amp; G_Overview  Display.xgml</v>
      </c>
      <c r="Q8" s="20"/>
      <c r="R8" s="29">
        <f t="shared" ref="R8:R71" si="2">+IF(P8="Not Found",P8,VALUE(FINDProp($P$2,$P8,$O8,"XPos")))</f>
        <v>496</v>
      </c>
      <c r="S8" s="29">
        <f t="shared" ref="S8:S71" si="3">+IF(P8="Not Found",P8,VALUE(FINDProp($P$2,$P8,$O8,"YPos")))</f>
        <v>616</v>
      </c>
    </row>
    <row r="9" spans="1:21" x14ac:dyDescent="0.25">
      <c r="C9" s="10"/>
      <c r="D9" s="12" t="s">
        <v>1712</v>
      </c>
      <c r="E9" s="4"/>
      <c r="F9" s="5">
        <v>2</v>
      </c>
      <c r="G9" s="7">
        <f>(E9-F9)</f>
        <v>-2</v>
      </c>
      <c r="H9" s="6">
        <f>IF(F9&lt;&gt;0,(E9-F9)/F9,"")</f>
        <v>-1</v>
      </c>
      <c r="I9" s="4"/>
      <c r="J9" s="22"/>
      <c r="K9" s="20"/>
      <c r="L9" s="20"/>
      <c r="M9" s="16"/>
      <c r="O9" s="20" t="str">
        <f t="shared" si="1"/>
        <v>AI702009</v>
      </c>
      <c r="P9" s="20" t="str">
        <f t="shared" si="0"/>
        <v>F &amp; G_Overview  Display.xgml</v>
      </c>
      <c r="Q9" s="20"/>
      <c r="R9" s="29">
        <f t="shared" si="2"/>
        <v>496</v>
      </c>
      <c r="S9" s="29">
        <f t="shared" si="3"/>
        <v>664</v>
      </c>
    </row>
    <row r="10" spans="1:21" x14ac:dyDescent="0.25">
      <c r="C10" s="10"/>
      <c r="D10" s="12" t="s">
        <v>1713</v>
      </c>
      <c r="E10" s="4"/>
      <c r="F10" s="5">
        <v>2</v>
      </c>
      <c r="G10" s="7">
        <f t="shared" ref="G10:G73" si="4">(E10-F10)</f>
        <v>-2</v>
      </c>
      <c r="H10" s="6">
        <f t="shared" ref="H10:H73" si="5">IF(F10&lt;&gt;0,(E10-F10)/F10,"")</f>
        <v>-1</v>
      </c>
      <c r="I10" s="4"/>
      <c r="J10" s="22"/>
      <c r="K10" s="20"/>
      <c r="L10" s="20"/>
      <c r="M10" s="16"/>
      <c r="O10" s="20" t="str">
        <f t="shared" si="1"/>
        <v>AI740106</v>
      </c>
      <c r="P10" s="20" t="str">
        <f t="shared" si="0"/>
        <v>T7400_Overview_Display.xgml</v>
      </c>
      <c r="Q10" s="20"/>
      <c r="R10" s="29">
        <f t="shared" si="2"/>
        <v>1040</v>
      </c>
      <c r="S10" s="29">
        <f t="shared" si="3"/>
        <v>464</v>
      </c>
    </row>
    <row r="11" spans="1:21" x14ac:dyDescent="0.25">
      <c r="C11" s="10"/>
      <c r="D11" s="12" t="s">
        <v>1714</v>
      </c>
      <c r="E11" s="4"/>
      <c r="F11" s="5">
        <v>2</v>
      </c>
      <c r="G11" s="7">
        <f t="shared" si="4"/>
        <v>-2</v>
      </c>
      <c r="H11" s="6">
        <f t="shared" si="5"/>
        <v>-1</v>
      </c>
      <c r="I11" s="4"/>
      <c r="J11" s="22"/>
      <c r="K11" s="20"/>
      <c r="L11" s="20"/>
      <c r="M11" s="16"/>
      <c r="O11" s="20" t="str">
        <f t="shared" si="1"/>
        <v>AI750161A</v>
      </c>
      <c r="P11" s="20" t="str">
        <f t="shared" si="0"/>
        <v>Not Found</v>
      </c>
      <c r="Q11" s="20"/>
      <c r="R11" s="29" t="str">
        <f t="shared" si="2"/>
        <v>Not Found</v>
      </c>
      <c r="S11" s="29" t="str">
        <f t="shared" si="3"/>
        <v>Not Found</v>
      </c>
    </row>
    <row r="12" spans="1:21" x14ac:dyDescent="0.25">
      <c r="C12" s="10"/>
      <c r="D12" s="12" t="s">
        <v>1715</v>
      </c>
      <c r="E12" s="4"/>
      <c r="F12" s="5">
        <v>2</v>
      </c>
      <c r="G12" s="7">
        <f t="shared" si="4"/>
        <v>-2</v>
      </c>
      <c r="H12" s="6">
        <f t="shared" si="5"/>
        <v>-1</v>
      </c>
      <c r="I12" s="4"/>
      <c r="J12" s="22"/>
      <c r="K12" s="20"/>
      <c r="L12" s="20"/>
      <c r="M12" s="16"/>
      <c r="O12" s="20" t="str">
        <f t="shared" si="1"/>
        <v>AI750161B</v>
      </c>
      <c r="P12" s="20" t="str">
        <f t="shared" si="0"/>
        <v>Not Found</v>
      </c>
      <c r="Q12" s="20"/>
      <c r="R12" s="29" t="str">
        <f t="shared" si="2"/>
        <v>Not Found</v>
      </c>
      <c r="S12" s="29" t="str">
        <f t="shared" si="3"/>
        <v>Not Found</v>
      </c>
    </row>
    <row r="13" spans="1:21" x14ac:dyDescent="0.25">
      <c r="C13" s="10"/>
      <c r="D13" s="12" t="s">
        <v>1716</v>
      </c>
      <c r="E13" s="4"/>
      <c r="F13" s="5">
        <v>2</v>
      </c>
      <c r="G13" s="7">
        <f t="shared" si="4"/>
        <v>-2</v>
      </c>
      <c r="H13" s="6">
        <f t="shared" si="5"/>
        <v>-1</v>
      </c>
      <c r="I13" s="4"/>
      <c r="J13" s="22"/>
      <c r="K13" s="20"/>
      <c r="L13" s="20"/>
      <c r="M13" s="16"/>
      <c r="O13" s="20" t="str">
        <f t="shared" si="1"/>
        <v>AI760161A</v>
      </c>
      <c r="P13" s="20" t="str">
        <f t="shared" si="0"/>
        <v>T7600_Overview_Display.xgml</v>
      </c>
      <c r="Q13" s="20"/>
      <c r="R13" s="29">
        <f t="shared" si="2"/>
        <v>1152</v>
      </c>
      <c r="S13" s="29">
        <f t="shared" si="3"/>
        <v>456</v>
      </c>
    </row>
    <row r="14" spans="1:21" x14ac:dyDescent="0.25">
      <c r="C14" s="10"/>
      <c r="D14" s="12" t="s">
        <v>1717</v>
      </c>
      <c r="E14" s="4"/>
      <c r="F14" s="5">
        <v>2</v>
      </c>
      <c r="G14" s="7">
        <f t="shared" si="4"/>
        <v>-2</v>
      </c>
      <c r="H14" s="6">
        <f t="shared" si="5"/>
        <v>-1</v>
      </c>
      <c r="I14" s="4"/>
      <c r="J14" s="22"/>
      <c r="K14" s="20"/>
      <c r="L14" s="20"/>
      <c r="M14" s="16"/>
      <c r="O14" s="20" t="str">
        <f t="shared" si="1"/>
        <v>AI760161B</v>
      </c>
      <c r="P14" s="20" t="str">
        <f t="shared" si="0"/>
        <v>T7600_Overview_Display.xgml</v>
      </c>
      <c r="Q14" s="20"/>
      <c r="R14" s="29">
        <f t="shared" si="2"/>
        <v>1152</v>
      </c>
      <c r="S14" s="29">
        <f t="shared" si="3"/>
        <v>504</v>
      </c>
    </row>
    <row r="15" spans="1:21" x14ac:dyDescent="0.25">
      <c r="C15" s="10"/>
      <c r="D15" s="12" t="s">
        <v>1718</v>
      </c>
      <c r="E15" s="4"/>
      <c r="F15" s="5">
        <v>2</v>
      </c>
      <c r="G15" s="7">
        <f t="shared" si="4"/>
        <v>-2</v>
      </c>
      <c r="H15" s="6">
        <f t="shared" si="5"/>
        <v>-1</v>
      </c>
      <c r="I15" s="4"/>
      <c r="J15" s="22"/>
      <c r="K15" s="20"/>
      <c r="L15" s="20"/>
      <c r="M15" s="16"/>
      <c r="O15" s="20" t="str">
        <f t="shared" si="1"/>
        <v>AI790006</v>
      </c>
      <c r="P15" s="20" t="str">
        <f t="shared" si="0"/>
        <v>R7040-2A_Overview Display.xgml</v>
      </c>
      <c r="Q15" s="20"/>
      <c r="R15" s="29">
        <f t="shared" si="2"/>
        <v>856</v>
      </c>
      <c r="S15" s="29">
        <f t="shared" si="3"/>
        <v>720</v>
      </c>
    </row>
    <row r="16" spans="1:21" x14ac:dyDescent="0.25">
      <c r="C16" s="10"/>
      <c r="D16" s="12" t="s">
        <v>1719</v>
      </c>
      <c r="E16" s="4"/>
      <c r="F16" s="5">
        <v>2</v>
      </c>
      <c r="G16" s="7">
        <f t="shared" si="4"/>
        <v>-2</v>
      </c>
      <c r="H16" s="6">
        <f t="shared" si="5"/>
        <v>-1</v>
      </c>
      <c r="I16" s="4"/>
      <c r="J16" s="22"/>
      <c r="K16" s="20"/>
      <c r="L16" s="20"/>
      <c r="M16" s="16"/>
      <c r="O16" s="20" t="str">
        <f t="shared" si="1"/>
        <v>AI799206</v>
      </c>
      <c r="P16" s="20" t="str">
        <f t="shared" si="0"/>
        <v>Not Found</v>
      </c>
      <c r="Q16" s="20"/>
      <c r="R16" s="29" t="str">
        <f t="shared" si="2"/>
        <v>Not Found</v>
      </c>
      <c r="S16" s="29" t="str">
        <f t="shared" si="3"/>
        <v>Not Found</v>
      </c>
    </row>
    <row r="17" spans="3:19" x14ac:dyDescent="0.25">
      <c r="C17" s="10"/>
      <c r="D17" s="12" t="s">
        <v>1720</v>
      </c>
      <c r="E17" s="4"/>
      <c r="F17" s="5">
        <v>2</v>
      </c>
      <c r="G17" s="7">
        <f t="shared" si="4"/>
        <v>-2</v>
      </c>
      <c r="H17" s="6">
        <f t="shared" si="5"/>
        <v>-1</v>
      </c>
      <c r="I17" s="4"/>
      <c r="J17" s="22"/>
      <c r="K17" s="20"/>
      <c r="L17" s="20"/>
      <c r="M17" s="16"/>
      <c r="O17" s="20" t="str">
        <f t="shared" si="1"/>
        <v>AI799501</v>
      </c>
      <c r="P17" s="20" t="str">
        <f t="shared" si="0"/>
        <v>F &amp; G_Overview  Display.xgml</v>
      </c>
      <c r="Q17" s="20"/>
      <c r="R17" s="29">
        <f t="shared" si="2"/>
        <v>168</v>
      </c>
      <c r="S17" s="29">
        <f t="shared" si="3"/>
        <v>627</v>
      </c>
    </row>
    <row r="18" spans="3:19" x14ac:dyDescent="0.25">
      <c r="C18" s="10"/>
      <c r="D18" s="12" t="s">
        <v>1721</v>
      </c>
      <c r="E18" s="4"/>
      <c r="F18" s="5">
        <v>2</v>
      </c>
      <c r="G18" s="7">
        <f t="shared" si="4"/>
        <v>-2</v>
      </c>
      <c r="H18" s="6">
        <f t="shared" si="5"/>
        <v>-1</v>
      </c>
      <c r="I18" s="4"/>
      <c r="J18" s="22"/>
      <c r="K18" s="20"/>
      <c r="L18" s="20"/>
      <c r="M18" s="16"/>
      <c r="O18" s="20" t="str">
        <f t="shared" si="1"/>
        <v>AI799502</v>
      </c>
      <c r="P18" s="20" t="str">
        <f t="shared" si="0"/>
        <v>F &amp; G_Overview  Display.xgml</v>
      </c>
      <c r="Q18" s="20"/>
      <c r="R18" s="29">
        <f t="shared" si="2"/>
        <v>119</v>
      </c>
      <c r="S18" s="29">
        <f t="shared" si="3"/>
        <v>686</v>
      </c>
    </row>
    <row r="19" spans="3:19" x14ac:dyDescent="0.25">
      <c r="C19" s="10"/>
      <c r="D19" s="12" t="s">
        <v>1722</v>
      </c>
      <c r="E19" s="4"/>
      <c r="F19" s="5">
        <v>2</v>
      </c>
      <c r="G19" s="7">
        <f t="shared" si="4"/>
        <v>-2</v>
      </c>
      <c r="H19" s="6">
        <f t="shared" si="5"/>
        <v>-1</v>
      </c>
      <c r="I19" s="4"/>
      <c r="J19" s="22"/>
      <c r="K19" s="20"/>
      <c r="L19" s="20"/>
      <c r="M19" s="16"/>
      <c r="O19" s="20" t="str">
        <f t="shared" si="1"/>
        <v>AI799506</v>
      </c>
      <c r="P19" s="20" t="str">
        <f t="shared" si="0"/>
        <v>F &amp; G_Overview  Display.xgml</v>
      </c>
      <c r="Q19" s="20"/>
      <c r="R19" s="29">
        <f t="shared" si="2"/>
        <v>16</v>
      </c>
      <c r="S19" s="29">
        <f t="shared" si="3"/>
        <v>552</v>
      </c>
    </row>
    <row r="20" spans="3:19" x14ac:dyDescent="0.25">
      <c r="C20" s="10"/>
      <c r="D20" s="12" t="s">
        <v>1723</v>
      </c>
      <c r="E20" s="4"/>
      <c r="F20" s="5">
        <v>2</v>
      </c>
      <c r="G20" s="7">
        <f t="shared" si="4"/>
        <v>-2</v>
      </c>
      <c r="H20" s="6">
        <f t="shared" si="5"/>
        <v>-1</v>
      </c>
      <c r="I20" s="4"/>
      <c r="J20" s="22"/>
      <c r="K20" s="20"/>
      <c r="L20" s="20"/>
      <c r="M20" s="16"/>
      <c r="O20" s="20" t="str">
        <f t="shared" si="1"/>
        <v>AI799507</v>
      </c>
      <c r="P20" s="20" t="str">
        <f t="shared" si="0"/>
        <v>F &amp; G_Overview  Display.xgml</v>
      </c>
      <c r="Q20" s="20"/>
      <c r="R20" s="29">
        <f t="shared" si="2"/>
        <v>164</v>
      </c>
      <c r="S20" s="29">
        <f t="shared" si="3"/>
        <v>552</v>
      </c>
    </row>
    <row r="21" spans="3:19" x14ac:dyDescent="0.25">
      <c r="C21" s="10"/>
      <c r="D21" s="12" t="s">
        <v>1724</v>
      </c>
      <c r="E21" s="4"/>
      <c r="F21" s="5">
        <v>2</v>
      </c>
      <c r="G21" s="7">
        <f t="shared" si="4"/>
        <v>-2</v>
      </c>
      <c r="H21" s="6">
        <f t="shared" si="5"/>
        <v>-1</v>
      </c>
      <c r="I21" s="4"/>
      <c r="J21" s="22"/>
      <c r="K21" s="20"/>
      <c r="L21" s="20"/>
      <c r="M21" s="16"/>
      <c r="O21" s="20" t="str">
        <f t="shared" si="1"/>
        <v>AI799508</v>
      </c>
      <c r="P21" s="20" t="str">
        <f t="shared" si="0"/>
        <v>F &amp; G_Overview  Display.xgml</v>
      </c>
      <c r="Q21" s="20"/>
      <c r="R21" s="29">
        <f t="shared" si="2"/>
        <v>312</v>
      </c>
      <c r="S21" s="29">
        <f t="shared" si="3"/>
        <v>552</v>
      </c>
    </row>
    <row r="22" spans="3:19" x14ac:dyDescent="0.25">
      <c r="C22" s="10"/>
      <c r="D22" s="12" t="s">
        <v>1725</v>
      </c>
      <c r="E22" s="4"/>
      <c r="F22" s="5">
        <v>2</v>
      </c>
      <c r="G22" s="7">
        <f t="shared" si="4"/>
        <v>-2</v>
      </c>
      <c r="H22" s="6">
        <f t="shared" si="5"/>
        <v>-1</v>
      </c>
      <c r="I22" s="4"/>
      <c r="J22" s="22"/>
      <c r="K22" s="20"/>
      <c r="L22" s="20"/>
      <c r="M22" s="16"/>
      <c r="O22" s="20" t="str">
        <f t="shared" si="1"/>
        <v>DI700018A_1oo2</v>
      </c>
      <c r="P22" s="20" t="str">
        <f t="shared" si="0"/>
        <v>Not Found</v>
      </c>
      <c r="Q22" s="20"/>
      <c r="R22" s="29" t="str">
        <f t="shared" si="2"/>
        <v>Not Found</v>
      </c>
      <c r="S22" s="29" t="str">
        <f t="shared" si="3"/>
        <v>Not Found</v>
      </c>
    </row>
    <row r="23" spans="3:19" x14ac:dyDescent="0.25">
      <c r="C23" s="10"/>
      <c r="D23" s="12" t="s">
        <v>1726</v>
      </c>
      <c r="E23" s="4"/>
      <c r="F23" s="5">
        <v>2</v>
      </c>
      <c r="G23" s="7">
        <f t="shared" si="4"/>
        <v>-2</v>
      </c>
      <c r="H23" s="6">
        <f t="shared" si="5"/>
        <v>-1</v>
      </c>
      <c r="I23" s="4"/>
      <c r="J23" s="22"/>
      <c r="K23" s="20"/>
      <c r="L23" s="20"/>
      <c r="M23" s="16"/>
      <c r="O23" s="20" t="str">
        <f t="shared" si="1"/>
        <v>DI700018A_1oo2</v>
      </c>
      <c r="P23" s="20" t="str">
        <f t="shared" si="0"/>
        <v>Not Found</v>
      </c>
      <c r="Q23" s="20"/>
      <c r="R23" s="29" t="str">
        <f t="shared" si="2"/>
        <v>Not Found</v>
      </c>
      <c r="S23" s="29" t="str">
        <f t="shared" si="3"/>
        <v>Not Found</v>
      </c>
    </row>
    <row r="24" spans="3:19" x14ac:dyDescent="0.25">
      <c r="C24" s="10"/>
      <c r="D24" s="13" t="s">
        <v>1727</v>
      </c>
      <c r="E24" s="4"/>
      <c r="F24" s="5">
        <v>0</v>
      </c>
      <c r="G24" s="7">
        <f t="shared" si="4"/>
        <v>0</v>
      </c>
      <c r="H24" s="6" t="str">
        <f t="shared" si="5"/>
        <v/>
      </c>
      <c r="I24" s="4"/>
      <c r="J24" s="22"/>
      <c r="K24" s="20"/>
      <c r="L24" s="20"/>
      <c r="M24" s="16"/>
      <c r="O24" s="20" t="str">
        <f t="shared" si="1"/>
        <v>DI703002A_1oo2</v>
      </c>
      <c r="P24" s="20" t="str">
        <f t="shared" si="0"/>
        <v>Not Found</v>
      </c>
      <c r="Q24" s="20"/>
      <c r="R24" s="29" t="str">
        <f t="shared" si="2"/>
        <v>Not Found</v>
      </c>
      <c r="S24" s="29" t="str">
        <f t="shared" si="3"/>
        <v>Not Found</v>
      </c>
    </row>
    <row r="25" spans="3:19" x14ac:dyDescent="0.25">
      <c r="C25" s="10"/>
      <c r="D25" s="12" t="s">
        <v>1728</v>
      </c>
      <c r="E25" s="4"/>
      <c r="F25" s="5">
        <v>0</v>
      </c>
      <c r="G25" s="7">
        <f t="shared" si="4"/>
        <v>0</v>
      </c>
      <c r="H25" s="6" t="str">
        <f t="shared" si="5"/>
        <v/>
      </c>
      <c r="I25" s="4"/>
      <c r="J25" s="19"/>
      <c r="K25" s="20"/>
      <c r="L25" s="20"/>
      <c r="M25" s="21"/>
      <c r="O25" s="20" t="str">
        <f t="shared" si="1"/>
        <v>DI703002A_1oo2</v>
      </c>
      <c r="P25" s="20" t="str">
        <f t="shared" si="0"/>
        <v>Not Found</v>
      </c>
      <c r="Q25" s="20"/>
      <c r="R25" s="29" t="str">
        <f t="shared" si="2"/>
        <v>Not Found</v>
      </c>
      <c r="S25" s="29" t="str">
        <f t="shared" si="3"/>
        <v>Not Found</v>
      </c>
    </row>
    <row r="26" spans="3:19" x14ac:dyDescent="0.25">
      <c r="C26" s="10"/>
      <c r="D26" s="13" t="s">
        <v>1729</v>
      </c>
      <c r="E26" s="4"/>
      <c r="F26" s="5">
        <v>2</v>
      </c>
      <c r="G26" s="7">
        <f t="shared" si="4"/>
        <v>-2</v>
      </c>
      <c r="H26" s="6">
        <f t="shared" si="5"/>
        <v>-1</v>
      </c>
      <c r="I26" s="4"/>
      <c r="J26" s="19"/>
      <c r="K26" s="20"/>
      <c r="L26" s="20"/>
      <c r="M26" s="21"/>
      <c r="O26" s="20" t="str">
        <f t="shared" si="1"/>
        <v>EI799650</v>
      </c>
      <c r="P26" s="20" t="str">
        <f t="shared" si="0"/>
        <v>Not Found</v>
      </c>
      <c r="Q26" s="20"/>
      <c r="R26" s="29" t="str">
        <f t="shared" si="2"/>
        <v>Not Found</v>
      </c>
      <c r="S26" s="29" t="str">
        <f t="shared" si="3"/>
        <v>Not Found</v>
      </c>
    </row>
    <row r="27" spans="3:19" x14ac:dyDescent="0.25">
      <c r="C27" s="10"/>
      <c r="D27" s="13" t="s">
        <v>1730</v>
      </c>
      <c r="E27" s="4"/>
      <c r="F27" s="5">
        <v>2</v>
      </c>
      <c r="G27" s="7">
        <f t="shared" si="4"/>
        <v>-2</v>
      </c>
      <c r="H27" s="6">
        <f t="shared" si="5"/>
        <v>-1</v>
      </c>
      <c r="I27" s="4"/>
      <c r="J27" s="19"/>
      <c r="K27" s="20"/>
      <c r="L27" s="20"/>
      <c r="M27" s="21"/>
      <c r="O27" s="20" t="str">
        <f t="shared" si="1"/>
        <v>EI799651</v>
      </c>
      <c r="P27" s="20" t="str">
        <f t="shared" si="0"/>
        <v>Not Found</v>
      </c>
      <c r="Q27" s="20"/>
      <c r="R27" s="29" t="str">
        <f t="shared" si="2"/>
        <v>Not Found</v>
      </c>
      <c r="S27" s="29" t="str">
        <f t="shared" si="3"/>
        <v>Not Found</v>
      </c>
    </row>
    <row r="28" spans="3:19" x14ac:dyDescent="0.25">
      <c r="C28" s="10"/>
      <c r="D28" s="12" t="s">
        <v>1731</v>
      </c>
      <c r="E28" s="4"/>
      <c r="F28" s="5">
        <v>0</v>
      </c>
      <c r="G28" s="7">
        <f t="shared" si="4"/>
        <v>0</v>
      </c>
      <c r="H28" s="6" t="str">
        <f t="shared" si="5"/>
        <v/>
      </c>
      <c r="I28" s="4"/>
      <c r="J28" s="19"/>
      <c r="K28" s="20"/>
      <c r="L28" s="20"/>
      <c r="M28" s="21"/>
      <c r="O28" s="20" t="str">
        <f t="shared" si="1"/>
        <v>FI700001</v>
      </c>
      <c r="P28" s="20" t="str">
        <f t="shared" si="0"/>
        <v>R7040-1_Overview Display.xgml</v>
      </c>
      <c r="Q28" s="20"/>
      <c r="R28" s="29">
        <f t="shared" si="2"/>
        <v>69</v>
      </c>
      <c r="S28" s="29">
        <f t="shared" si="3"/>
        <v>357</v>
      </c>
    </row>
    <row r="29" spans="3:19" x14ac:dyDescent="0.25">
      <c r="C29" s="10"/>
      <c r="D29" s="14" t="s">
        <v>1732</v>
      </c>
      <c r="E29" s="4"/>
      <c r="F29" s="5">
        <v>0</v>
      </c>
      <c r="G29" s="7">
        <f t="shared" si="4"/>
        <v>0</v>
      </c>
      <c r="H29" s="6" t="str">
        <f t="shared" si="5"/>
        <v/>
      </c>
      <c r="I29" s="4"/>
      <c r="J29" s="19"/>
      <c r="K29" s="23"/>
      <c r="L29" s="23"/>
      <c r="M29" s="23"/>
      <c r="O29" s="20" t="str">
        <f t="shared" si="1"/>
        <v>FI700018A_1oo2</v>
      </c>
      <c r="P29" s="20" t="str">
        <f t="shared" ref="P29:P92" si="6">+FindinFile($P$2,$O29,"Name")</f>
        <v>Not Found</v>
      </c>
      <c r="Q29" s="23"/>
      <c r="R29" s="29" t="str">
        <f t="shared" si="2"/>
        <v>Not Found</v>
      </c>
      <c r="S29" s="29" t="str">
        <f t="shared" si="3"/>
        <v>Not Found</v>
      </c>
    </row>
    <row r="30" spans="3:19" x14ac:dyDescent="0.25">
      <c r="C30" s="10"/>
      <c r="D30" s="14" t="s">
        <v>1733</v>
      </c>
      <c r="E30" s="4"/>
      <c r="F30" s="5">
        <v>0</v>
      </c>
      <c r="G30" s="7">
        <f t="shared" si="4"/>
        <v>0</v>
      </c>
      <c r="H30" s="6" t="str">
        <f t="shared" si="5"/>
        <v/>
      </c>
      <c r="I30" s="4"/>
      <c r="J30" s="19"/>
      <c r="K30" s="23"/>
      <c r="L30" s="23"/>
      <c r="M30" s="23"/>
      <c r="O30" s="20" t="str">
        <f t="shared" si="1"/>
        <v>FI700018A_1oo2</v>
      </c>
      <c r="P30" s="20" t="str">
        <f t="shared" si="6"/>
        <v>Not Found</v>
      </c>
      <c r="Q30" s="23"/>
      <c r="R30" s="29" t="str">
        <f t="shared" si="2"/>
        <v>Not Found</v>
      </c>
      <c r="S30" s="29" t="str">
        <f t="shared" si="3"/>
        <v>Not Found</v>
      </c>
    </row>
    <row r="31" spans="3:19" x14ac:dyDescent="0.25">
      <c r="C31" s="10"/>
      <c r="D31" s="14" t="s">
        <v>1734</v>
      </c>
      <c r="E31" s="4"/>
      <c r="F31" s="5">
        <v>0</v>
      </c>
      <c r="G31" s="7">
        <f t="shared" si="4"/>
        <v>0</v>
      </c>
      <c r="H31" s="6" t="str">
        <f t="shared" si="5"/>
        <v/>
      </c>
      <c r="I31" s="4"/>
      <c r="J31" s="19"/>
      <c r="K31" s="23"/>
      <c r="L31" s="23"/>
      <c r="M31" s="23"/>
      <c r="O31" s="20" t="str">
        <f t="shared" si="1"/>
        <v>FI700018</v>
      </c>
      <c r="P31" s="20" t="str">
        <f t="shared" si="6"/>
        <v>T7300_Overview_Display.xgml</v>
      </c>
      <c r="Q31" s="23"/>
      <c r="R31" s="29">
        <f t="shared" si="2"/>
        <v>1232</v>
      </c>
      <c r="S31" s="29">
        <f t="shared" si="3"/>
        <v>504</v>
      </c>
    </row>
    <row r="32" spans="3:19" x14ac:dyDescent="0.25">
      <c r="C32" s="10"/>
      <c r="D32" s="14" t="s">
        <v>1735</v>
      </c>
      <c r="E32" s="4"/>
      <c r="F32" s="5">
        <v>0</v>
      </c>
      <c r="G32" s="7">
        <f t="shared" si="4"/>
        <v>0</v>
      </c>
      <c r="H32" s="6" t="str">
        <f t="shared" si="5"/>
        <v/>
      </c>
      <c r="I32" s="4"/>
      <c r="J32" s="19"/>
      <c r="K32" s="23"/>
      <c r="L32" s="23"/>
      <c r="M32" s="23"/>
      <c r="O32" s="20" t="str">
        <f t="shared" si="1"/>
        <v>FI701001</v>
      </c>
      <c r="P32" s="20" t="str">
        <f t="shared" si="6"/>
        <v>REACTION_Graphic Display.xgml</v>
      </c>
      <c r="Q32" s="23"/>
      <c r="R32" s="29">
        <f t="shared" si="2"/>
        <v>88</v>
      </c>
      <c r="S32" s="29">
        <f t="shared" si="3"/>
        <v>246</v>
      </c>
    </row>
    <row r="33" spans="3:19" x14ac:dyDescent="0.25">
      <c r="C33" s="10"/>
      <c r="D33" s="14" t="s">
        <v>1736</v>
      </c>
      <c r="E33" s="4"/>
      <c r="F33" s="5">
        <v>0</v>
      </c>
      <c r="G33" s="7">
        <f t="shared" si="4"/>
        <v>0</v>
      </c>
      <c r="H33" s="6" t="str">
        <f t="shared" si="5"/>
        <v/>
      </c>
      <c r="I33" s="4"/>
      <c r="J33" s="19"/>
      <c r="K33" s="23"/>
      <c r="L33" s="23"/>
      <c r="M33" s="23"/>
      <c r="O33" s="20" t="str">
        <f t="shared" si="1"/>
        <v>FI701012</v>
      </c>
      <c r="P33" s="20" t="str">
        <f t="shared" si="6"/>
        <v>R7040-1_Overview Display.xgml</v>
      </c>
      <c r="Q33" s="23"/>
      <c r="R33" s="29">
        <f t="shared" si="2"/>
        <v>217</v>
      </c>
      <c r="S33" s="29">
        <f t="shared" si="3"/>
        <v>265</v>
      </c>
    </row>
    <row r="34" spans="3:19" x14ac:dyDescent="0.25">
      <c r="C34" s="10"/>
      <c r="D34" s="14" t="s">
        <v>1737</v>
      </c>
      <c r="E34" s="4"/>
      <c r="F34" s="5">
        <v>0</v>
      </c>
      <c r="G34" s="7">
        <f t="shared" si="4"/>
        <v>0</v>
      </c>
      <c r="H34" s="6" t="str">
        <f t="shared" si="5"/>
        <v/>
      </c>
      <c r="I34" s="4"/>
      <c r="J34" s="19"/>
      <c r="K34" s="23"/>
      <c r="L34" s="23"/>
      <c r="M34" s="23"/>
      <c r="O34" s="20" t="str">
        <f t="shared" si="1"/>
        <v>FI701129</v>
      </c>
      <c r="P34" s="20" t="str">
        <f t="shared" si="6"/>
        <v>PU7700_Overview  Display.xgml</v>
      </c>
      <c r="Q34" s="23"/>
      <c r="R34" s="29">
        <f t="shared" si="2"/>
        <v>1198</v>
      </c>
      <c r="S34" s="29">
        <f t="shared" si="3"/>
        <v>759</v>
      </c>
    </row>
    <row r="35" spans="3:19" x14ac:dyDescent="0.25">
      <c r="C35" s="10"/>
      <c r="D35" s="14" t="s">
        <v>1738</v>
      </c>
      <c r="E35" s="4"/>
      <c r="F35" s="5">
        <v>0</v>
      </c>
      <c r="G35" s="7">
        <f t="shared" si="4"/>
        <v>0</v>
      </c>
      <c r="H35" s="6" t="str">
        <f t="shared" si="5"/>
        <v/>
      </c>
      <c r="I35" s="4"/>
      <c r="J35" s="19"/>
      <c r="K35" s="23"/>
      <c r="L35" s="23"/>
      <c r="M35" s="23"/>
      <c r="O35" s="20" t="str">
        <f t="shared" si="1"/>
        <v>FI703002A_1oo2</v>
      </c>
      <c r="P35" s="20" t="str">
        <f t="shared" si="6"/>
        <v>REACTION_Graphic Display.xgml</v>
      </c>
      <c r="Q35" s="23"/>
      <c r="R35" s="29">
        <f t="shared" si="2"/>
        <v>32</v>
      </c>
      <c r="S35" s="29">
        <f t="shared" si="3"/>
        <v>816</v>
      </c>
    </row>
    <row r="36" spans="3:19" x14ac:dyDescent="0.25">
      <c r="C36" s="10"/>
      <c r="D36" s="14" t="s">
        <v>1739</v>
      </c>
      <c r="E36" s="4"/>
      <c r="F36" s="5">
        <v>0</v>
      </c>
      <c r="G36" s="7">
        <f t="shared" si="4"/>
        <v>0</v>
      </c>
      <c r="H36" s="6" t="str">
        <f t="shared" si="5"/>
        <v/>
      </c>
      <c r="I36" s="4"/>
      <c r="J36" s="19"/>
      <c r="K36" s="23"/>
      <c r="L36" s="23"/>
      <c r="M36" s="23"/>
      <c r="O36" s="20" t="str">
        <f t="shared" si="1"/>
        <v>FI703002A_1oo2</v>
      </c>
      <c r="P36" s="20" t="str">
        <f t="shared" si="6"/>
        <v>REACTION_Graphic Display.xgml</v>
      </c>
      <c r="Q36" s="23"/>
      <c r="R36" s="29">
        <f t="shared" si="2"/>
        <v>32</v>
      </c>
      <c r="S36" s="29">
        <f t="shared" si="3"/>
        <v>816</v>
      </c>
    </row>
    <row r="37" spans="3:19" x14ac:dyDescent="0.25">
      <c r="C37" s="10"/>
      <c r="D37" s="14" t="s">
        <v>1740</v>
      </c>
      <c r="E37" s="4"/>
      <c r="F37" s="5">
        <v>0</v>
      </c>
      <c r="G37" s="7">
        <f t="shared" si="4"/>
        <v>0</v>
      </c>
      <c r="H37" s="6" t="str">
        <f t="shared" si="5"/>
        <v/>
      </c>
      <c r="I37" s="4"/>
      <c r="J37" s="19"/>
      <c r="K37" s="23"/>
      <c r="L37" s="23"/>
      <c r="M37" s="23"/>
      <c r="O37" s="20" t="str">
        <f t="shared" si="1"/>
        <v>FI703009A_1oo2</v>
      </c>
      <c r="P37" s="20" t="str">
        <f t="shared" si="6"/>
        <v>REACTION_Graphic Display.xgml</v>
      </c>
      <c r="Q37" s="23"/>
      <c r="R37" s="29">
        <f t="shared" si="2"/>
        <v>229</v>
      </c>
      <c r="S37" s="29">
        <f t="shared" si="3"/>
        <v>621</v>
      </c>
    </row>
    <row r="38" spans="3:19" x14ac:dyDescent="0.25">
      <c r="C38" s="10"/>
      <c r="D38" s="14" t="s">
        <v>1741</v>
      </c>
      <c r="E38" s="4"/>
      <c r="F38" s="5">
        <v>0</v>
      </c>
      <c r="G38" s="7">
        <f t="shared" si="4"/>
        <v>0</v>
      </c>
      <c r="H38" s="6" t="str">
        <f t="shared" si="5"/>
        <v/>
      </c>
      <c r="I38" s="4"/>
      <c r="J38" s="19"/>
      <c r="K38" s="23"/>
      <c r="L38" s="23"/>
      <c r="M38" s="23"/>
      <c r="O38" s="20" t="str">
        <f t="shared" si="1"/>
        <v>FI703009A_1oo2</v>
      </c>
      <c r="P38" s="20" t="str">
        <f t="shared" si="6"/>
        <v>REACTION_Graphic Display.xgml</v>
      </c>
      <c r="Q38" s="23"/>
      <c r="R38" s="29">
        <f t="shared" si="2"/>
        <v>229</v>
      </c>
      <c r="S38" s="29">
        <f t="shared" si="3"/>
        <v>621</v>
      </c>
    </row>
    <row r="39" spans="3:19" ht="15" customHeight="1" x14ac:dyDescent="0.25">
      <c r="C39" s="10" t="s">
        <v>15</v>
      </c>
      <c r="D39" s="14" t="s">
        <v>1742</v>
      </c>
      <c r="E39" s="4"/>
      <c r="F39" s="5">
        <v>0</v>
      </c>
      <c r="G39" s="7">
        <f t="shared" si="4"/>
        <v>0</v>
      </c>
      <c r="H39" s="6" t="str">
        <f t="shared" si="5"/>
        <v/>
      </c>
      <c r="I39" s="4"/>
      <c r="J39" s="15"/>
      <c r="K39" s="17"/>
      <c r="L39" s="17"/>
      <c r="M39" s="18"/>
      <c r="O39" s="20" t="str">
        <f t="shared" si="1"/>
        <v>FI703017</v>
      </c>
      <c r="P39" s="20" t="str">
        <f t="shared" si="6"/>
        <v>R7040-2A_Overview Display.xgml</v>
      </c>
      <c r="Q39" s="17"/>
      <c r="R39" s="29">
        <f t="shared" si="2"/>
        <v>1013</v>
      </c>
      <c r="S39" s="29">
        <f t="shared" si="3"/>
        <v>465</v>
      </c>
    </row>
    <row r="40" spans="3:19" x14ac:dyDescent="0.25">
      <c r="C40" s="10"/>
      <c r="D40" s="14" t="s">
        <v>1743</v>
      </c>
      <c r="E40" s="4"/>
      <c r="F40" s="5">
        <v>0</v>
      </c>
      <c r="G40" s="7">
        <f t="shared" si="4"/>
        <v>0</v>
      </c>
      <c r="H40" s="6" t="str">
        <f t="shared" si="5"/>
        <v/>
      </c>
      <c r="I40" s="4"/>
      <c r="J40" s="15"/>
      <c r="K40" s="17"/>
      <c r="L40" s="17"/>
      <c r="M40" s="18"/>
      <c r="O40" s="20" t="str">
        <f t="shared" si="1"/>
        <v>FI703035</v>
      </c>
      <c r="P40" s="20" t="str">
        <f t="shared" si="6"/>
        <v>R7040-1_Overview Display.xgml</v>
      </c>
      <c r="Q40" s="17"/>
      <c r="R40" s="29">
        <f t="shared" si="2"/>
        <v>1000</v>
      </c>
      <c r="S40" s="29">
        <f t="shared" si="3"/>
        <v>456</v>
      </c>
    </row>
    <row r="41" spans="3:19" x14ac:dyDescent="0.25">
      <c r="C41" s="10"/>
      <c r="D41" s="14" t="s">
        <v>1744</v>
      </c>
      <c r="E41" s="4"/>
      <c r="F41" s="5">
        <v>0</v>
      </c>
      <c r="G41" s="7">
        <f t="shared" si="4"/>
        <v>0</v>
      </c>
      <c r="H41" s="6" t="str">
        <f t="shared" si="5"/>
        <v/>
      </c>
      <c r="I41" s="4"/>
      <c r="J41" s="15"/>
      <c r="K41" s="17"/>
      <c r="L41" s="17"/>
      <c r="M41" s="18"/>
      <c r="O41" s="20" t="str">
        <f t="shared" si="1"/>
        <v>FI720001</v>
      </c>
      <c r="P41" s="20" t="str">
        <f t="shared" si="6"/>
        <v>R7040-2B_Overview Display.xgml</v>
      </c>
      <c r="Q41" s="17"/>
      <c r="R41" s="29">
        <f t="shared" si="2"/>
        <v>29</v>
      </c>
      <c r="S41" s="29">
        <f t="shared" si="3"/>
        <v>240</v>
      </c>
    </row>
    <row r="42" spans="3:19" x14ac:dyDescent="0.25">
      <c r="C42" s="10"/>
      <c r="D42" s="14" t="s">
        <v>1745</v>
      </c>
      <c r="E42" s="4"/>
      <c r="F42" s="5">
        <v>0</v>
      </c>
      <c r="G42" s="7">
        <f t="shared" si="4"/>
        <v>0</v>
      </c>
      <c r="H42" s="6" t="str">
        <f t="shared" si="5"/>
        <v/>
      </c>
      <c r="I42" s="4"/>
      <c r="J42" s="15"/>
      <c r="K42" s="17"/>
      <c r="L42" s="17"/>
      <c r="M42" s="18"/>
      <c r="O42" s="20" t="str">
        <f t="shared" si="1"/>
        <v>FI720010</v>
      </c>
      <c r="P42" s="20" t="str">
        <f t="shared" si="6"/>
        <v>R7040-2B_Overview Display.xgml</v>
      </c>
      <c r="Q42" s="17"/>
      <c r="R42" s="29">
        <f t="shared" si="2"/>
        <v>502</v>
      </c>
      <c r="S42" s="29">
        <f t="shared" si="3"/>
        <v>319</v>
      </c>
    </row>
    <row r="43" spans="3:19" x14ac:dyDescent="0.25">
      <c r="C43" s="10"/>
      <c r="D43" s="14" t="s">
        <v>1746</v>
      </c>
      <c r="E43" s="4"/>
      <c r="F43" s="5">
        <v>0</v>
      </c>
      <c r="G43" s="7">
        <f t="shared" si="4"/>
        <v>0</v>
      </c>
      <c r="H43" s="6" t="str">
        <f t="shared" si="5"/>
        <v/>
      </c>
      <c r="I43" s="4"/>
      <c r="J43" s="15"/>
      <c r="K43" s="17"/>
      <c r="L43" s="17"/>
      <c r="M43" s="18"/>
      <c r="O43" s="20" t="str">
        <f t="shared" si="1"/>
        <v>FI720015</v>
      </c>
      <c r="P43" s="20" t="str">
        <f t="shared" si="6"/>
        <v>R7040-2B_Overview Display.xgml</v>
      </c>
      <c r="Q43" s="17"/>
      <c r="R43" s="29">
        <f t="shared" si="2"/>
        <v>13</v>
      </c>
      <c r="S43" s="29">
        <f t="shared" si="3"/>
        <v>425</v>
      </c>
    </row>
    <row r="44" spans="3:19" x14ac:dyDescent="0.25">
      <c r="C44" s="10"/>
      <c r="D44" s="14" t="s">
        <v>1747</v>
      </c>
      <c r="E44" s="4"/>
      <c r="F44" s="5">
        <v>0</v>
      </c>
      <c r="G44" s="7">
        <f t="shared" si="4"/>
        <v>0</v>
      </c>
      <c r="H44" s="6" t="str">
        <f t="shared" si="5"/>
        <v/>
      </c>
      <c r="I44" s="4"/>
      <c r="J44" s="15"/>
      <c r="K44" s="17"/>
      <c r="L44" s="17"/>
      <c r="M44" s="18"/>
      <c r="O44" s="20" t="str">
        <f t="shared" si="1"/>
        <v>FI721001</v>
      </c>
      <c r="P44" s="20" t="str">
        <f t="shared" si="6"/>
        <v>R7040-2B_Overview Display.xgml</v>
      </c>
      <c r="Q44" s="17"/>
      <c r="R44" s="29">
        <f t="shared" si="2"/>
        <v>634</v>
      </c>
      <c r="S44" s="29">
        <f t="shared" si="3"/>
        <v>112</v>
      </c>
    </row>
    <row r="45" spans="3:19" x14ac:dyDescent="0.25">
      <c r="C45" s="10"/>
      <c r="D45" s="14" t="s">
        <v>1748</v>
      </c>
      <c r="E45" s="4"/>
      <c r="F45" s="5">
        <v>0</v>
      </c>
      <c r="G45" s="7">
        <f t="shared" si="4"/>
        <v>0</v>
      </c>
      <c r="H45" s="6" t="str">
        <f t="shared" si="5"/>
        <v/>
      </c>
      <c r="I45" s="4"/>
      <c r="J45" s="15"/>
      <c r="K45" s="17"/>
      <c r="L45" s="17"/>
      <c r="M45" s="18"/>
      <c r="O45" s="20" t="str">
        <f t="shared" si="1"/>
        <v>FI721010</v>
      </c>
      <c r="P45" s="20" t="str">
        <f t="shared" si="6"/>
        <v>R7040-2B_Overview Display.xgml</v>
      </c>
      <c r="Q45" s="17"/>
      <c r="R45" s="29">
        <f t="shared" si="2"/>
        <v>907</v>
      </c>
      <c r="S45" s="29">
        <f t="shared" si="3"/>
        <v>313</v>
      </c>
    </row>
    <row r="46" spans="3:19" x14ac:dyDescent="0.25">
      <c r="C46" s="10"/>
      <c r="D46" s="14" t="s">
        <v>1749</v>
      </c>
      <c r="E46" s="4"/>
      <c r="F46" s="5">
        <v>0</v>
      </c>
      <c r="G46" s="7">
        <f t="shared" si="4"/>
        <v>0</v>
      </c>
      <c r="H46" s="6" t="str">
        <f t="shared" si="5"/>
        <v/>
      </c>
      <c r="I46" s="4"/>
      <c r="J46" s="15"/>
      <c r="K46" s="17"/>
      <c r="L46" s="17"/>
      <c r="M46" s="18"/>
      <c r="O46" s="20" t="str">
        <f t="shared" si="1"/>
        <v>FI721016</v>
      </c>
      <c r="P46" s="20" t="str">
        <f t="shared" si="6"/>
        <v>R7040-2B_Overview Display.xgml</v>
      </c>
      <c r="Q46" s="17"/>
      <c r="R46" s="29">
        <f t="shared" si="2"/>
        <v>499</v>
      </c>
      <c r="S46" s="29">
        <f t="shared" si="3"/>
        <v>278</v>
      </c>
    </row>
    <row r="47" spans="3:19" x14ac:dyDescent="0.25">
      <c r="C47" s="10"/>
      <c r="D47" s="14" t="s">
        <v>1750</v>
      </c>
      <c r="E47" s="4"/>
      <c r="F47" s="5">
        <v>0</v>
      </c>
      <c r="G47" s="7">
        <f t="shared" si="4"/>
        <v>0</v>
      </c>
      <c r="H47" s="6" t="str">
        <f t="shared" si="5"/>
        <v/>
      </c>
      <c r="I47" s="4"/>
      <c r="J47" s="15"/>
      <c r="K47" s="17"/>
      <c r="L47" s="17"/>
      <c r="M47" s="18"/>
      <c r="O47" s="20" t="str">
        <f t="shared" si="1"/>
        <v>FI722001</v>
      </c>
      <c r="P47" s="20" t="str">
        <f t="shared" si="6"/>
        <v>R7040-2B_Overview Display.xgml</v>
      </c>
      <c r="Q47" s="17"/>
      <c r="R47" s="29">
        <f t="shared" si="2"/>
        <v>1304</v>
      </c>
      <c r="S47" s="29">
        <f t="shared" si="3"/>
        <v>577</v>
      </c>
    </row>
    <row r="48" spans="3:19" x14ac:dyDescent="0.25">
      <c r="C48" s="10"/>
      <c r="D48" s="14" t="s">
        <v>1751</v>
      </c>
      <c r="E48" s="4"/>
      <c r="F48" s="5">
        <v>0</v>
      </c>
      <c r="G48" s="7">
        <f t="shared" si="4"/>
        <v>0</v>
      </c>
      <c r="H48" s="6" t="str">
        <f t="shared" si="5"/>
        <v/>
      </c>
      <c r="I48" s="4"/>
      <c r="J48" s="15"/>
      <c r="K48" s="17"/>
      <c r="L48" s="17"/>
      <c r="M48" s="18"/>
      <c r="O48" s="20" t="str">
        <f t="shared" si="1"/>
        <v>FI722016</v>
      </c>
      <c r="P48" s="20" t="str">
        <f t="shared" si="6"/>
        <v>R7040-2B_Overview Display.xgml</v>
      </c>
      <c r="Q48" s="17"/>
      <c r="R48" s="29">
        <f t="shared" si="2"/>
        <v>882</v>
      </c>
      <c r="S48" s="29">
        <f t="shared" si="3"/>
        <v>272</v>
      </c>
    </row>
    <row r="49" spans="3:19" x14ac:dyDescent="0.25">
      <c r="C49" s="10"/>
      <c r="D49" s="14" t="s">
        <v>1752</v>
      </c>
      <c r="E49" s="4"/>
      <c r="F49" s="5">
        <v>0</v>
      </c>
      <c r="G49" s="7">
        <f t="shared" si="4"/>
        <v>0</v>
      </c>
      <c r="H49" s="6" t="str">
        <f t="shared" si="5"/>
        <v/>
      </c>
      <c r="I49" s="4"/>
      <c r="J49" s="15"/>
      <c r="K49" s="17"/>
      <c r="L49" s="17"/>
      <c r="M49" s="18"/>
      <c r="O49" s="20" t="str">
        <f t="shared" si="1"/>
        <v>FI722212</v>
      </c>
      <c r="P49" s="20" t="str">
        <f t="shared" si="6"/>
        <v>R7040-2B_Overview Display.xgml</v>
      </c>
      <c r="Q49" s="17"/>
      <c r="R49" s="29">
        <f t="shared" si="2"/>
        <v>1392</v>
      </c>
      <c r="S49" s="29">
        <f t="shared" si="3"/>
        <v>209</v>
      </c>
    </row>
    <row r="50" spans="3:19" x14ac:dyDescent="0.25">
      <c r="C50" s="10"/>
      <c r="D50" s="14" t="s">
        <v>1753</v>
      </c>
      <c r="E50" s="4"/>
      <c r="F50" s="5">
        <v>0</v>
      </c>
      <c r="G50" s="7">
        <f t="shared" si="4"/>
        <v>0</v>
      </c>
      <c r="H50" s="6" t="str">
        <f t="shared" si="5"/>
        <v/>
      </c>
      <c r="I50" s="4"/>
      <c r="J50" s="15"/>
      <c r="K50" s="17"/>
      <c r="L50" s="17"/>
      <c r="M50" s="18"/>
      <c r="O50" s="20" t="str">
        <f t="shared" si="1"/>
        <v>FI722213</v>
      </c>
      <c r="P50" s="20" t="str">
        <f t="shared" si="6"/>
        <v>R7040-2B_Overview Display.xgml</v>
      </c>
      <c r="Q50" s="17"/>
      <c r="R50" s="29">
        <f t="shared" si="2"/>
        <v>920</v>
      </c>
      <c r="S50" s="29">
        <f t="shared" si="3"/>
        <v>19</v>
      </c>
    </row>
    <row r="51" spans="3:19" x14ac:dyDescent="0.25">
      <c r="C51" s="10"/>
      <c r="D51" s="14" t="s">
        <v>1754</v>
      </c>
      <c r="E51" s="4"/>
      <c r="F51" s="5">
        <v>0</v>
      </c>
      <c r="G51" s="7">
        <f t="shared" si="4"/>
        <v>0</v>
      </c>
      <c r="H51" s="6" t="str">
        <f t="shared" si="5"/>
        <v/>
      </c>
      <c r="I51" s="4"/>
      <c r="J51" s="15"/>
      <c r="K51" s="17"/>
      <c r="L51" s="17"/>
      <c r="M51" s="18"/>
      <c r="O51" s="20" t="str">
        <f t="shared" si="1"/>
        <v>FI730001</v>
      </c>
      <c r="P51" s="20" t="str">
        <f t="shared" si="6"/>
        <v>T7300_Overview_Display.xgml</v>
      </c>
      <c r="Q51" s="17"/>
      <c r="R51" s="29">
        <f t="shared" si="2"/>
        <v>32</v>
      </c>
      <c r="S51" s="29">
        <f t="shared" si="3"/>
        <v>344</v>
      </c>
    </row>
    <row r="52" spans="3:19" x14ac:dyDescent="0.25">
      <c r="C52" s="10"/>
      <c r="D52" s="14" t="s">
        <v>1755</v>
      </c>
      <c r="E52" s="4"/>
      <c r="F52" s="5">
        <v>0</v>
      </c>
      <c r="G52" s="7">
        <f t="shared" si="4"/>
        <v>0</v>
      </c>
      <c r="H52" s="6" t="str">
        <f t="shared" si="5"/>
        <v/>
      </c>
      <c r="I52" s="4"/>
      <c r="J52" s="15"/>
      <c r="K52" s="17"/>
      <c r="L52" s="17"/>
      <c r="M52" s="18"/>
      <c r="O52" s="20" t="str">
        <f t="shared" si="1"/>
        <v>FI730016</v>
      </c>
      <c r="P52" s="20" t="str">
        <f t="shared" si="6"/>
        <v>T7300_Overview_Display.xgml</v>
      </c>
      <c r="Q52" s="17"/>
      <c r="R52" s="29">
        <f t="shared" si="2"/>
        <v>504</v>
      </c>
      <c r="S52" s="29">
        <f t="shared" si="3"/>
        <v>176</v>
      </c>
    </row>
    <row r="53" spans="3:19" x14ac:dyDescent="0.25">
      <c r="C53" s="10"/>
      <c r="D53" s="14" t="s">
        <v>1756</v>
      </c>
      <c r="E53" s="4"/>
      <c r="F53" s="5">
        <v>0</v>
      </c>
      <c r="G53" s="7">
        <f t="shared" si="4"/>
        <v>0</v>
      </c>
      <c r="H53" s="6" t="str">
        <f t="shared" si="5"/>
        <v/>
      </c>
      <c r="I53" s="4"/>
      <c r="J53" s="15"/>
      <c r="K53" s="17"/>
      <c r="L53" s="17"/>
      <c r="M53" s="18"/>
      <c r="O53" s="20" t="str">
        <f t="shared" si="1"/>
        <v>FI730018</v>
      </c>
      <c r="P53" s="20" t="str">
        <f t="shared" si="6"/>
        <v>T7300_Overview_Display.xgml</v>
      </c>
      <c r="Q53" s="17"/>
      <c r="R53" s="29">
        <f t="shared" si="2"/>
        <v>628</v>
      </c>
      <c r="S53" s="29">
        <f t="shared" si="3"/>
        <v>1320.5</v>
      </c>
    </row>
    <row r="54" spans="3:19" x14ac:dyDescent="0.25">
      <c r="C54" s="10"/>
      <c r="D54" s="14" t="s">
        <v>1757</v>
      </c>
      <c r="E54" s="4"/>
      <c r="F54" s="5">
        <v>0</v>
      </c>
      <c r="G54" s="7">
        <f t="shared" si="4"/>
        <v>0</v>
      </c>
      <c r="H54" s="6" t="str">
        <f t="shared" si="5"/>
        <v/>
      </c>
      <c r="I54" s="4"/>
      <c r="J54" s="15"/>
      <c r="K54" s="17"/>
      <c r="L54" s="17"/>
      <c r="M54" s="18"/>
      <c r="O54" s="20" t="str">
        <f t="shared" si="1"/>
        <v>FI730020</v>
      </c>
      <c r="P54" s="20" t="str">
        <f t="shared" si="6"/>
        <v>T7300_Overview_Display.xgml</v>
      </c>
      <c r="Q54" s="17"/>
      <c r="R54" s="29">
        <f t="shared" si="2"/>
        <v>966</v>
      </c>
      <c r="S54" s="29">
        <f t="shared" si="3"/>
        <v>667</v>
      </c>
    </row>
    <row r="55" spans="3:19" x14ac:dyDescent="0.25">
      <c r="C55" s="10"/>
      <c r="D55" s="14" t="s">
        <v>1758</v>
      </c>
      <c r="E55" s="4"/>
      <c r="F55" s="5">
        <v>0</v>
      </c>
      <c r="G55" s="7">
        <f t="shared" si="4"/>
        <v>0</v>
      </c>
      <c r="H55" s="6" t="str">
        <f t="shared" si="5"/>
        <v/>
      </c>
      <c r="I55" s="4"/>
      <c r="J55" s="15"/>
      <c r="K55" s="17"/>
      <c r="L55" s="17"/>
      <c r="M55" s="18"/>
      <c r="O55" s="20" t="str">
        <f t="shared" si="1"/>
        <v>FI730211</v>
      </c>
      <c r="P55" s="20" t="str">
        <f t="shared" si="6"/>
        <v>T7300_Overview_Display.xgml</v>
      </c>
      <c r="Q55" s="17"/>
      <c r="R55" s="29">
        <f t="shared" si="2"/>
        <v>1248</v>
      </c>
      <c r="S55" s="29">
        <f t="shared" si="3"/>
        <v>203</v>
      </c>
    </row>
    <row r="56" spans="3:19" x14ac:dyDescent="0.25">
      <c r="C56" s="10"/>
      <c r="D56" s="14" t="s">
        <v>1759</v>
      </c>
      <c r="E56" s="4"/>
      <c r="F56" s="5">
        <v>0</v>
      </c>
      <c r="G56" s="7">
        <f t="shared" si="4"/>
        <v>0</v>
      </c>
      <c r="H56" s="6" t="str">
        <f t="shared" si="5"/>
        <v/>
      </c>
      <c r="I56" s="4"/>
      <c r="J56" s="15"/>
      <c r="K56" s="17"/>
      <c r="L56" s="17"/>
      <c r="M56" s="18"/>
      <c r="O56" s="20" t="str">
        <f t="shared" si="1"/>
        <v>FI730215</v>
      </c>
      <c r="P56" s="20" t="str">
        <f t="shared" si="6"/>
        <v>T7300_Overview_Display.xgml</v>
      </c>
      <c r="Q56" s="17"/>
      <c r="R56" s="29">
        <f t="shared" si="2"/>
        <v>1072</v>
      </c>
      <c r="S56" s="29">
        <f t="shared" si="3"/>
        <v>23</v>
      </c>
    </row>
    <row r="57" spans="3:19" x14ac:dyDescent="0.25">
      <c r="C57" s="10"/>
      <c r="D57" s="14" t="s">
        <v>1760</v>
      </c>
      <c r="E57" s="4"/>
      <c r="F57" s="5">
        <v>0</v>
      </c>
      <c r="G57" s="7">
        <f t="shared" si="4"/>
        <v>0</v>
      </c>
      <c r="H57" s="6" t="str">
        <f t="shared" si="5"/>
        <v/>
      </c>
      <c r="I57" s="4"/>
      <c r="J57" s="15"/>
      <c r="K57" s="17"/>
      <c r="L57" s="17"/>
      <c r="M57" s="18"/>
      <c r="O57" s="20" t="str">
        <f t="shared" si="1"/>
        <v>FI730407</v>
      </c>
      <c r="P57" s="20" t="str">
        <f t="shared" si="6"/>
        <v>V7304_Overview  Display.xgml</v>
      </c>
      <c r="Q57" s="17"/>
      <c r="R57" s="29">
        <f t="shared" si="2"/>
        <v>896</v>
      </c>
      <c r="S57" s="29">
        <f t="shared" si="3"/>
        <v>328</v>
      </c>
    </row>
    <row r="58" spans="3:19" x14ac:dyDescent="0.25">
      <c r="C58" s="10"/>
      <c r="D58" s="14" t="s">
        <v>1761</v>
      </c>
      <c r="E58" s="4"/>
      <c r="F58" s="5">
        <v>0</v>
      </c>
      <c r="G58" s="7">
        <f t="shared" si="4"/>
        <v>0</v>
      </c>
      <c r="H58" s="6" t="str">
        <f t="shared" si="5"/>
        <v/>
      </c>
      <c r="I58" s="4"/>
      <c r="J58" s="15"/>
      <c r="K58" s="17"/>
      <c r="L58" s="17"/>
      <c r="M58" s="18"/>
      <c r="O58" s="20" t="str">
        <f t="shared" si="1"/>
        <v>FI730411</v>
      </c>
      <c r="P58" s="20" t="str">
        <f t="shared" si="6"/>
        <v>V7304_Overview  Display.xgml</v>
      </c>
      <c r="Q58" s="17"/>
      <c r="R58" s="29">
        <f t="shared" si="2"/>
        <v>1097</v>
      </c>
      <c r="S58" s="29">
        <f t="shared" si="3"/>
        <v>729</v>
      </c>
    </row>
    <row r="59" spans="3:19" x14ac:dyDescent="0.25">
      <c r="C59" s="10"/>
      <c r="D59" s="14" t="s">
        <v>1762</v>
      </c>
      <c r="E59" s="4"/>
      <c r="F59" s="5">
        <v>0</v>
      </c>
      <c r="G59" s="7">
        <f t="shared" si="4"/>
        <v>0</v>
      </c>
      <c r="H59" s="6" t="str">
        <f t="shared" si="5"/>
        <v/>
      </c>
      <c r="I59" s="4"/>
      <c r="J59" s="15"/>
      <c r="K59" s="17"/>
      <c r="L59" s="17"/>
      <c r="M59" s="18"/>
      <c r="O59" s="20" t="str">
        <f t="shared" si="1"/>
        <v>FI740002</v>
      </c>
      <c r="P59" s="20" t="str">
        <f t="shared" si="6"/>
        <v>T7400_Overview_Display.xgml</v>
      </c>
      <c r="Q59" s="17"/>
      <c r="R59" s="29">
        <f t="shared" si="2"/>
        <v>23</v>
      </c>
      <c r="S59" s="29">
        <f t="shared" si="3"/>
        <v>352</v>
      </c>
    </row>
    <row r="60" spans="3:19" x14ac:dyDescent="0.25">
      <c r="C60" s="10"/>
      <c r="D60" s="14" t="s">
        <v>1763</v>
      </c>
      <c r="E60" s="4"/>
      <c r="F60" s="5">
        <v>0</v>
      </c>
      <c r="G60" s="7">
        <f t="shared" si="4"/>
        <v>0</v>
      </c>
      <c r="H60" s="6" t="str">
        <f t="shared" si="5"/>
        <v/>
      </c>
      <c r="I60" s="4"/>
      <c r="J60" s="15"/>
      <c r="K60" s="17"/>
      <c r="L60" s="17"/>
      <c r="M60" s="18"/>
      <c r="O60" s="20" t="str">
        <f t="shared" si="1"/>
        <v>FI740017</v>
      </c>
      <c r="P60" s="20" t="str">
        <f t="shared" si="6"/>
        <v>T7400_Overview_Display.xgml</v>
      </c>
      <c r="Q60" s="17"/>
      <c r="R60" s="29">
        <f t="shared" si="2"/>
        <v>591</v>
      </c>
      <c r="S60" s="29">
        <f t="shared" si="3"/>
        <v>537</v>
      </c>
    </row>
    <row r="61" spans="3:19" x14ac:dyDescent="0.25">
      <c r="C61" s="10"/>
      <c r="D61" s="14" t="s">
        <v>1764</v>
      </c>
      <c r="E61" s="4"/>
      <c r="F61" s="5">
        <v>0</v>
      </c>
      <c r="G61" s="7">
        <f t="shared" si="4"/>
        <v>0</v>
      </c>
      <c r="H61" s="6" t="str">
        <f t="shared" si="5"/>
        <v/>
      </c>
      <c r="I61" s="4"/>
      <c r="J61" s="15"/>
      <c r="K61" s="17"/>
      <c r="L61" s="17"/>
      <c r="M61" s="18"/>
      <c r="O61" s="20" t="str">
        <f t="shared" si="1"/>
        <v>FI740020</v>
      </c>
      <c r="P61" s="20" t="str">
        <f t="shared" si="6"/>
        <v>T7400_Overview_Display.xgml</v>
      </c>
      <c r="Q61" s="17"/>
      <c r="R61" s="29">
        <f t="shared" si="2"/>
        <v>911</v>
      </c>
      <c r="S61" s="29">
        <f t="shared" si="3"/>
        <v>823</v>
      </c>
    </row>
    <row r="62" spans="3:19" x14ac:dyDescent="0.25">
      <c r="C62" s="10"/>
      <c r="D62" s="14" t="s">
        <v>1765</v>
      </c>
      <c r="E62" s="4"/>
      <c r="F62" s="5">
        <v>0</v>
      </c>
      <c r="G62" s="7">
        <f t="shared" si="4"/>
        <v>0</v>
      </c>
      <c r="H62" s="6" t="str">
        <f t="shared" si="5"/>
        <v/>
      </c>
      <c r="I62" s="4"/>
      <c r="J62" s="15"/>
      <c r="K62" s="17"/>
      <c r="L62" s="17"/>
      <c r="M62" s="18"/>
      <c r="O62" s="20" t="str">
        <f t="shared" si="1"/>
        <v>FI740028</v>
      </c>
      <c r="P62" s="20" t="str">
        <f t="shared" si="6"/>
        <v>T7400_Overview_Display.xgml</v>
      </c>
      <c r="Q62" s="17"/>
      <c r="R62" s="29">
        <f t="shared" si="2"/>
        <v>405</v>
      </c>
      <c r="S62" s="29">
        <f t="shared" si="3"/>
        <v>110</v>
      </c>
    </row>
    <row r="63" spans="3:19" x14ac:dyDescent="0.25">
      <c r="C63" s="10"/>
      <c r="D63" s="14" t="s">
        <v>1766</v>
      </c>
      <c r="E63" s="4"/>
      <c r="F63" s="5">
        <v>0</v>
      </c>
      <c r="G63" s="7">
        <f t="shared" si="4"/>
        <v>0</v>
      </c>
      <c r="H63" s="6" t="str">
        <f t="shared" si="5"/>
        <v/>
      </c>
      <c r="I63" s="4"/>
      <c r="J63" s="15"/>
      <c r="K63" s="17"/>
      <c r="L63" s="17"/>
      <c r="M63" s="18"/>
      <c r="O63" s="20" t="str">
        <f t="shared" si="1"/>
        <v>FI740030</v>
      </c>
      <c r="P63" s="20" t="str">
        <f t="shared" si="6"/>
        <v>T7300_Overview_Display.xgml</v>
      </c>
      <c r="Q63" s="17"/>
      <c r="R63" s="29">
        <f t="shared" si="2"/>
        <v>1211</v>
      </c>
      <c r="S63" s="29">
        <f t="shared" si="3"/>
        <v>698</v>
      </c>
    </row>
    <row r="64" spans="3:19" x14ac:dyDescent="0.25">
      <c r="C64" s="10"/>
      <c r="D64" s="14" t="s">
        <v>1767</v>
      </c>
      <c r="E64" s="4"/>
      <c r="F64" s="5">
        <v>0</v>
      </c>
      <c r="G64" s="7">
        <f t="shared" si="4"/>
        <v>0</v>
      </c>
      <c r="H64" s="6" t="str">
        <f t="shared" si="5"/>
        <v/>
      </c>
      <c r="I64" s="4"/>
      <c r="J64" s="15"/>
      <c r="K64" s="17"/>
      <c r="L64" s="17"/>
      <c r="M64" s="18"/>
      <c r="O64" s="20" t="str">
        <f t="shared" si="1"/>
        <v>FI740107</v>
      </c>
      <c r="P64" s="20" t="str">
        <f t="shared" si="6"/>
        <v>T7400_Overview_Display.xgml</v>
      </c>
      <c r="Q64" s="17"/>
      <c r="R64" s="29">
        <f t="shared" si="2"/>
        <v>944</v>
      </c>
      <c r="S64" s="29">
        <f t="shared" si="3"/>
        <v>606</v>
      </c>
    </row>
    <row r="65" spans="3:19" x14ac:dyDescent="0.25">
      <c r="C65" s="10"/>
      <c r="D65" s="14" t="s">
        <v>1768</v>
      </c>
      <c r="E65" s="4"/>
      <c r="F65" s="5">
        <v>0</v>
      </c>
      <c r="G65" s="7">
        <f t="shared" si="4"/>
        <v>0</v>
      </c>
      <c r="H65" s="6" t="str">
        <f t="shared" si="5"/>
        <v/>
      </c>
      <c r="I65" s="4"/>
      <c r="J65" s="15"/>
      <c r="K65" s="17"/>
      <c r="L65" s="17"/>
      <c r="M65" s="18"/>
      <c r="O65" s="20" t="str">
        <f t="shared" si="1"/>
        <v>FI740209</v>
      </c>
      <c r="P65" s="20" t="str">
        <f t="shared" si="6"/>
        <v>T7400_Overview_Display.xgml</v>
      </c>
      <c r="Q65" s="17"/>
      <c r="R65" s="29">
        <f t="shared" si="2"/>
        <v>664</v>
      </c>
      <c r="S65" s="29">
        <f t="shared" si="3"/>
        <v>110</v>
      </c>
    </row>
    <row r="66" spans="3:19" x14ac:dyDescent="0.25">
      <c r="C66" s="10"/>
      <c r="D66" s="14" t="s">
        <v>1769</v>
      </c>
      <c r="E66" s="4"/>
      <c r="F66" s="5">
        <v>0</v>
      </c>
      <c r="G66" s="7">
        <f t="shared" si="4"/>
        <v>0</v>
      </c>
      <c r="H66" s="6" t="str">
        <f t="shared" si="5"/>
        <v/>
      </c>
      <c r="I66" s="4"/>
      <c r="J66" s="15"/>
      <c r="K66" s="17"/>
      <c r="L66" s="17"/>
      <c r="M66" s="18"/>
      <c r="O66" s="20" t="str">
        <f t="shared" si="1"/>
        <v>FI740213</v>
      </c>
      <c r="P66" s="20" t="str">
        <f t="shared" si="6"/>
        <v>T7400_Overview_Display.xgml</v>
      </c>
      <c r="Q66" s="17"/>
      <c r="R66" s="29">
        <f t="shared" si="2"/>
        <v>1340</v>
      </c>
      <c r="S66" s="29">
        <f t="shared" si="3"/>
        <v>238</v>
      </c>
    </row>
    <row r="67" spans="3:19" x14ac:dyDescent="0.25">
      <c r="C67" s="10"/>
      <c r="D67" s="14" t="s">
        <v>1770</v>
      </c>
      <c r="E67" s="4"/>
      <c r="F67" s="5">
        <v>0</v>
      </c>
      <c r="G67" s="7">
        <f t="shared" si="4"/>
        <v>0</v>
      </c>
      <c r="H67" s="6" t="str">
        <f t="shared" si="5"/>
        <v/>
      </c>
      <c r="I67" s="4"/>
      <c r="J67" s="15"/>
      <c r="K67" s="17"/>
      <c r="L67" s="17"/>
      <c r="M67" s="18"/>
      <c r="O67" s="20" t="str">
        <f t="shared" si="1"/>
        <v>FI740216</v>
      </c>
      <c r="P67" s="20" t="str">
        <f t="shared" si="6"/>
        <v>T7400_Overview_Display.xgml</v>
      </c>
      <c r="Q67" s="17"/>
      <c r="R67" s="29">
        <f t="shared" si="2"/>
        <v>1248</v>
      </c>
      <c r="S67" s="29">
        <f t="shared" si="3"/>
        <v>80</v>
      </c>
    </row>
    <row r="68" spans="3:19" x14ac:dyDescent="0.25">
      <c r="C68" s="10"/>
      <c r="D68" s="14" t="s">
        <v>1771</v>
      </c>
      <c r="E68" s="4"/>
      <c r="F68" s="5">
        <v>0</v>
      </c>
      <c r="G68" s="7">
        <f t="shared" si="4"/>
        <v>0</v>
      </c>
      <c r="H68" s="6" t="str">
        <f t="shared" si="5"/>
        <v/>
      </c>
      <c r="I68" s="4"/>
      <c r="J68" s="15"/>
      <c r="K68" s="17"/>
      <c r="L68" s="17"/>
      <c r="M68" s="18"/>
      <c r="O68" s="20" t="str">
        <f t="shared" si="1"/>
        <v>FI742007</v>
      </c>
      <c r="P68" s="20" t="str">
        <f t="shared" si="6"/>
        <v>V7410_Overview  Display.xgml</v>
      </c>
      <c r="Q68" s="17"/>
      <c r="R68" s="29">
        <f t="shared" si="2"/>
        <v>808</v>
      </c>
      <c r="S68" s="29">
        <f t="shared" si="3"/>
        <v>296</v>
      </c>
    </row>
    <row r="69" spans="3:19" x14ac:dyDescent="0.25">
      <c r="C69" s="10"/>
      <c r="D69" s="14" t="s">
        <v>1772</v>
      </c>
      <c r="E69" s="4"/>
      <c r="F69" s="5">
        <v>0</v>
      </c>
      <c r="G69" s="7">
        <f t="shared" si="4"/>
        <v>0</v>
      </c>
      <c r="H69" s="6" t="str">
        <f t="shared" si="5"/>
        <v/>
      </c>
      <c r="I69" s="4"/>
      <c r="J69" s="15"/>
      <c r="K69" s="17"/>
      <c r="L69" s="17"/>
      <c r="M69" s="18"/>
      <c r="O69" s="20" t="str">
        <f t="shared" si="1"/>
        <v>FI742013</v>
      </c>
      <c r="P69" s="20" t="str">
        <f t="shared" si="6"/>
        <v>V7410_Overview  Display.xgml</v>
      </c>
      <c r="Q69" s="17"/>
      <c r="R69" s="29">
        <f t="shared" si="2"/>
        <v>1082</v>
      </c>
      <c r="S69" s="29">
        <f t="shared" si="3"/>
        <v>731</v>
      </c>
    </row>
    <row r="70" spans="3:19" x14ac:dyDescent="0.25">
      <c r="C70" s="10"/>
      <c r="D70" s="14" t="s">
        <v>1773</v>
      </c>
      <c r="E70" s="4"/>
      <c r="F70" s="5">
        <v>0</v>
      </c>
      <c r="G70" s="7">
        <f t="shared" si="4"/>
        <v>0</v>
      </c>
      <c r="H70" s="6" t="str">
        <f t="shared" si="5"/>
        <v/>
      </c>
      <c r="I70" s="4"/>
      <c r="J70" s="15"/>
      <c r="K70" s="17"/>
      <c r="L70" s="17"/>
      <c r="M70" s="18"/>
      <c r="O70" s="20" t="str">
        <f t="shared" si="1"/>
        <v>FI750002</v>
      </c>
      <c r="P70" s="20" t="str">
        <f t="shared" si="6"/>
        <v>T7500_Overview_Display.xgml</v>
      </c>
      <c r="Q70" s="17"/>
      <c r="R70" s="29">
        <f t="shared" si="2"/>
        <v>24</v>
      </c>
      <c r="S70" s="29">
        <f t="shared" si="3"/>
        <v>264</v>
      </c>
    </row>
    <row r="71" spans="3:19" x14ac:dyDescent="0.25">
      <c r="C71" s="10"/>
      <c r="D71" s="14" t="s">
        <v>1774</v>
      </c>
      <c r="E71" s="4"/>
      <c r="F71" s="5">
        <v>0</v>
      </c>
      <c r="G71" s="7">
        <f t="shared" si="4"/>
        <v>0</v>
      </c>
      <c r="H71" s="6" t="str">
        <f t="shared" si="5"/>
        <v/>
      </c>
      <c r="I71" s="4"/>
      <c r="J71" s="15"/>
      <c r="K71" s="17"/>
      <c r="L71" s="17"/>
      <c r="M71" s="18"/>
      <c r="O71" s="20" t="str">
        <f t="shared" si="1"/>
        <v>FI750017</v>
      </c>
      <c r="P71" s="20" t="str">
        <f t="shared" si="6"/>
        <v>T7500_Overview_Display.xgml</v>
      </c>
      <c r="Q71" s="17"/>
      <c r="R71" s="29">
        <f t="shared" si="2"/>
        <v>645</v>
      </c>
      <c r="S71" s="29">
        <f t="shared" si="3"/>
        <v>539</v>
      </c>
    </row>
    <row r="72" spans="3:19" x14ac:dyDescent="0.25">
      <c r="C72" s="10"/>
      <c r="D72" s="14" t="s">
        <v>1775</v>
      </c>
      <c r="E72" s="4"/>
      <c r="F72" s="5">
        <v>0</v>
      </c>
      <c r="G72" s="7">
        <f t="shared" si="4"/>
        <v>0</v>
      </c>
      <c r="H72" s="6" t="str">
        <f t="shared" si="5"/>
        <v/>
      </c>
      <c r="I72" s="4"/>
      <c r="J72" s="15"/>
      <c r="K72" s="17"/>
      <c r="L72" s="17"/>
      <c r="M72" s="18"/>
      <c r="O72" s="20" t="str">
        <f t="shared" ref="O72:O135" si="7">+LEFT(D72,FIND("IO",D72,1)-1)</f>
        <v>FI750020</v>
      </c>
      <c r="P72" s="20" t="str">
        <f t="shared" si="6"/>
        <v>T7500_Overview_Display.xgml</v>
      </c>
      <c r="Q72" s="17"/>
      <c r="R72" s="29">
        <f t="shared" ref="R72:R135" si="8">+IF(P72="Not Found",P72,VALUE(FINDProp($P$2,$P72,$O72,"XPos")))</f>
        <v>911</v>
      </c>
      <c r="S72" s="29">
        <f t="shared" ref="S72:S135" si="9">+IF(P72="Not Found",P72,VALUE(FINDProp($P$2,$P72,$O72,"YPos")))</f>
        <v>823</v>
      </c>
    </row>
    <row r="73" spans="3:19" x14ac:dyDescent="0.25">
      <c r="C73" s="10"/>
      <c r="D73" s="14" t="s">
        <v>1776</v>
      </c>
      <c r="E73" s="4"/>
      <c r="F73" s="5">
        <v>0</v>
      </c>
      <c r="G73" s="7">
        <f t="shared" si="4"/>
        <v>0</v>
      </c>
      <c r="H73" s="6" t="str">
        <f t="shared" si="5"/>
        <v/>
      </c>
      <c r="I73" s="4"/>
      <c r="J73" s="15"/>
      <c r="K73" s="17"/>
      <c r="L73" s="17"/>
      <c r="M73" s="18"/>
      <c r="O73" s="20" t="str">
        <f t="shared" si="7"/>
        <v>FI750028</v>
      </c>
      <c r="P73" s="20" t="str">
        <f t="shared" si="6"/>
        <v>T7500_Overview_Display.xgml</v>
      </c>
      <c r="Q73" s="17"/>
      <c r="R73" s="29">
        <f t="shared" si="8"/>
        <v>405</v>
      </c>
      <c r="S73" s="29">
        <f t="shared" si="9"/>
        <v>110</v>
      </c>
    </row>
    <row r="74" spans="3:19" x14ac:dyDescent="0.25">
      <c r="C74" s="10"/>
      <c r="D74" s="14" t="s">
        <v>1777</v>
      </c>
      <c r="E74" s="4"/>
      <c r="F74" s="5">
        <v>0</v>
      </c>
      <c r="G74" s="7">
        <f t="shared" ref="G74:G137" si="10">(E74-F74)</f>
        <v>0</v>
      </c>
      <c r="H74" s="6" t="str">
        <f t="shared" ref="H74:H137" si="11">IF(F74&lt;&gt;0,(E74-F74)/F74,"")</f>
        <v/>
      </c>
      <c r="I74" s="4"/>
      <c r="J74" s="15"/>
      <c r="K74" s="17"/>
      <c r="L74" s="17"/>
      <c r="M74" s="18"/>
      <c r="O74" s="20" t="str">
        <f t="shared" si="7"/>
        <v>FI750107</v>
      </c>
      <c r="P74" s="20" t="str">
        <f t="shared" si="6"/>
        <v>T7500_Overview_Display.xgml</v>
      </c>
      <c r="Q74" s="17"/>
      <c r="R74" s="29">
        <f t="shared" si="8"/>
        <v>936</v>
      </c>
      <c r="S74" s="29">
        <f t="shared" si="9"/>
        <v>590</v>
      </c>
    </row>
    <row r="75" spans="3:19" x14ac:dyDescent="0.25">
      <c r="C75" s="10"/>
      <c r="D75" s="14" t="s">
        <v>1778</v>
      </c>
      <c r="E75" s="4"/>
      <c r="F75" s="5">
        <v>0</v>
      </c>
      <c r="G75" s="7">
        <f t="shared" si="10"/>
        <v>0</v>
      </c>
      <c r="H75" s="6" t="str">
        <f t="shared" si="11"/>
        <v/>
      </c>
      <c r="I75" s="4"/>
      <c r="J75" s="15"/>
      <c r="K75" s="17"/>
      <c r="L75" s="17"/>
      <c r="M75" s="18"/>
      <c r="O75" s="20" t="str">
        <f t="shared" si="7"/>
        <v>FI750209</v>
      </c>
      <c r="P75" s="20" t="str">
        <f t="shared" si="6"/>
        <v>T7500_Overview_Display.xgml</v>
      </c>
      <c r="Q75" s="17"/>
      <c r="R75" s="29">
        <f t="shared" si="8"/>
        <v>664</v>
      </c>
      <c r="S75" s="29">
        <f t="shared" si="9"/>
        <v>110</v>
      </c>
    </row>
    <row r="76" spans="3:19" x14ac:dyDescent="0.25">
      <c r="C76" s="10"/>
      <c r="D76" s="14" t="s">
        <v>1779</v>
      </c>
      <c r="E76" s="4"/>
      <c r="F76" s="5">
        <v>0</v>
      </c>
      <c r="G76" s="7">
        <f t="shared" si="10"/>
        <v>0</v>
      </c>
      <c r="H76" s="6" t="str">
        <f t="shared" si="11"/>
        <v/>
      </c>
      <c r="I76" s="4"/>
      <c r="J76" s="15"/>
      <c r="K76" s="17"/>
      <c r="L76" s="17"/>
      <c r="M76" s="18"/>
      <c r="O76" s="20" t="str">
        <f t="shared" si="7"/>
        <v>FI750213</v>
      </c>
      <c r="P76" s="20" t="str">
        <f t="shared" si="6"/>
        <v>T7500_Overview_Display.xgml</v>
      </c>
      <c r="Q76" s="17"/>
      <c r="R76" s="29">
        <f t="shared" si="8"/>
        <v>1340</v>
      </c>
      <c r="S76" s="29">
        <f t="shared" si="9"/>
        <v>246</v>
      </c>
    </row>
    <row r="77" spans="3:19" x14ac:dyDescent="0.25">
      <c r="C77" s="10"/>
      <c r="D77" s="14" t="s">
        <v>1780</v>
      </c>
      <c r="E77" s="4"/>
      <c r="F77" s="5">
        <v>0</v>
      </c>
      <c r="G77" s="7">
        <f t="shared" si="10"/>
        <v>0</v>
      </c>
      <c r="H77" s="6" t="str">
        <f t="shared" si="11"/>
        <v/>
      </c>
      <c r="I77" s="4"/>
      <c r="J77" s="15"/>
      <c r="K77" s="17"/>
      <c r="L77" s="17"/>
      <c r="M77" s="18"/>
      <c r="O77" s="20" t="str">
        <f t="shared" si="7"/>
        <v>FI750216</v>
      </c>
      <c r="P77" s="20" t="str">
        <f t="shared" si="6"/>
        <v>T7500_Overview_Display.xgml</v>
      </c>
      <c r="Q77" s="17"/>
      <c r="R77" s="29">
        <f t="shared" si="8"/>
        <v>1252</v>
      </c>
      <c r="S77" s="29">
        <f t="shared" si="9"/>
        <v>73</v>
      </c>
    </row>
    <row r="78" spans="3:19" x14ac:dyDescent="0.25">
      <c r="C78" s="10"/>
      <c r="D78" s="14" t="s">
        <v>1781</v>
      </c>
      <c r="E78" s="4"/>
      <c r="F78" s="5">
        <v>0</v>
      </c>
      <c r="G78" s="7">
        <f t="shared" si="10"/>
        <v>0</v>
      </c>
      <c r="H78" s="6" t="str">
        <f t="shared" si="11"/>
        <v/>
      </c>
      <c r="I78" s="4"/>
      <c r="J78" s="15"/>
      <c r="K78" s="17"/>
      <c r="L78" s="17"/>
      <c r="M78" s="18"/>
      <c r="O78" s="20" t="str">
        <f t="shared" si="7"/>
        <v>FI752007</v>
      </c>
      <c r="P78" s="20" t="str">
        <f t="shared" si="6"/>
        <v>V7510_Overview  Display.xgml</v>
      </c>
      <c r="Q78" s="17"/>
      <c r="R78" s="29">
        <f t="shared" si="8"/>
        <v>816</v>
      </c>
      <c r="S78" s="29">
        <f t="shared" si="9"/>
        <v>311</v>
      </c>
    </row>
    <row r="79" spans="3:19" x14ac:dyDescent="0.25">
      <c r="C79" s="10"/>
      <c r="D79" s="14" t="s">
        <v>1782</v>
      </c>
      <c r="E79" s="4"/>
      <c r="F79" s="5">
        <v>0</v>
      </c>
      <c r="G79" s="7">
        <f t="shared" si="10"/>
        <v>0</v>
      </c>
      <c r="H79" s="6" t="str">
        <f t="shared" si="11"/>
        <v/>
      </c>
      <c r="I79" s="4"/>
      <c r="J79" s="15"/>
      <c r="K79" s="17"/>
      <c r="L79" s="17"/>
      <c r="M79" s="18"/>
      <c r="O79" s="20" t="str">
        <f t="shared" si="7"/>
        <v>FI752013</v>
      </c>
      <c r="P79" s="20" t="str">
        <f t="shared" si="6"/>
        <v>V7510_Overview  Display.xgml</v>
      </c>
      <c r="Q79" s="17"/>
      <c r="R79" s="29">
        <f t="shared" si="8"/>
        <v>1096</v>
      </c>
      <c r="S79" s="29">
        <f t="shared" si="9"/>
        <v>615</v>
      </c>
    </row>
    <row r="80" spans="3:19" x14ac:dyDescent="0.25">
      <c r="C80" s="10"/>
      <c r="D80" s="14" t="s">
        <v>1783</v>
      </c>
      <c r="E80" s="4"/>
      <c r="F80" s="5">
        <v>0</v>
      </c>
      <c r="G80" s="7">
        <f t="shared" si="10"/>
        <v>0</v>
      </c>
      <c r="H80" s="6" t="str">
        <f t="shared" si="11"/>
        <v/>
      </c>
      <c r="I80" s="4"/>
      <c r="J80" s="15"/>
      <c r="K80" s="17"/>
      <c r="L80" s="17"/>
      <c r="M80" s="18"/>
      <c r="O80" s="20" t="str">
        <f t="shared" si="7"/>
        <v>FI760002</v>
      </c>
      <c r="P80" s="20" t="str">
        <f t="shared" si="6"/>
        <v>T7600_Overview_Display.xgml</v>
      </c>
      <c r="Q80" s="17"/>
      <c r="R80" s="29">
        <f t="shared" si="8"/>
        <v>24</v>
      </c>
      <c r="S80" s="29">
        <f t="shared" si="9"/>
        <v>256</v>
      </c>
    </row>
    <row r="81" spans="3:19" x14ac:dyDescent="0.25">
      <c r="C81" s="10"/>
      <c r="D81" s="14" t="s">
        <v>1784</v>
      </c>
      <c r="E81" s="4"/>
      <c r="F81" s="5">
        <v>0</v>
      </c>
      <c r="G81" s="7">
        <f t="shared" si="10"/>
        <v>0</v>
      </c>
      <c r="H81" s="6" t="str">
        <f t="shared" si="11"/>
        <v/>
      </c>
      <c r="I81" s="4"/>
      <c r="J81" s="15"/>
      <c r="K81" s="17"/>
      <c r="L81" s="17"/>
      <c r="M81" s="18"/>
      <c r="O81" s="20" t="str">
        <f t="shared" si="7"/>
        <v>FI760017</v>
      </c>
      <c r="P81" s="20" t="str">
        <f t="shared" si="6"/>
        <v>T7600_Overview_Display.xgml</v>
      </c>
      <c r="Q81" s="17"/>
      <c r="R81" s="29">
        <f t="shared" si="8"/>
        <v>661</v>
      </c>
      <c r="S81" s="29">
        <f t="shared" si="9"/>
        <v>539</v>
      </c>
    </row>
    <row r="82" spans="3:19" x14ac:dyDescent="0.25">
      <c r="C82" s="10"/>
      <c r="D82" s="14" t="s">
        <v>1785</v>
      </c>
      <c r="E82" s="4"/>
      <c r="F82" s="5">
        <v>0</v>
      </c>
      <c r="G82" s="7">
        <f t="shared" si="10"/>
        <v>0</v>
      </c>
      <c r="H82" s="6" t="str">
        <f t="shared" si="11"/>
        <v/>
      </c>
      <c r="I82" s="4"/>
      <c r="J82" s="15"/>
      <c r="K82" s="17"/>
      <c r="L82" s="17"/>
      <c r="M82" s="18"/>
      <c r="O82" s="20" t="str">
        <f t="shared" si="7"/>
        <v>FI760020</v>
      </c>
      <c r="P82" s="20" t="str">
        <f t="shared" si="6"/>
        <v>T7600_Overview_Display.xgml</v>
      </c>
      <c r="Q82" s="17"/>
      <c r="R82" s="29">
        <f t="shared" si="8"/>
        <v>911</v>
      </c>
      <c r="S82" s="29">
        <f t="shared" si="9"/>
        <v>823</v>
      </c>
    </row>
    <row r="83" spans="3:19" x14ac:dyDescent="0.25">
      <c r="C83" s="10"/>
      <c r="D83" s="14" t="s">
        <v>1786</v>
      </c>
      <c r="E83" s="4"/>
      <c r="F83" s="5">
        <v>0</v>
      </c>
      <c r="G83" s="7">
        <f t="shared" si="10"/>
        <v>0</v>
      </c>
      <c r="H83" s="6" t="str">
        <f t="shared" si="11"/>
        <v/>
      </c>
      <c r="I83" s="4"/>
      <c r="J83" s="15"/>
      <c r="K83" s="17"/>
      <c r="L83" s="17"/>
      <c r="M83" s="18"/>
      <c r="O83" s="20" t="str">
        <f t="shared" si="7"/>
        <v>FI760028</v>
      </c>
      <c r="P83" s="20" t="str">
        <f t="shared" si="6"/>
        <v>T7600_Overview_Display.xgml</v>
      </c>
      <c r="Q83" s="17"/>
      <c r="R83" s="29">
        <f t="shared" si="8"/>
        <v>405</v>
      </c>
      <c r="S83" s="29">
        <f t="shared" si="9"/>
        <v>110</v>
      </c>
    </row>
    <row r="84" spans="3:19" x14ac:dyDescent="0.25">
      <c r="C84" s="10"/>
      <c r="D84" s="14" t="s">
        <v>1787</v>
      </c>
      <c r="E84" s="4"/>
      <c r="F84" s="5">
        <v>0</v>
      </c>
      <c r="G84" s="7">
        <f t="shared" si="10"/>
        <v>0</v>
      </c>
      <c r="H84" s="6" t="str">
        <f t="shared" si="11"/>
        <v/>
      </c>
      <c r="I84" s="4"/>
      <c r="J84" s="15"/>
      <c r="K84" s="17"/>
      <c r="L84" s="17"/>
      <c r="M84" s="18"/>
      <c r="O84" s="20" t="str">
        <f t="shared" si="7"/>
        <v>FI760107</v>
      </c>
      <c r="P84" s="20" t="str">
        <f t="shared" si="6"/>
        <v>T7600_Overview_Display.xgml</v>
      </c>
      <c r="Q84" s="17"/>
      <c r="R84" s="29">
        <f t="shared" si="8"/>
        <v>944</v>
      </c>
      <c r="S84" s="29">
        <f t="shared" si="9"/>
        <v>590</v>
      </c>
    </row>
    <row r="85" spans="3:19" x14ac:dyDescent="0.25">
      <c r="C85" s="10"/>
      <c r="D85" s="14" t="s">
        <v>1788</v>
      </c>
      <c r="E85" s="4"/>
      <c r="F85" s="5">
        <v>0</v>
      </c>
      <c r="G85" s="7">
        <f t="shared" si="10"/>
        <v>0</v>
      </c>
      <c r="H85" s="6" t="str">
        <f t="shared" si="11"/>
        <v/>
      </c>
      <c r="I85" s="4"/>
      <c r="J85" s="15"/>
      <c r="K85" s="17"/>
      <c r="L85" s="17"/>
      <c r="M85" s="18"/>
      <c r="O85" s="20" t="str">
        <f t="shared" si="7"/>
        <v>FI760209</v>
      </c>
      <c r="P85" s="20" t="str">
        <f t="shared" si="6"/>
        <v>T7600_Overview_Display.xgml</v>
      </c>
      <c r="Q85" s="17"/>
      <c r="R85" s="29">
        <f t="shared" si="8"/>
        <v>664</v>
      </c>
      <c r="S85" s="29">
        <f t="shared" si="9"/>
        <v>110</v>
      </c>
    </row>
    <row r="86" spans="3:19" x14ac:dyDescent="0.25">
      <c r="C86" s="10"/>
      <c r="D86" s="14" t="s">
        <v>1789</v>
      </c>
      <c r="E86" s="4"/>
      <c r="F86" s="5">
        <v>0</v>
      </c>
      <c r="G86" s="7">
        <f t="shared" si="10"/>
        <v>0</v>
      </c>
      <c r="H86" s="6" t="str">
        <f t="shared" si="11"/>
        <v/>
      </c>
      <c r="I86" s="4"/>
      <c r="J86" s="15"/>
      <c r="K86" s="17"/>
      <c r="L86" s="17"/>
      <c r="M86" s="18"/>
      <c r="O86" s="20" t="str">
        <f t="shared" si="7"/>
        <v>FI760213</v>
      </c>
      <c r="P86" s="20" t="str">
        <f t="shared" si="6"/>
        <v>T7600_Overview_Display.xgml</v>
      </c>
      <c r="Q86" s="17"/>
      <c r="R86" s="29">
        <f t="shared" si="8"/>
        <v>1332</v>
      </c>
      <c r="S86" s="29">
        <f t="shared" si="9"/>
        <v>262</v>
      </c>
    </row>
    <row r="87" spans="3:19" x14ac:dyDescent="0.25">
      <c r="C87" s="10"/>
      <c r="D87" s="14" t="s">
        <v>1790</v>
      </c>
      <c r="E87" s="4"/>
      <c r="F87" s="5">
        <v>0</v>
      </c>
      <c r="G87" s="7">
        <f t="shared" si="10"/>
        <v>0</v>
      </c>
      <c r="H87" s="6" t="str">
        <f t="shared" si="11"/>
        <v/>
      </c>
      <c r="I87" s="4"/>
      <c r="J87" s="15"/>
      <c r="K87" s="17"/>
      <c r="L87" s="17"/>
      <c r="M87" s="18"/>
      <c r="O87" s="20" t="str">
        <f t="shared" si="7"/>
        <v>FI760216</v>
      </c>
      <c r="P87" s="20" t="str">
        <f t="shared" si="6"/>
        <v>T7600_Overview_Display.xgml</v>
      </c>
      <c r="Q87" s="17"/>
      <c r="R87" s="29">
        <f t="shared" si="8"/>
        <v>1292</v>
      </c>
      <c r="S87" s="29">
        <f t="shared" si="9"/>
        <v>81</v>
      </c>
    </row>
    <row r="88" spans="3:19" x14ac:dyDescent="0.25">
      <c r="C88" s="10"/>
      <c r="D88" s="14" t="s">
        <v>1791</v>
      </c>
      <c r="E88" s="4"/>
      <c r="F88" s="5">
        <v>0</v>
      </c>
      <c r="G88" s="7">
        <f t="shared" si="10"/>
        <v>0</v>
      </c>
      <c r="H88" s="6" t="str">
        <f t="shared" si="11"/>
        <v/>
      </c>
      <c r="I88" s="4"/>
      <c r="J88" s="15"/>
      <c r="K88" s="17"/>
      <c r="L88" s="17"/>
      <c r="M88" s="18"/>
      <c r="O88" s="20" t="str">
        <f t="shared" si="7"/>
        <v>FI762007</v>
      </c>
      <c r="P88" s="20" t="str">
        <f t="shared" si="6"/>
        <v>V7610_Overview  Display.xgml</v>
      </c>
      <c r="Q88" s="17"/>
      <c r="R88" s="29">
        <f t="shared" si="8"/>
        <v>808</v>
      </c>
      <c r="S88" s="29">
        <f t="shared" si="9"/>
        <v>304</v>
      </c>
    </row>
    <row r="89" spans="3:19" x14ac:dyDescent="0.25">
      <c r="C89" s="10"/>
      <c r="D89" s="14" t="s">
        <v>1792</v>
      </c>
      <c r="E89" s="4"/>
      <c r="F89" s="5">
        <v>0</v>
      </c>
      <c r="G89" s="7">
        <f t="shared" si="10"/>
        <v>0</v>
      </c>
      <c r="H89" s="6" t="str">
        <f t="shared" si="11"/>
        <v/>
      </c>
      <c r="I89" s="4"/>
      <c r="J89" s="15"/>
      <c r="K89" s="17"/>
      <c r="L89" s="17"/>
      <c r="M89" s="18"/>
      <c r="O89" s="20" t="str">
        <f t="shared" si="7"/>
        <v>FI762013</v>
      </c>
      <c r="P89" s="20" t="str">
        <f t="shared" si="6"/>
        <v>V7610_Overview  Display.xgml</v>
      </c>
      <c r="Q89" s="17"/>
      <c r="R89" s="29">
        <f t="shared" si="8"/>
        <v>1352</v>
      </c>
      <c r="S89" s="29">
        <f t="shared" si="9"/>
        <v>615</v>
      </c>
    </row>
    <row r="90" spans="3:19" x14ac:dyDescent="0.25">
      <c r="C90" s="10"/>
      <c r="D90" s="14" t="s">
        <v>1793</v>
      </c>
      <c r="E90" s="4"/>
      <c r="F90" s="5">
        <v>0</v>
      </c>
      <c r="G90" s="7">
        <f t="shared" si="10"/>
        <v>0</v>
      </c>
      <c r="H90" s="6" t="str">
        <f t="shared" si="11"/>
        <v/>
      </c>
      <c r="I90" s="4"/>
      <c r="J90" s="15"/>
      <c r="K90" s="17"/>
      <c r="L90" s="17"/>
      <c r="M90" s="18"/>
      <c r="O90" s="20" t="str">
        <f t="shared" si="7"/>
        <v>FI763007</v>
      </c>
      <c r="P90" s="20" t="str">
        <f t="shared" si="6"/>
        <v>V7630_Overview  Display.xgml</v>
      </c>
      <c r="Q90" s="17"/>
      <c r="R90" s="29">
        <f t="shared" si="8"/>
        <v>880</v>
      </c>
      <c r="S90" s="29">
        <f t="shared" si="9"/>
        <v>496</v>
      </c>
    </row>
    <row r="91" spans="3:19" x14ac:dyDescent="0.25">
      <c r="C91" s="10"/>
      <c r="D91" s="14" t="s">
        <v>1794</v>
      </c>
      <c r="E91" s="4"/>
      <c r="F91" s="5">
        <v>0</v>
      </c>
      <c r="G91" s="7">
        <f t="shared" si="10"/>
        <v>0</v>
      </c>
      <c r="H91" s="6" t="str">
        <f t="shared" si="11"/>
        <v/>
      </c>
      <c r="I91" s="4"/>
      <c r="J91" s="15"/>
      <c r="K91" s="17"/>
      <c r="L91" s="17"/>
      <c r="M91" s="18"/>
      <c r="O91" s="20" t="str">
        <f t="shared" si="7"/>
        <v>FI763032</v>
      </c>
      <c r="P91" s="20" t="str">
        <f t="shared" si="6"/>
        <v>V7630_Overview  Display.xgml</v>
      </c>
      <c r="Q91" s="17"/>
      <c r="R91" s="29">
        <f t="shared" si="8"/>
        <v>1104</v>
      </c>
      <c r="S91" s="29">
        <f t="shared" si="9"/>
        <v>496</v>
      </c>
    </row>
    <row r="92" spans="3:19" x14ac:dyDescent="0.25">
      <c r="C92" s="10"/>
      <c r="D92" s="14" t="s">
        <v>1795</v>
      </c>
      <c r="E92" s="4"/>
      <c r="F92" s="5">
        <v>0</v>
      </c>
      <c r="G92" s="7">
        <f t="shared" si="10"/>
        <v>0</v>
      </c>
      <c r="H92" s="6" t="str">
        <f t="shared" si="11"/>
        <v/>
      </c>
      <c r="I92" s="4"/>
      <c r="J92" s="15"/>
      <c r="K92" s="17"/>
      <c r="L92" s="17"/>
      <c r="M92" s="18"/>
      <c r="O92" s="20" t="str">
        <f t="shared" si="7"/>
        <v>FI764007</v>
      </c>
      <c r="P92" s="20" t="str">
        <f t="shared" si="6"/>
        <v>V7640_Overview Display.xgml</v>
      </c>
      <c r="Q92" s="17"/>
      <c r="R92" s="29">
        <f t="shared" si="8"/>
        <v>1012</v>
      </c>
      <c r="S92" s="29">
        <f t="shared" si="9"/>
        <v>439</v>
      </c>
    </row>
    <row r="93" spans="3:19" x14ac:dyDescent="0.25">
      <c r="C93" s="10"/>
      <c r="D93" s="14" t="s">
        <v>1796</v>
      </c>
      <c r="E93" s="4"/>
      <c r="F93" s="5">
        <v>0</v>
      </c>
      <c r="G93" s="7">
        <f t="shared" si="10"/>
        <v>0</v>
      </c>
      <c r="H93" s="6" t="str">
        <f t="shared" si="11"/>
        <v/>
      </c>
      <c r="I93" s="4"/>
      <c r="J93" s="15"/>
      <c r="K93" s="17"/>
      <c r="L93" s="17"/>
      <c r="M93" s="18"/>
      <c r="O93" s="20" t="str">
        <f t="shared" si="7"/>
        <v>FI764013</v>
      </c>
      <c r="P93" s="20" t="str">
        <f t="shared" ref="P93:P156" si="12">+FindinFile($P$2,$O93,"Name")</f>
        <v>T7600_Overview_Display.xgml</v>
      </c>
      <c r="Q93" s="17"/>
      <c r="R93" s="29">
        <f t="shared" si="8"/>
        <v>1208</v>
      </c>
      <c r="S93" s="29">
        <f t="shared" si="9"/>
        <v>822</v>
      </c>
    </row>
    <row r="94" spans="3:19" x14ac:dyDescent="0.25">
      <c r="C94" s="10"/>
      <c r="D94" s="14" t="s">
        <v>1797</v>
      </c>
      <c r="E94" s="4"/>
      <c r="F94" s="5">
        <v>0</v>
      </c>
      <c r="G94" s="7">
        <f t="shared" si="10"/>
        <v>0</v>
      </c>
      <c r="H94" s="6" t="str">
        <f t="shared" si="11"/>
        <v/>
      </c>
      <c r="I94" s="4"/>
      <c r="J94" s="15"/>
      <c r="K94" s="17"/>
      <c r="L94" s="17"/>
      <c r="M94" s="18"/>
      <c r="O94" s="20" t="str">
        <f t="shared" si="7"/>
        <v>FI764033</v>
      </c>
      <c r="P94" s="20" t="str">
        <f t="shared" si="12"/>
        <v>V7640_Overview Display.xgml</v>
      </c>
      <c r="Q94" s="17"/>
      <c r="R94" s="29">
        <f t="shared" si="8"/>
        <v>1224</v>
      </c>
      <c r="S94" s="29">
        <f t="shared" si="9"/>
        <v>477</v>
      </c>
    </row>
    <row r="95" spans="3:19" x14ac:dyDescent="0.25">
      <c r="C95" s="10"/>
      <c r="D95" s="14" t="s">
        <v>1798</v>
      </c>
      <c r="E95" s="4"/>
      <c r="F95" s="5">
        <v>0</v>
      </c>
      <c r="G95" s="7">
        <f t="shared" si="10"/>
        <v>0</v>
      </c>
      <c r="H95" s="6" t="str">
        <f t="shared" si="11"/>
        <v/>
      </c>
      <c r="I95" s="4"/>
      <c r="J95" s="15"/>
      <c r="K95" s="17"/>
      <c r="L95" s="17"/>
      <c r="M95" s="18"/>
      <c r="O95" s="20" t="str">
        <f t="shared" si="7"/>
        <v>FI770001</v>
      </c>
      <c r="P95" s="20" t="str">
        <f t="shared" si="12"/>
        <v>PU7700_Overview  Display.xgml</v>
      </c>
      <c r="Q95" s="17"/>
      <c r="R95" s="29">
        <f t="shared" si="8"/>
        <v>384</v>
      </c>
      <c r="S95" s="29">
        <f t="shared" si="9"/>
        <v>88</v>
      </c>
    </row>
    <row r="96" spans="3:19" x14ac:dyDescent="0.25">
      <c r="C96" s="10"/>
      <c r="D96" s="14" t="s">
        <v>1799</v>
      </c>
      <c r="E96" s="4"/>
      <c r="F96" s="5">
        <v>0</v>
      </c>
      <c r="G96" s="7">
        <f t="shared" si="10"/>
        <v>0</v>
      </c>
      <c r="H96" s="6" t="str">
        <f t="shared" si="11"/>
        <v/>
      </c>
      <c r="I96" s="4"/>
      <c r="J96" s="15"/>
      <c r="K96" s="17"/>
      <c r="L96" s="17"/>
      <c r="M96" s="18"/>
      <c r="O96" s="20" t="str">
        <f t="shared" si="7"/>
        <v>FI790012</v>
      </c>
      <c r="P96" s="20" t="str">
        <f t="shared" si="12"/>
        <v>D7900_Overview  Display.xgml</v>
      </c>
      <c r="Q96" s="17"/>
      <c r="R96" s="29">
        <f t="shared" si="8"/>
        <v>989</v>
      </c>
      <c r="S96" s="29">
        <f t="shared" si="9"/>
        <v>315</v>
      </c>
    </row>
    <row r="97" spans="3:19" x14ac:dyDescent="0.25">
      <c r="C97" s="10"/>
      <c r="D97" s="14" t="s">
        <v>1800</v>
      </c>
      <c r="E97" s="4"/>
      <c r="F97" s="5">
        <v>0</v>
      </c>
      <c r="G97" s="7">
        <f t="shared" si="10"/>
        <v>0</v>
      </c>
      <c r="H97" s="6" t="str">
        <f t="shared" si="11"/>
        <v/>
      </c>
      <c r="I97" s="4"/>
      <c r="J97" s="15"/>
      <c r="K97" s="17"/>
      <c r="L97" s="17"/>
      <c r="M97" s="18"/>
      <c r="O97" s="20" t="str">
        <f t="shared" si="7"/>
        <v>FI790014</v>
      </c>
      <c r="P97" s="20" t="str">
        <f t="shared" si="12"/>
        <v>Not Found</v>
      </c>
      <c r="Q97" s="17"/>
      <c r="R97" s="29" t="str">
        <f t="shared" si="8"/>
        <v>Not Found</v>
      </c>
      <c r="S97" s="29" t="str">
        <f t="shared" si="9"/>
        <v>Not Found</v>
      </c>
    </row>
    <row r="98" spans="3:19" x14ac:dyDescent="0.25">
      <c r="C98" s="10"/>
      <c r="D98" s="14" t="s">
        <v>1801</v>
      </c>
      <c r="E98" s="4"/>
      <c r="F98" s="5">
        <v>0</v>
      </c>
      <c r="G98" s="7">
        <f t="shared" si="10"/>
        <v>0</v>
      </c>
      <c r="H98" s="6" t="str">
        <f t="shared" si="11"/>
        <v/>
      </c>
      <c r="I98" s="4"/>
      <c r="J98" s="15"/>
      <c r="K98" s="17"/>
      <c r="L98" s="17"/>
      <c r="M98" s="18"/>
      <c r="O98" s="20" t="str">
        <f t="shared" si="7"/>
        <v>FI790107</v>
      </c>
      <c r="P98" s="20" t="str">
        <f t="shared" si="12"/>
        <v>D7900_Overview  Display.xgml</v>
      </c>
      <c r="Q98" s="17"/>
      <c r="R98" s="29">
        <f t="shared" si="8"/>
        <v>477</v>
      </c>
      <c r="S98" s="29">
        <f t="shared" si="9"/>
        <v>401</v>
      </c>
    </row>
    <row r="99" spans="3:19" x14ac:dyDescent="0.25">
      <c r="C99" s="10"/>
      <c r="D99" s="14" t="s">
        <v>1802</v>
      </c>
      <c r="E99" s="4"/>
      <c r="F99" s="5">
        <v>0</v>
      </c>
      <c r="G99" s="7">
        <f t="shared" si="10"/>
        <v>0</v>
      </c>
      <c r="H99" s="6" t="str">
        <f t="shared" si="11"/>
        <v/>
      </c>
      <c r="I99" s="4"/>
      <c r="J99" s="15"/>
      <c r="K99" s="17"/>
      <c r="L99" s="17"/>
      <c r="M99" s="18"/>
      <c r="O99" s="20" t="str">
        <f t="shared" si="7"/>
        <v>FI791001</v>
      </c>
      <c r="P99" s="20" t="str">
        <f t="shared" si="12"/>
        <v>D7900_Overview  Display.xgml</v>
      </c>
      <c r="Q99" s="17"/>
      <c r="R99" s="29">
        <f t="shared" si="8"/>
        <v>93</v>
      </c>
      <c r="S99" s="29">
        <f t="shared" si="9"/>
        <v>105</v>
      </c>
    </row>
    <row r="100" spans="3:19" x14ac:dyDescent="0.25">
      <c r="C100" s="10"/>
      <c r="D100" s="14" t="s">
        <v>1803</v>
      </c>
      <c r="E100" s="4"/>
      <c r="F100" s="5">
        <v>0</v>
      </c>
      <c r="G100" s="7">
        <f t="shared" si="10"/>
        <v>0</v>
      </c>
      <c r="H100" s="6" t="str">
        <f t="shared" si="11"/>
        <v/>
      </c>
      <c r="I100" s="4"/>
      <c r="J100" s="15"/>
      <c r="K100" s="17"/>
      <c r="L100" s="17"/>
      <c r="M100" s="18"/>
      <c r="O100" s="20" t="str">
        <f t="shared" si="7"/>
        <v>FI792001</v>
      </c>
      <c r="P100" s="20" t="str">
        <f t="shared" si="12"/>
        <v>Not Found</v>
      </c>
      <c r="Q100" s="17"/>
      <c r="R100" s="29" t="str">
        <f t="shared" si="8"/>
        <v>Not Found</v>
      </c>
      <c r="S100" s="29" t="str">
        <f t="shared" si="9"/>
        <v>Not Found</v>
      </c>
    </row>
    <row r="101" spans="3:19" x14ac:dyDescent="0.25">
      <c r="C101" s="10"/>
      <c r="D101" s="14" t="s">
        <v>1804</v>
      </c>
      <c r="E101" s="4"/>
      <c r="F101" s="5">
        <v>2</v>
      </c>
      <c r="G101" s="7">
        <f t="shared" si="10"/>
        <v>-2</v>
      </c>
      <c r="H101" s="6">
        <f t="shared" si="11"/>
        <v>-1</v>
      </c>
      <c r="I101" s="4"/>
      <c r="J101" s="15"/>
      <c r="K101" s="17"/>
      <c r="L101" s="17"/>
      <c r="M101" s="18"/>
      <c r="O101" s="20" t="str">
        <f t="shared" si="7"/>
        <v>FI794003</v>
      </c>
      <c r="P101" s="20" t="str">
        <f t="shared" si="12"/>
        <v>Not Found</v>
      </c>
      <c r="Q101" s="17"/>
      <c r="R101" s="29" t="str">
        <f t="shared" si="8"/>
        <v>Not Found</v>
      </c>
      <c r="S101" s="29" t="str">
        <f t="shared" si="9"/>
        <v>Not Found</v>
      </c>
    </row>
    <row r="102" spans="3:19" x14ac:dyDescent="0.25">
      <c r="C102" s="10"/>
      <c r="D102" s="14" t="s">
        <v>1805</v>
      </c>
      <c r="E102" s="4"/>
      <c r="F102" s="5">
        <v>2</v>
      </c>
      <c r="G102" s="7">
        <f t="shared" si="10"/>
        <v>-2</v>
      </c>
      <c r="H102" s="6">
        <f t="shared" si="11"/>
        <v>-1</v>
      </c>
      <c r="I102" s="4"/>
      <c r="J102" s="15"/>
      <c r="K102" s="17"/>
      <c r="L102" s="17"/>
      <c r="M102" s="18"/>
      <c r="O102" s="20" t="str">
        <f t="shared" si="7"/>
        <v>FI796024</v>
      </c>
      <c r="P102" s="20" t="str">
        <f t="shared" si="12"/>
        <v>Not Found</v>
      </c>
      <c r="Q102" s="17"/>
      <c r="R102" s="29" t="str">
        <f t="shared" si="8"/>
        <v>Not Found</v>
      </c>
      <c r="S102" s="29" t="str">
        <f t="shared" si="9"/>
        <v>Not Found</v>
      </c>
    </row>
    <row r="103" spans="3:19" x14ac:dyDescent="0.25">
      <c r="C103" s="10"/>
      <c r="D103" s="14" t="s">
        <v>1806</v>
      </c>
      <c r="E103" s="4"/>
      <c r="F103" s="5">
        <v>2</v>
      </c>
      <c r="G103" s="7">
        <f t="shared" si="10"/>
        <v>-2</v>
      </c>
      <c r="H103" s="6">
        <f t="shared" si="11"/>
        <v>-1</v>
      </c>
      <c r="I103" s="4"/>
      <c r="J103" s="15"/>
      <c r="K103" s="17"/>
      <c r="L103" s="17"/>
      <c r="M103" s="18"/>
      <c r="O103" s="20" t="str">
        <f t="shared" si="7"/>
        <v>FI798512</v>
      </c>
      <c r="P103" s="20" t="str">
        <f t="shared" si="12"/>
        <v>Not Found</v>
      </c>
      <c r="Q103" s="17"/>
      <c r="R103" s="29" t="str">
        <f t="shared" si="8"/>
        <v>Not Found</v>
      </c>
      <c r="S103" s="29" t="str">
        <f t="shared" si="9"/>
        <v>Not Found</v>
      </c>
    </row>
    <row r="104" spans="3:19" x14ac:dyDescent="0.25">
      <c r="C104" s="10"/>
      <c r="D104" s="14" t="s">
        <v>1807</v>
      </c>
      <c r="E104" s="4"/>
      <c r="F104" s="5">
        <v>2</v>
      </c>
      <c r="G104" s="7">
        <f t="shared" si="10"/>
        <v>-2</v>
      </c>
      <c r="H104" s="6">
        <f t="shared" si="11"/>
        <v>-1</v>
      </c>
      <c r="I104" s="4"/>
      <c r="J104" s="15"/>
      <c r="K104" s="17"/>
      <c r="L104" s="17"/>
      <c r="M104" s="18"/>
      <c r="O104" s="20" t="str">
        <f t="shared" si="7"/>
        <v>FI798911</v>
      </c>
      <c r="P104" s="20" t="str">
        <f t="shared" si="12"/>
        <v>Not Found</v>
      </c>
      <c r="Q104" s="17"/>
      <c r="R104" s="29" t="str">
        <f t="shared" si="8"/>
        <v>Not Found</v>
      </c>
      <c r="S104" s="29" t="str">
        <f t="shared" si="9"/>
        <v>Not Found</v>
      </c>
    </row>
    <row r="105" spans="3:19" x14ac:dyDescent="0.25">
      <c r="C105" s="10"/>
      <c r="D105" s="14" t="s">
        <v>1808</v>
      </c>
      <c r="E105" s="4"/>
      <c r="F105" s="5">
        <v>2</v>
      </c>
      <c r="G105" s="7">
        <f t="shared" si="10"/>
        <v>-2</v>
      </c>
      <c r="H105" s="6">
        <f t="shared" si="11"/>
        <v>-1</v>
      </c>
      <c r="I105" s="4"/>
      <c r="J105" s="15"/>
      <c r="K105" s="17"/>
      <c r="L105" s="17"/>
      <c r="M105" s="18"/>
      <c r="O105" s="20" t="str">
        <f t="shared" si="7"/>
        <v>FI799206</v>
      </c>
      <c r="P105" s="20" t="str">
        <f t="shared" si="12"/>
        <v>Not Found</v>
      </c>
      <c r="Q105" s="17"/>
      <c r="R105" s="29" t="str">
        <f t="shared" si="8"/>
        <v>Not Found</v>
      </c>
      <c r="S105" s="29" t="str">
        <f t="shared" si="9"/>
        <v>Not Found</v>
      </c>
    </row>
    <row r="106" spans="3:19" x14ac:dyDescent="0.25">
      <c r="C106" s="10"/>
      <c r="D106" s="14" t="s">
        <v>1809</v>
      </c>
      <c r="E106" s="4"/>
      <c r="F106" s="5">
        <v>0</v>
      </c>
      <c r="G106" s="7">
        <f t="shared" si="10"/>
        <v>0</v>
      </c>
      <c r="H106" s="6" t="str">
        <f t="shared" si="11"/>
        <v/>
      </c>
      <c r="I106" s="4"/>
      <c r="J106" s="15"/>
      <c r="K106" s="17"/>
      <c r="L106" s="17"/>
      <c r="M106" s="18"/>
      <c r="O106" s="20" t="str">
        <f t="shared" si="7"/>
        <v>HS700006</v>
      </c>
      <c r="P106" s="20" t="str">
        <f t="shared" si="12"/>
        <v>R7040-1_Overview Display.xgml</v>
      </c>
      <c r="Q106" s="17"/>
      <c r="R106" s="29">
        <f t="shared" si="8"/>
        <v>624</v>
      </c>
      <c r="S106" s="29">
        <f t="shared" si="9"/>
        <v>525</v>
      </c>
    </row>
    <row r="107" spans="3:19" x14ac:dyDescent="0.25">
      <c r="C107" s="10"/>
      <c r="D107" s="14" t="s">
        <v>1810</v>
      </c>
      <c r="E107" s="4"/>
      <c r="F107" s="5">
        <v>0</v>
      </c>
      <c r="G107" s="7">
        <f t="shared" si="10"/>
        <v>0</v>
      </c>
      <c r="H107" s="6" t="str">
        <f t="shared" si="11"/>
        <v/>
      </c>
      <c r="I107" s="4"/>
      <c r="J107" s="15"/>
      <c r="K107" s="17"/>
      <c r="L107" s="17"/>
      <c r="M107" s="18"/>
      <c r="O107" s="20" t="str">
        <f t="shared" si="7"/>
        <v>HS700007</v>
      </c>
      <c r="P107" s="20" t="str">
        <f t="shared" si="12"/>
        <v>R7040-1_Overview Display.xgml</v>
      </c>
      <c r="Q107" s="17"/>
      <c r="R107" s="29">
        <f t="shared" si="8"/>
        <v>624</v>
      </c>
      <c r="S107" s="29">
        <f t="shared" si="9"/>
        <v>672</v>
      </c>
    </row>
    <row r="108" spans="3:19" x14ac:dyDescent="0.25">
      <c r="C108" s="10"/>
      <c r="D108" s="14" t="s">
        <v>1811</v>
      </c>
      <c r="E108" s="4"/>
      <c r="F108" s="5">
        <v>0</v>
      </c>
      <c r="G108" s="7">
        <f t="shared" si="10"/>
        <v>0</v>
      </c>
      <c r="H108" s="6" t="str">
        <f t="shared" si="11"/>
        <v/>
      </c>
      <c r="I108" s="4"/>
      <c r="J108" s="15"/>
      <c r="K108" s="17"/>
      <c r="L108" s="17"/>
      <c r="M108" s="18"/>
      <c r="O108" s="20" t="str">
        <f t="shared" si="7"/>
        <v>HS700013</v>
      </c>
      <c r="P108" s="20" t="str">
        <f t="shared" si="12"/>
        <v>R7040-1_Overview Display.xgml</v>
      </c>
      <c r="Q108" s="17"/>
      <c r="R108" s="29">
        <f t="shared" si="8"/>
        <v>282</v>
      </c>
      <c r="S108" s="29">
        <f t="shared" si="9"/>
        <v>666</v>
      </c>
    </row>
    <row r="109" spans="3:19" x14ac:dyDescent="0.25">
      <c r="C109" s="10"/>
      <c r="D109" s="14" t="s">
        <v>1812</v>
      </c>
      <c r="E109" s="4"/>
      <c r="F109" s="5">
        <v>0</v>
      </c>
      <c r="G109" s="7">
        <f t="shared" si="10"/>
        <v>0</v>
      </c>
      <c r="H109" s="6" t="str">
        <f t="shared" si="11"/>
        <v/>
      </c>
      <c r="I109" s="4"/>
      <c r="J109" s="15"/>
      <c r="K109" s="17"/>
      <c r="L109" s="17"/>
      <c r="M109" s="18"/>
      <c r="O109" s="20" t="str">
        <f t="shared" si="7"/>
        <v>HS700014</v>
      </c>
      <c r="P109" s="20" t="str">
        <f t="shared" si="12"/>
        <v>R7040-1_Overview Display.xgml</v>
      </c>
      <c r="Q109" s="17"/>
      <c r="R109" s="29">
        <f t="shared" si="8"/>
        <v>282</v>
      </c>
      <c r="S109" s="29">
        <f t="shared" si="9"/>
        <v>809</v>
      </c>
    </row>
    <row r="110" spans="3:19" x14ac:dyDescent="0.25">
      <c r="C110" s="10"/>
      <c r="D110" s="14" t="s">
        <v>1813</v>
      </c>
      <c r="E110" s="4"/>
      <c r="F110" s="5">
        <v>0</v>
      </c>
      <c r="G110" s="7">
        <f t="shared" si="10"/>
        <v>0</v>
      </c>
      <c r="H110" s="6" t="str">
        <f t="shared" si="11"/>
        <v/>
      </c>
      <c r="I110" s="4"/>
      <c r="J110" s="15"/>
      <c r="K110" s="17"/>
      <c r="L110" s="17"/>
      <c r="M110" s="18"/>
      <c r="O110" s="20" t="str">
        <f t="shared" si="7"/>
        <v>HS701003</v>
      </c>
      <c r="P110" s="20" t="str">
        <f t="shared" si="12"/>
        <v>R7040-1_Overview Display.xgml</v>
      </c>
      <c r="Q110" s="17"/>
      <c r="R110" s="29">
        <f t="shared" si="8"/>
        <v>364</v>
      </c>
      <c r="S110" s="29">
        <f t="shared" si="9"/>
        <v>96</v>
      </c>
    </row>
    <row r="111" spans="3:19" x14ac:dyDescent="0.25">
      <c r="C111" s="10"/>
      <c r="D111" s="14" t="s">
        <v>1814</v>
      </c>
      <c r="E111" s="4"/>
      <c r="F111" s="5">
        <v>0</v>
      </c>
      <c r="G111" s="7">
        <f t="shared" si="10"/>
        <v>0</v>
      </c>
      <c r="H111" s="6" t="str">
        <f t="shared" si="11"/>
        <v/>
      </c>
      <c r="I111" s="4"/>
      <c r="J111" s="15"/>
      <c r="K111" s="17"/>
      <c r="L111" s="17"/>
      <c r="M111" s="18"/>
      <c r="O111" s="20" t="str">
        <f t="shared" si="7"/>
        <v>HS701004</v>
      </c>
      <c r="P111" s="20" t="str">
        <f t="shared" si="12"/>
        <v>R7040-1_Overview Display.xgml</v>
      </c>
      <c r="Q111" s="17"/>
      <c r="R111" s="29">
        <f t="shared" si="8"/>
        <v>364</v>
      </c>
      <c r="S111" s="29">
        <f t="shared" si="9"/>
        <v>256</v>
      </c>
    </row>
    <row r="112" spans="3:19" x14ac:dyDescent="0.25">
      <c r="C112" s="10"/>
      <c r="D112" s="14" t="s">
        <v>1815</v>
      </c>
      <c r="E112" s="4"/>
      <c r="F112" s="5">
        <v>0</v>
      </c>
      <c r="G112" s="7">
        <f t="shared" si="10"/>
        <v>0</v>
      </c>
      <c r="H112" s="6" t="str">
        <f t="shared" si="11"/>
        <v/>
      </c>
      <c r="I112" s="4"/>
      <c r="J112" s="15"/>
      <c r="K112" s="17"/>
      <c r="L112" s="17"/>
      <c r="M112" s="18"/>
      <c r="O112" s="20" t="str">
        <f t="shared" si="7"/>
        <v>HS722010</v>
      </c>
      <c r="P112" s="20" t="str">
        <f t="shared" si="12"/>
        <v>R7040-2B_Overview Display.xgml</v>
      </c>
      <c r="Q112" s="17"/>
      <c r="R112" s="29">
        <f t="shared" si="8"/>
        <v>1029</v>
      </c>
      <c r="S112" s="29">
        <f t="shared" si="9"/>
        <v>659</v>
      </c>
    </row>
    <row r="113" spans="3:19" x14ac:dyDescent="0.25">
      <c r="C113" s="10"/>
      <c r="D113" s="14" t="s">
        <v>1816</v>
      </c>
      <c r="E113" s="4"/>
      <c r="F113" s="5">
        <v>0</v>
      </c>
      <c r="G113" s="7">
        <f t="shared" si="10"/>
        <v>0</v>
      </c>
      <c r="H113" s="6" t="str">
        <f t="shared" si="11"/>
        <v/>
      </c>
      <c r="I113" s="4"/>
      <c r="J113" s="15"/>
      <c r="K113" s="17"/>
      <c r="L113" s="17"/>
      <c r="M113" s="18"/>
      <c r="O113" s="20" t="str">
        <f t="shared" si="7"/>
        <v>HS722011</v>
      </c>
      <c r="P113" s="20" t="str">
        <f t="shared" si="12"/>
        <v>R7040-2B_Overview Display.xgml</v>
      </c>
      <c r="Q113" s="17"/>
      <c r="R113" s="29">
        <f t="shared" si="8"/>
        <v>1029</v>
      </c>
      <c r="S113" s="29">
        <f t="shared" si="9"/>
        <v>803</v>
      </c>
    </row>
    <row r="114" spans="3:19" x14ac:dyDescent="0.25">
      <c r="C114" s="10"/>
      <c r="D114" s="14" t="s">
        <v>1817</v>
      </c>
      <c r="E114" s="4"/>
      <c r="F114" s="5">
        <v>0</v>
      </c>
      <c r="G114" s="7">
        <f t="shared" si="10"/>
        <v>0</v>
      </c>
      <c r="H114" s="6" t="str">
        <f t="shared" si="11"/>
        <v/>
      </c>
      <c r="I114" s="4"/>
      <c r="J114" s="15"/>
      <c r="K114" s="17"/>
      <c r="L114" s="17"/>
      <c r="M114" s="18"/>
      <c r="O114" s="20" t="str">
        <f t="shared" si="7"/>
        <v>HS722204</v>
      </c>
      <c r="P114" s="20" t="str">
        <f t="shared" si="12"/>
        <v>R7040-2B_Overview Display.xgml</v>
      </c>
      <c r="Q114" s="17"/>
      <c r="R114" s="29">
        <f t="shared" si="8"/>
        <v>1408</v>
      </c>
      <c r="S114" s="29">
        <f t="shared" si="9"/>
        <v>320</v>
      </c>
    </row>
    <row r="115" spans="3:19" x14ac:dyDescent="0.25">
      <c r="C115" s="10"/>
      <c r="D115" s="14" t="s">
        <v>1818</v>
      </c>
      <c r="E115" s="4"/>
      <c r="F115" s="5">
        <v>0</v>
      </c>
      <c r="G115" s="7">
        <f t="shared" si="10"/>
        <v>0</v>
      </c>
      <c r="H115" s="6" t="str">
        <f t="shared" si="11"/>
        <v/>
      </c>
      <c r="I115" s="4"/>
      <c r="J115" s="15"/>
      <c r="K115" s="17"/>
      <c r="L115" s="17"/>
      <c r="M115" s="18"/>
      <c r="O115" s="20" t="str">
        <f t="shared" si="7"/>
        <v>HS722205</v>
      </c>
      <c r="P115" s="20" t="str">
        <f t="shared" si="12"/>
        <v>R7040-2B_Overview Display.xgml</v>
      </c>
      <c r="Q115" s="17"/>
      <c r="R115" s="29">
        <f t="shared" si="8"/>
        <v>1266</v>
      </c>
      <c r="S115" s="29">
        <f t="shared" si="9"/>
        <v>417</v>
      </c>
    </row>
    <row r="116" spans="3:19" x14ac:dyDescent="0.25">
      <c r="C116" s="10"/>
      <c r="D116" s="14" t="s">
        <v>1819</v>
      </c>
      <c r="E116" s="4"/>
      <c r="F116" s="5">
        <v>0</v>
      </c>
      <c r="G116" s="7">
        <f t="shared" si="10"/>
        <v>0</v>
      </c>
      <c r="H116" s="6" t="str">
        <f t="shared" si="11"/>
        <v/>
      </c>
      <c r="I116" s="4"/>
      <c r="J116" s="15"/>
      <c r="K116" s="17"/>
      <c r="L116" s="17"/>
      <c r="M116" s="18"/>
      <c r="O116" s="20" t="str">
        <f t="shared" si="7"/>
        <v>HS730012</v>
      </c>
      <c r="P116" s="20" t="str">
        <f t="shared" si="12"/>
        <v>T7300_Overview_Display.xgml</v>
      </c>
      <c r="Q116" s="17"/>
      <c r="R116" s="29">
        <f t="shared" si="8"/>
        <v>456</v>
      </c>
      <c r="S116" s="29">
        <f t="shared" si="9"/>
        <v>728</v>
      </c>
    </row>
    <row r="117" spans="3:19" x14ac:dyDescent="0.25">
      <c r="C117" s="10"/>
      <c r="D117" s="14" t="s">
        <v>1820</v>
      </c>
      <c r="E117" s="4"/>
      <c r="F117" s="5">
        <v>0</v>
      </c>
      <c r="G117" s="7">
        <f t="shared" si="10"/>
        <v>0</v>
      </c>
      <c r="H117" s="6" t="str">
        <f t="shared" si="11"/>
        <v/>
      </c>
      <c r="I117" s="4"/>
      <c r="J117" s="15"/>
      <c r="K117" s="17"/>
      <c r="L117" s="17"/>
      <c r="M117" s="18"/>
      <c r="O117" s="20" t="str">
        <f t="shared" si="7"/>
        <v>HS730013</v>
      </c>
      <c r="P117" s="20" t="str">
        <f t="shared" si="12"/>
        <v>T7300_Overview_Display.xgml</v>
      </c>
      <c r="Q117" s="17"/>
      <c r="R117" s="29">
        <f t="shared" si="8"/>
        <v>456</v>
      </c>
      <c r="S117" s="29">
        <f t="shared" si="9"/>
        <v>816</v>
      </c>
    </row>
    <row r="118" spans="3:19" x14ac:dyDescent="0.25">
      <c r="C118" s="10"/>
      <c r="D118" s="14" t="s">
        <v>1821</v>
      </c>
      <c r="E118" s="4"/>
      <c r="F118" s="5">
        <v>0</v>
      </c>
      <c r="G118" s="7">
        <f t="shared" si="10"/>
        <v>0</v>
      </c>
      <c r="H118" s="6" t="str">
        <f t="shared" si="11"/>
        <v/>
      </c>
      <c r="I118" s="4"/>
      <c r="J118" s="15"/>
      <c r="K118" s="17"/>
      <c r="L118" s="17"/>
      <c r="M118" s="18"/>
      <c r="O118" s="20" t="str">
        <f t="shared" si="7"/>
        <v>HS730203</v>
      </c>
      <c r="P118" s="20" t="str">
        <f t="shared" si="12"/>
        <v>T7300_Overview_Display.xgml</v>
      </c>
      <c r="Q118" s="17"/>
      <c r="R118" s="29">
        <f t="shared" si="8"/>
        <v>744</v>
      </c>
      <c r="S118" s="29">
        <f t="shared" si="9"/>
        <v>240</v>
      </c>
    </row>
    <row r="119" spans="3:19" x14ac:dyDescent="0.25">
      <c r="C119" s="10"/>
      <c r="D119" s="14" t="s">
        <v>1822</v>
      </c>
      <c r="E119" s="4"/>
      <c r="F119" s="5">
        <v>0</v>
      </c>
      <c r="G119" s="7">
        <f t="shared" si="10"/>
        <v>0</v>
      </c>
      <c r="H119" s="6" t="str">
        <f t="shared" si="11"/>
        <v/>
      </c>
      <c r="I119" s="4"/>
      <c r="J119" s="15"/>
      <c r="K119" s="17"/>
      <c r="L119" s="17"/>
      <c r="M119" s="18"/>
      <c r="O119" s="20" t="str">
        <f t="shared" si="7"/>
        <v>HS730204</v>
      </c>
      <c r="P119" s="20" t="str">
        <f t="shared" si="12"/>
        <v>T7300_Overview_Display.xgml</v>
      </c>
      <c r="Q119" s="17"/>
      <c r="R119" s="29">
        <f t="shared" si="8"/>
        <v>744</v>
      </c>
      <c r="S119" s="29">
        <f t="shared" si="9"/>
        <v>344</v>
      </c>
    </row>
    <row r="120" spans="3:19" x14ac:dyDescent="0.25">
      <c r="C120" s="10"/>
      <c r="D120" s="14" t="s">
        <v>1823</v>
      </c>
      <c r="E120" s="4"/>
      <c r="F120" s="5">
        <v>0</v>
      </c>
      <c r="G120" s="7">
        <f t="shared" si="10"/>
        <v>0</v>
      </c>
      <c r="H120" s="6" t="str">
        <f t="shared" si="11"/>
        <v/>
      </c>
      <c r="I120" s="4"/>
      <c r="J120" s="15"/>
      <c r="K120" s="17"/>
      <c r="L120" s="17"/>
      <c r="M120" s="18"/>
      <c r="O120" s="20" t="str">
        <f t="shared" si="7"/>
        <v>HS730408</v>
      </c>
      <c r="P120" s="20" t="str">
        <f t="shared" si="12"/>
        <v>V7304_Overview  Display.xgml</v>
      </c>
      <c r="Q120" s="17"/>
      <c r="R120" s="29">
        <f t="shared" si="8"/>
        <v>816</v>
      </c>
      <c r="S120" s="29">
        <f t="shared" si="9"/>
        <v>648</v>
      </c>
    </row>
    <row r="121" spans="3:19" x14ac:dyDescent="0.25">
      <c r="C121" s="10"/>
      <c r="D121" s="14" t="s">
        <v>1824</v>
      </c>
      <c r="E121" s="4"/>
      <c r="F121" s="5">
        <v>0</v>
      </c>
      <c r="G121" s="7">
        <f t="shared" si="10"/>
        <v>0</v>
      </c>
      <c r="H121" s="6" t="str">
        <f t="shared" si="11"/>
        <v/>
      </c>
      <c r="I121" s="4"/>
      <c r="J121" s="15"/>
      <c r="K121" s="17"/>
      <c r="L121" s="17"/>
      <c r="M121" s="18"/>
      <c r="O121" s="20" t="str">
        <f t="shared" si="7"/>
        <v>HS730409</v>
      </c>
      <c r="P121" s="20" t="str">
        <f t="shared" si="12"/>
        <v>V7304_Overview  Display.xgml</v>
      </c>
      <c r="Q121" s="17"/>
      <c r="R121" s="29">
        <f t="shared" si="8"/>
        <v>816</v>
      </c>
      <c r="S121" s="29">
        <f t="shared" si="9"/>
        <v>784</v>
      </c>
    </row>
    <row r="122" spans="3:19" x14ac:dyDescent="0.25">
      <c r="C122" s="10"/>
      <c r="D122" s="14" t="s">
        <v>1825</v>
      </c>
      <c r="E122" s="4"/>
      <c r="F122" s="5">
        <v>0</v>
      </c>
      <c r="G122" s="7">
        <f t="shared" si="10"/>
        <v>0</v>
      </c>
      <c r="H122" s="6" t="str">
        <f t="shared" si="11"/>
        <v/>
      </c>
      <c r="I122" s="4"/>
      <c r="J122" s="15"/>
      <c r="K122" s="17"/>
      <c r="L122" s="17"/>
      <c r="M122" s="18"/>
      <c r="O122" s="20" t="str">
        <f t="shared" si="7"/>
        <v>HS740021</v>
      </c>
      <c r="P122" s="20" t="str">
        <f t="shared" si="12"/>
        <v>Not Found</v>
      </c>
      <c r="Q122" s="17"/>
      <c r="R122" s="29" t="str">
        <f t="shared" si="8"/>
        <v>Not Found</v>
      </c>
      <c r="S122" s="29" t="str">
        <f t="shared" si="9"/>
        <v>Not Found</v>
      </c>
    </row>
    <row r="123" spans="3:19" x14ac:dyDescent="0.25">
      <c r="C123" s="10"/>
      <c r="D123" s="14" t="s">
        <v>1826</v>
      </c>
      <c r="E123" s="4"/>
      <c r="F123" s="5">
        <v>0</v>
      </c>
      <c r="G123" s="7">
        <f t="shared" si="10"/>
        <v>0</v>
      </c>
      <c r="H123" s="6" t="str">
        <f t="shared" si="11"/>
        <v/>
      </c>
      <c r="I123" s="4"/>
      <c r="J123" s="15"/>
      <c r="K123" s="17"/>
      <c r="L123" s="17"/>
      <c r="M123" s="18"/>
      <c r="O123" s="20" t="str">
        <f t="shared" si="7"/>
        <v>HS740022</v>
      </c>
      <c r="P123" s="20" t="str">
        <f t="shared" si="12"/>
        <v>Not Found</v>
      </c>
      <c r="Q123" s="17"/>
      <c r="R123" s="29" t="str">
        <f t="shared" si="8"/>
        <v>Not Found</v>
      </c>
      <c r="S123" s="29" t="str">
        <f t="shared" si="9"/>
        <v>Not Found</v>
      </c>
    </row>
    <row r="124" spans="3:19" x14ac:dyDescent="0.25">
      <c r="C124" s="10"/>
      <c r="D124" s="14" t="s">
        <v>1827</v>
      </c>
      <c r="E124" s="4"/>
      <c r="F124" s="5">
        <v>0</v>
      </c>
      <c r="G124" s="7">
        <f t="shared" si="10"/>
        <v>0</v>
      </c>
      <c r="H124" s="6" t="str">
        <f t="shared" si="11"/>
        <v/>
      </c>
      <c r="I124" s="4"/>
      <c r="J124" s="15"/>
      <c r="K124" s="17"/>
      <c r="L124" s="17"/>
      <c r="M124" s="18"/>
      <c r="O124" s="20" t="str">
        <f t="shared" si="7"/>
        <v>HS740102</v>
      </c>
      <c r="P124" s="20" t="str">
        <f t="shared" si="12"/>
        <v>Not Found</v>
      </c>
      <c r="Q124" s="17"/>
      <c r="R124" s="29" t="str">
        <f t="shared" si="8"/>
        <v>Not Found</v>
      </c>
      <c r="S124" s="29" t="str">
        <f t="shared" si="9"/>
        <v>Not Found</v>
      </c>
    </row>
    <row r="125" spans="3:19" x14ac:dyDescent="0.25">
      <c r="C125" s="10"/>
      <c r="D125" s="14" t="s">
        <v>1828</v>
      </c>
      <c r="E125" s="4"/>
      <c r="F125" s="5">
        <v>0</v>
      </c>
      <c r="G125" s="7">
        <f t="shared" si="10"/>
        <v>0</v>
      </c>
      <c r="H125" s="6" t="str">
        <f t="shared" si="11"/>
        <v/>
      </c>
      <c r="I125" s="4"/>
      <c r="J125" s="15"/>
      <c r="K125" s="17"/>
      <c r="L125" s="17"/>
      <c r="M125" s="18"/>
      <c r="O125" s="20" t="str">
        <f t="shared" si="7"/>
        <v>HS740103</v>
      </c>
      <c r="P125" s="20" t="str">
        <f t="shared" si="12"/>
        <v>Not Found</v>
      </c>
      <c r="Q125" s="17"/>
      <c r="R125" s="29" t="str">
        <f t="shared" si="8"/>
        <v>Not Found</v>
      </c>
      <c r="S125" s="29" t="str">
        <f t="shared" si="9"/>
        <v>Not Found</v>
      </c>
    </row>
    <row r="126" spans="3:19" x14ac:dyDescent="0.25">
      <c r="C126" s="10"/>
      <c r="D126" s="14" t="s">
        <v>1829</v>
      </c>
      <c r="E126" s="4"/>
      <c r="F126" s="5">
        <v>0</v>
      </c>
      <c r="G126" s="7">
        <f t="shared" si="10"/>
        <v>0</v>
      </c>
      <c r="H126" s="6" t="str">
        <f t="shared" si="11"/>
        <v/>
      </c>
      <c r="I126" s="4"/>
      <c r="J126" s="15"/>
      <c r="K126" s="17"/>
      <c r="L126" s="17"/>
      <c r="M126" s="18"/>
      <c r="O126" s="20" t="str">
        <f t="shared" si="7"/>
        <v>HS740205</v>
      </c>
      <c r="P126" s="20" t="str">
        <f t="shared" si="12"/>
        <v>Not Found</v>
      </c>
      <c r="Q126" s="17"/>
      <c r="R126" s="29" t="str">
        <f t="shared" si="8"/>
        <v>Not Found</v>
      </c>
      <c r="S126" s="29" t="str">
        <f t="shared" si="9"/>
        <v>Not Found</v>
      </c>
    </row>
    <row r="127" spans="3:19" x14ac:dyDescent="0.25">
      <c r="C127" s="10"/>
      <c r="D127" s="14" t="s">
        <v>1830</v>
      </c>
      <c r="E127" s="4"/>
      <c r="F127" s="5">
        <v>0</v>
      </c>
      <c r="G127" s="7">
        <f t="shared" si="10"/>
        <v>0</v>
      </c>
      <c r="H127" s="6" t="str">
        <f t="shared" si="11"/>
        <v/>
      </c>
      <c r="I127" s="4"/>
      <c r="J127" s="15"/>
      <c r="K127" s="17"/>
      <c r="L127" s="17"/>
      <c r="M127" s="18"/>
      <c r="O127" s="20" t="str">
        <f t="shared" si="7"/>
        <v>HS740206</v>
      </c>
      <c r="P127" s="20" t="str">
        <f t="shared" si="12"/>
        <v>Not Found</v>
      </c>
      <c r="Q127" s="17"/>
      <c r="R127" s="29" t="str">
        <f t="shared" si="8"/>
        <v>Not Found</v>
      </c>
      <c r="S127" s="29" t="str">
        <f t="shared" si="9"/>
        <v>Not Found</v>
      </c>
    </row>
    <row r="128" spans="3:19" x14ac:dyDescent="0.25">
      <c r="C128" s="10"/>
      <c r="D128" s="14" t="s">
        <v>1831</v>
      </c>
      <c r="E128" s="4"/>
      <c r="F128" s="5">
        <v>0</v>
      </c>
      <c r="G128" s="7">
        <f t="shared" si="10"/>
        <v>0</v>
      </c>
      <c r="H128" s="6" t="str">
        <f t="shared" si="11"/>
        <v/>
      </c>
      <c r="I128" s="4"/>
      <c r="J128" s="15"/>
      <c r="K128" s="17"/>
      <c r="L128" s="17"/>
      <c r="M128" s="18"/>
      <c r="O128" s="20" t="str">
        <f t="shared" si="7"/>
        <v>HS741010</v>
      </c>
      <c r="P128" s="20" t="str">
        <f t="shared" si="12"/>
        <v>V7410_Overview  Display.xgml</v>
      </c>
      <c r="Q128" s="17"/>
      <c r="R128" s="29">
        <f t="shared" si="8"/>
        <v>664</v>
      </c>
      <c r="S128" s="29">
        <f t="shared" si="9"/>
        <v>512</v>
      </c>
    </row>
    <row r="129" spans="3:19" x14ac:dyDescent="0.25">
      <c r="C129" s="10"/>
      <c r="D129" s="14" t="s">
        <v>1832</v>
      </c>
      <c r="E129" s="4"/>
      <c r="F129" s="5">
        <v>0</v>
      </c>
      <c r="G129" s="7">
        <f t="shared" si="10"/>
        <v>0</v>
      </c>
      <c r="H129" s="6" t="str">
        <f t="shared" si="11"/>
        <v/>
      </c>
      <c r="I129" s="4"/>
      <c r="J129" s="15"/>
      <c r="K129" s="17"/>
      <c r="L129" s="17"/>
      <c r="M129" s="18"/>
      <c r="O129" s="20" t="str">
        <f t="shared" si="7"/>
        <v>HS742010</v>
      </c>
      <c r="P129" s="20" t="str">
        <f t="shared" si="12"/>
        <v>V7410_Overview  Display.xgml</v>
      </c>
      <c r="Q129" s="17"/>
      <c r="R129" s="29">
        <f t="shared" si="8"/>
        <v>664</v>
      </c>
      <c r="S129" s="29">
        <f t="shared" si="9"/>
        <v>648</v>
      </c>
    </row>
    <row r="130" spans="3:19" x14ac:dyDescent="0.25">
      <c r="C130" s="10"/>
      <c r="D130" s="14" t="s">
        <v>1833</v>
      </c>
      <c r="E130" s="4"/>
      <c r="F130" s="5">
        <v>0</v>
      </c>
      <c r="G130" s="7">
        <f t="shared" si="10"/>
        <v>0</v>
      </c>
      <c r="H130" s="6" t="str">
        <f t="shared" si="11"/>
        <v/>
      </c>
      <c r="I130" s="4"/>
      <c r="J130" s="15"/>
      <c r="K130" s="17"/>
      <c r="L130" s="17"/>
      <c r="M130" s="18"/>
      <c r="O130" s="20" t="str">
        <f t="shared" si="7"/>
        <v>HS750021</v>
      </c>
      <c r="P130" s="20" t="str">
        <f t="shared" si="12"/>
        <v>Not Found</v>
      </c>
      <c r="Q130" s="17"/>
      <c r="R130" s="29" t="str">
        <f t="shared" si="8"/>
        <v>Not Found</v>
      </c>
      <c r="S130" s="29" t="str">
        <f t="shared" si="9"/>
        <v>Not Found</v>
      </c>
    </row>
    <row r="131" spans="3:19" x14ac:dyDescent="0.25">
      <c r="C131" s="10"/>
      <c r="D131" s="14" t="s">
        <v>1834</v>
      </c>
      <c r="E131" s="4"/>
      <c r="F131" s="5">
        <v>0</v>
      </c>
      <c r="G131" s="7">
        <f t="shared" si="10"/>
        <v>0</v>
      </c>
      <c r="H131" s="6" t="str">
        <f t="shared" si="11"/>
        <v/>
      </c>
      <c r="I131" s="4"/>
      <c r="J131" s="15"/>
      <c r="K131" s="17"/>
      <c r="L131" s="17"/>
      <c r="M131" s="18"/>
      <c r="O131" s="20" t="str">
        <f t="shared" si="7"/>
        <v>HS750022</v>
      </c>
      <c r="P131" s="20" t="str">
        <f t="shared" si="12"/>
        <v>Not Found</v>
      </c>
      <c r="Q131" s="17"/>
      <c r="R131" s="29" t="str">
        <f t="shared" si="8"/>
        <v>Not Found</v>
      </c>
      <c r="S131" s="29" t="str">
        <f t="shared" si="9"/>
        <v>Not Found</v>
      </c>
    </row>
    <row r="132" spans="3:19" x14ac:dyDescent="0.25">
      <c r="C132" s="10"/>
      <c r="D132" s="14" t="s">
        <v>1835</v>
      </c>
      <c r="E132" s="4"/>
      <c r="F132" s="5">
        <v>0</v>
      </c>
      <c r="G132" s="7">
        <f t="shared" si="10"/>
        <v>0</v>
      </c>
      <c r="H132" s="6" t="str">
        <f t="shared" si="11"/>
        <v/>
      </c>
      <c r="I132" s="4"/>
      <c r="J132" s="15"/>
      <c r="K132" s="17"/>
      <c r="L132" s="17"/>
      <c r="M132" s="18"/>
      <c r="O132" s="20" t="str">
        <f t="shared" si="7"/>
        <v>HS750102</v>
      </c>
      <c r="P132" s="20" t="str">
        <f t="shared" si="12"/>
        <v>Not Found</v>
      </c>
      <c r="Q132" s="17"/>
      <c r="R132" s="29" t="str">
        <f t="shared" si="8"/>
        <v>Not Found</v>
      </c>
      <c r="S132" s="29" t="str">
        <f t="shared" si="9"/>
        <v>Not Found</v>
      </c>
    </row>
    <row r="133" spans="3:19" x14ac:dyDescent="0.25">
      <c r="C133" s="10"/>
      <c r="D133" s="14" t="s">
        <v>1836</v>
      </c>
      <c r="E133" s="4"/>
      <c r="F133" s="5">
        <v>0</v>
      </c>
      <c r="G133" s="7">
        <f t="shared" si="10"/>
        <v>0</v>
      </c>
      <c r="H133" s="6" t="str">
        <f t="shared" si="11"/>
        <v/>
      </c>
      <c r="I133" s="4"/>
      <c r="J133" s="15"/>
      <c r="K133" s="17"/>
      <c r="L133" s="17"/>
      <c r="M133" s="18"/>
      <c r="O133" s="20" t="str">
        <f t="shared" si="7"/>
        <v>HS750103</v>
      </c>
      <c r="P133" s="20" t="str">
        <f t="shared" si="12"/>
        <v>Not Found</v>
      </c>
      <c r="Q133" s="17"/>
      <c r="R133" s="29" t="str">
        <f t="shared" si="8"/>
        <v>Not Found</v>
      </c>
      <c r="S133" s="29" t="str">
        <f t="shared" si="9"/>
        <v>Not Found</v>
      </c>
    </row>
    <row r="134" spans="3:19" x14ac:dyDescent="0.25">
      <c r="C134" s="10"/>
      <c r="D134" s="14" t="s">
        <v>1837</v>
      </c>
      <c r="E134" s="4"/>
      <c r="F134" s="5">
        <v>0</v>
      </c>
      <c r="G134" s="7">
        <f t="shared" si="10"/>
        <v>0</v>
      </c>
      <c r="H134" s="6" t="str">
        <f t="shared" si="11"/>
        <v/>
      </c>
      <c r="I134" s="4"/>
      <c r="J134" s="15"/>
      <c r="K134" s="17"/>
      <c r="L134" s="17"/>
      <c r="M134" s="18"/>
      <c r="O134" s="20" t="str">
        <f t="shared" si="7"/>
        <v>HS750205</v>
      </c>
      <c r="P134" s="20" t="str">
        <f t="shared" si="12"/>
        <v>Not Found</v>
      </c>
      <c r="Q134" s="17"/>
      <c r="R134" s="29" t="str">
        <f t="shared" si="8"/>
        <v>Not Found</v>
      </c>
      <c r="S134" s="29" t="str">
        <f t="shared" si="9"/>
        <v>Not Found</v>
      </c>
    </row>
    <row r="135" spans="3:19" x14ac:dyDescent="0.25">
      <c r="C135" s="10"/>
      <c r="D135" s="14" t="s">
        <v>1838</v>
      </c>
      <c r="E135" s="4"/>
      <c r="F135" s="5">
        <v>0</v>
      </c>
      <c r="G135" s="7">
        <f t="shared" si="10"/>
        <v>0</v>
      </c>
      <c r="H135" s="6" t="str">
        <f t="shared" si="11"/>
        <v/>
      </c>
      <c r="I135" s="4"/>
      <c r="J135" s="15"/>
      <c r="K135" s="17"/>
      <c r="L135" s="17"/>
      <c r="M135" s="18"/>
      <c r="O135" s="20" t="str">
        <f t="shared" si="7"/>
        <v>HS750206</v>
      </c>
      <c r="P135" s="20" t="str">
        <f t="shared" si="12"/>
        <v>Not Found</v>
      </c>
      <c r="Q135" s="17"/>
      <c r="R135" s="29" t="str">
        <f t="shared" si="8"/>
        <v>Not Found</v>
      </c>
      <c r="S135" s="29" t="str">
        <f t="shared" si="9"/>
        <v>Not Found</v>
      </c>
    </row>
    <row r="136" spans="3:19" x14ac:dyDescent="0.25">
      <c r="C136" s="10"/>
      <c r="D136" s="14" t="s">
        <v>1839</v>
      </c>
      <c r="E136" s="4"/>
      <c r="F136" s="5">
        <v>0</v>
      </c>
      <c r="G136" s="7">
        <f t="shared" si="10"/>
        <v>0</v>
      </c>
      <c r="H136" s="6" t="str">
        <f t="shared" si="11"/>
        <v/>
      </c>
      <c r="I136" s="4"/>
      <c r="J136" s="15"/>
      <c r="K136" s="17"/>
      <c r="L136" s="17"/>
      <c r="M136" s="18"/>
      <c r="O136" s="20" t="str">
        <f t="shared" ref="O136:O199" si="13">+LEFT(D136,FIND("IO",D136,1)-1)</f>
        <v>HS751010</v>
      </c>
      <c r="P136" s="20" t="str">
        <f t="shared" si="12"/>
        <v>V7510_Overview  Display.xgml</v>
      </c>
      <c r="Q136" s="17"/>
      <c r="R136" s="29">
        <f t="shared" ref="R136:R199" si="14">+IF(P136="Not Found",P136,VALUE(FINDProp($P$2,$P136,$O136,"XPos")))</f>
        <v>648</v>
      </c>
      <c r="S136" s="29">
        <f t="shared" ref="S136:S199" si="15">+IF(P136="Not Found",P136,VALUE(FINDProp($P$2,$P136,$O136,"YPos")))</f>
        <v>470</v>
      </c>
    </row>
    <row r="137" spans="3:19" x14ac:dyDescent="0.25">
      <c r="C137" s="10"/>
      <c r="D137" s="14" t="s">
        <v>1840</v>
      </c>
      <c r="E137" s="4"/>
      <c r="F137" s="5">
        <v>0</v>
      </c>
      <c r="G137" s="7">
        <f t="shared" si="10"/>
        <v>0</v>
      </c>
      <c r="H137" s="6" t="str">
        <f t="shared" si="11"/>
        <v/>
      </c>
      <c r="I137" s="4"/>
      <c r="J137" s="15"/>
      <c r="K137" s="17"/>
      <c r="L137" s="17"/>
      <c r="M137" s="18"/>
      <c r="O137" s="20" t="str">
        <f t="shared" si="13"/>
        <v>HS752010</v>
      </c>
      <c r="P137" s="20" t="str">
        <f t="shared" si="12"/>
        <v>V7510_Overview  Display.xgml</v>
      </c>
      <c r="Q137" s="17"/>
      <c r="R137" s="29">
        <f t="shared" si="14"/>
        <v>656</v>
      </c>
      <c r="S137" s="29">
        <f t="shared" si="15"/>
        <v>607</v>
      </c>
    </row>
    <row r="138" spans="3:19" x14ac:dyDescent="0.25">
      <c r="C138" s="10"/>
      <c r="D138" s="14" t="s">
        <v>1841</v>
      </c>
      <c r="E138" s="4"/>
      <c r="F138" s="5">
        <v>0</v>
      </c>
      <c r="G138" s="7">
        <f t="shared" ref="G138:G201" si="16">(E138-F138)</f>
        <v>0</v>
      </c>
      <c r="H138" s="6" t="str">
        <f t="shared" ref="H138:H201" si="17">IF(F138&lt;&gt;0,(E138-F138)/F138,"")</f>
        <v/>
      </c>
      <c r="I138" s="4"/>
      <c r="J138" s="15"/>
      <c r="K138" s="17"/>
      <c r="L138" s="17"/>
      <c r="M138" s="18"/>
      <c r="O138" s="20" t="str">
        <f t="shared" si="13"/>
        <v>HS760021</v>
      </c>
      <c r="P138" s="20" t="str">
        <f t="shared" si="12"/>
        <v>Not Found</v>
      </c>
      <c r="Q138" s="17"/>
      <c r="R138" s="29" t="str">
        <f t="shared" si="14"/>
        <v>Not Found</v>
      </c>
      <c r="S138" s="29" t="str">
        <f t="shared" si="15"/>
        <v>Not Found</v>
      </c>
    </row>
    <row r="139" spans="3:19" x14ac:dyDescent="0.25">
      <c r="C139" s="10"/>
      <c r="D139" s="14" t="s">
        <v>1842</v>
      </c>
      <c r="E139" s="4"/>
      <c r="F139" s="5">
        <v>0</v>
      </c>
      <c r="G139" s="7">
        <f t="shared" si="16"/>
        <v>0</v>
      </c>
      <c r="H139" s="6" t="str">
        <f t="shared" si="17"/>
        <v/>
      </c>
      <c r="I139" s="4"/>
      <c r="J139" s="15"/>
      <c r="K139" s="17"/>
      <c r="L139" s="17"/>
      <c r="M139" s="18"/>
      <c r="O139" s="20" t="str">
        <f t="shared" si="13"/>
        <v>HS760022</v>
      </c>
      <c r="P139" s="20" t="str">
        <f t="shared" si="12"/>
        <v>Not Found</v>
      </c>
      <c r="Q139" s="17"/>
      <c r="R139" s="29" t="str">
        <f t="shared" si="14"/>
        <v>Not Found</v>
      </c>
      <c r="S139" s="29" t="str">
        <f t="shared" si="15"/>
        <v>Not Found</v>
      </c>
    </row>
    <row r="140" spans="3:19" x14ac:dyDescent="0.25">
      <c r="C140" s="10"/>
      <c r="D140" s="14" t="s">
        <v>1843</v>
      </c>
      <c r="E140" s="4"/>
      <c r="F140" s="5">
        <v>0</v>
      </c>
      <c r="G140" s="7">
        <f t="shared" si="16"/>
        <v>0</v>
      </c>
      <c r="H140" s="6" t="str">
        <f t="shared" si="17"/>
        <v/>
      </c>
      <c r="I140" s="4"/>
      <c r="J140" s="15"/>
      <c r="K140" s="17"/>
      <c r="L140" s="17"/>
      <c r="M140" s="18"/>
      <c r="O140" s="20" t="str">
        <f t="shared" si="13"/>
        <v>HS760102</v>
      </c>
      <c r="P140" s="20" t="str">
        <f t="shared" si="12"/>
        <v>Not Found</v>
      </c>
      <c r="Q140" s="17"/>
      <c r="R140" s="29" t="str">
        <f t="shared" si="14"/>
        <v>Not Found</v>
      </c>
      <c r="S140" s="29" t="str">
        <f t="shared" si="15"/>
        <v>Not Found</v>
      </c>
    </row>
    <row r="141" spans="3:19" x14ac:dyDescent="0.25">
      <c r="C141" s="10"/>
      <c r="D141" s="14" t="s">
        <v>1844</v>
      </c>
      <c r="E141" s="4"/>
      <c r="F141" s="5">
        <v>0</v>
      </c>
      <c r="G141" s="7">
        <f t="shared" si="16"/>
        <v>0</v>
      </c>
      <c r="H141" s="6" t="str">
        <f t="shared" si="17"/>
        <v/>
      </c>
      <c r="I141" s="4"/>
      <c r="J141" s="15"/>
      <c r="K141" s="17"/>
      <c r="L141" s="17"/>
      <c r="M141" s="18"/>
      <c r="O141" s="20" t="str">
        <f t="shared" si="13"/>
        <v>HS760103</v>
      </c>
      <c r="P141" s="20" t="str">
        <f t="shared" si="12"/>
        <v>Not Found</v>
      </c>
      <c r="Q141" s="17"/>
      <c r="R141" s="29" t="str">
        <f t="shared" si="14"/>
        <v>Not Found</v>
      </c>
      <c r="S141" s="29" t="str">
        <f t="shared" si="15"/>
        <v>Not Found</v>
      </c>
    </row>
    <row r="142" spans="3:19" x14ac:dyDescent="0.25">
      <c r="C142" s="10"/>
      <c r="D142" s="14" t="s">
        <v>1845</v>
      </c>
      <c r="E142" s="4"/>
      <c r="F142" s="5">
        <v>0</v>
      </c>
      <c r="G142" s="7">
        <f t="shared" si="16"/>
        <v>0</v>
      </c>
      <c r="H142" s="6" t="str">
        <f t="shared" si="17"/>
        <v/>
      </c>
      <c r="I142" s="4"/>
      <c r="J142" s="15"/>
      <c r="K142" s="17"/>
      <c r="L142" s="17"/>
      <c r="M142" s="18"/>
      <c r="O142" s="20" t="str">
        <f t="shared" si="13"/>
        <v>HS760205</v>
      </c>
      <c r="P142" s="20" t="str">
        <f t="shared" si="12"/>
        <v>Not Found</v>
      </c>
      <c r="Q142" s="17"/>
      <c r="R142" s="29" t="str">
        <f t="shared" si="14"/>
        <v>Not Found</v>
      </c>
      <c r="S142" s="29" t="str">
        <f t="shared" si="15"/>
        <v>Not Found</v>
      </c>
    </row>
    <row r="143" spans="3:19" x14ac:dyDescent="0.25">
      <c r="C143" s="10"/>
      <c r="D143" s="14" t="s">
        <v>1846</v>
      </c>
      <c r="E143" s="4"/>
      <c r="F143" s="5">
        <v>0</v>
      </c>
      <c r="G143" s="7">
        <f t="shared" si="16"/>
        <v>0</v>
      </c>
      <c r="H143" s="6" t="str">
        <f t="shared" si="17"/>
        <v/>
      </c>
      <c r="I143" s="4"/>
      <c r="J143" s="15"/>
      <c r="K143" s="17"/>
      <c r="L143" s="17"/>
      <c r="M143" s="18"/>
      <c r="O143" s="20" t="str">
        <f t="shared" si="13"/>
        <v>HS760206</v>
      </c>
      <c r="P143" s="20" t="str">
        <f t="shared" si="12"/>
        <v>Not Found</v>
      </c>
      <c r="Q143" s="17"/>
      <c r="R143" s="29" t="str">
        <f t="shared" si="14"/>
        <v>Not Found</v>
      </c>
      <c r="S143" s="29" t="str">
        <f t="shared" si="15"/>
        <v>Not Found</v>
      </c>
    </row>
    <row r="144" spans="3:19" x14ac:dyDescent="0.25">
      <c r="C144" s="10"/>
      <c r="D144" s="14" t="s">
        <v>1847</v>
      </c>
      <c r="E144" s="4"/>
      <c r="F144" s="5">
        <v>0</v>
      </c>
      <c r="G144" s="7">
        <f t="shared" si="16"/>
        <v>0</v>
      </c>
      <c r="H144" s="6" t="str">
        <f t="shared" si="17"/>
        <v/>
      </c>
      <c r="I144" s="4"/>
      <c r="J144" s="15"/>
      <c r="K144" s="17"/>
      <c r="L144" s="17"/>
      <c r="M144" s="18"/>
      <c r="O144" s="20" t="str">
        <f t="shared" si="13"/>
        <v>HS761010</v>
      </c>
      <c r="P144" s="20" t="str">
        <f t="shared" si="12"/>
        <v>V7610_Overview  Display.xgml</v>
      </c>
      <c r="Q144" s="17"/>
      <c r="R144" s="29">
        <f t="shared" si="14"/>
        <v>660</v>
      </c>
      <c r="S144" s="29">
        <f t="shared" si="15"/>
        <v>472</v>
      </c>
    </row>
    <row r="145" spans="3:19" x14ac:dyDescent="0.25">
      <c r="C145" s="10"/>
      <c r="D145" s="14" t="s">
        <v>1848</v>
      </c>
      <c r="E145" s="4"/>
      <c r="F145" s="5">
        <v>0</v>
      </c>
      <c r="G145" s="7">
        <f t="shared" si="16"/>
        <v>0</v>
      </c>
      <c r="H145" s="6" t="str">
        <f t="shared" si="17"/>
        <v/>
      </c>
      <c r="I145" s="4"/>
      <c r="J145" s="15"/>
      <c r="K145" s="17"/>
      <c r="L145" s="17"/>
      <c r="M145" s="18"/>
      <c r="O145" s="20" t="str">
        <f t="shared" si="13"/>
        <v>HS762010</v>
      </c>
      <c r="P145" s="20" t="str">
        <f t="shared" si="12"/>
        <v>V7610_Overview  Display.xgml</v>
      </c>
      <c r="Q145" s="17"/>
      <c r="R145" s="29">
        <f t="shared" si="14"/>
        <v>660</v>
      </c>
      <c r="S145" s="29">
        <f t="shared" si="15"/>
        <v>607</v>
      </c>
    </row>
    <row r="146" spans="3:19" x14ac:dyDescent="0.25">
      <c r="C146" s="10"/>
      <c r="D146" s="14" t="s">
        <v>1849</v>
      </c>
      <c r="E146" s="4"/>
      <c r="F146" s="5">
        <v>0</v>
      </c>
      <c r="G146" s="7">
        <f t="shared" si="16"/>
        <v>0</v>
      </c>
      <c r="H146" s="6" t="str">
        <f t="shared" si="17"/>
        <v/>
      </c>
      <c r="I146" s="4"/>
      <c r="J146" s="15"/>
      <c r="K146" s="17"/>
      <c r="L146" s="17"/>
      <c r="M146" s="18"/>
      <c r="O146" s="20" t="str">
        <f t="shared" si="13"/>
        <v>HS763010</v>
      </c>
      <c r="P146" s="20" t="str">
        <f t="shared" si="12"/>
        <v>V7630_Overview  Display.xgml</v>
      </c>
      <c r="Q146" s="17"/>
      <c r="R146" s="29">
        <f t="shared" si="14"/>
        <v>809</v>
      </c>
      <c r="S146" s="29">
        <f t="shared" si="15"/>
        <v>608</v>
      </c>
    </row>
    <row r="147" spans="3:19" x14ac:dyDescent="0.25">
      <c r="C147" s="10"/>
      <c r="D147" s="14" t="s">
        <v>1850</v>
      </c>
      <c r="E147" s="4"/>
      <c r="F147" s="5">
        <v>0</v>
      </c>
      <c r="G147" s="7">
        <f t="shared" si="16"/>
        <v>0</v>
      </c>
      <c r="H147" s="6" t="str">
        <f t="shared" si="17"/>
        <v/>
      </c>
      <c r="I147" s="4"/>
      <c r="J147" s="15"/>
      <c r="K147" s="17"/>
      <c r="L147" s="17"/>
      <c r="M147" s="18"/>
      <c r="O147" s="20" t="str">
        <f t="shared" si="13"/>
        <v>HS764010</v>
      </c>
      <c r="P147" s="20" t="str">
        <f t="shared" si="12"/>
        <v>V7640_Overview Display.xgml</v>
      </c>
      <c r="Q147" s="17"/>
      <c r="R147" s="29">
        <f t="shared" si="14"/>
        <v>934</v>
      </c>
      <c r="S147" s="29">
        <f t="shared" si="15"/>
        <v>579.5</v>
      </c>
    </row>
    <row r="148" spans="3:19" x14ac:dyDescent="0.25">
      <c r="C148" s="10"/>
      <c r="D148" s="14" t="s">
        <v>1851</v>
      </c>
      <c r="E148" s="4"/>
      <c r="F148" s="5">
        <v>0</v>
      </c>
      <c r="G148" s="7">
        <f t="shared" si="16"/>
        <v>0</v>
      </c>
      <c r="H148" s="6" t="str">
        <f t="shared" si="17"/>
        <v/>
      </c>
      <c r="I148" s="4"/>
      <c r="J148" s="15"/>
      <c r="K148" s="17"/>
      <c r="L148" s="17"/>
      <c r="M148" s="18"/>
      <c r="O148" s="20" t="str">
        <f t="shared" si="13"/>
        <v>HS772002</v>
      </c>
      <c r="P148" s="20" t="str">
        <f t="shared" si="12"/>
        <v>PU7700_Overview  Display.xgml</v>
      </c>
      <c r="Q148" s="17"/>
      <c r="R148" s="29">
        <f t="shared" si="14"/>
        <v>900</v>
      </c>
      <c r="S148" s="29">
        <f t="shared" si="15"/>
        <v>616</v>
      </c>
    </row>
    <row r="149" spans="3:19" x14ac:dyDescent="0.25">
      <c r="C149" s="10"/>
      <c r="D149" s="14" t="s">
        <v>1852</v>
      </c>
      <c r="E149" s="4"/>
      <c r="F149" s="5">
        <v>0</v>
      </c>
      <c r="G149" s="7">
        <f t="shared" si="16"/>
        <v>0</v>
      </c>
      <c r="H149" s="6" t="str">
        <f t="shared" si="17"/>
        <v/>
      </c>
      <c r="I149" s="4"/>
      <c r="J149" s="15"/>
      <c r="K149" s="17"/>
      <c r="L149" s="17"/>
      <c r="M149" s="18"/>
      <c r="O149" s="20" t="str">
        <f t="shared" si="13"/>
        <v>HS790101</v>
      </c>
      <c r="P149" s="20" t="str">
        <f t="shared" si="12"/>
        <v>D7900_Overview  Display.xgml</v>
      </c>
      <c r="Q149" s="17"/>
      <c r="R149" s="29">
        <f t="shared" si="14"/>
        <v>656</v>
      </c>
      <c r="S149" s="29">
        <f t="shared" si="15"/>
        <v>648</v>
      </c>
    </row>
    <row r="150" spans="3:19" x14ac:dyDescent="0.25">
      <c r="C150" s="10"/>
      <c r="D150" s="14" t="s">
        <v>1853</v>
      </c>
      <c r="E150" s="4"/>
      <c r="F150" s="5">
        <v>0</v>
      </c>
      <c r="G150" s="7">
        <f t="shared" si="16"/>
        <v>0</v>
      </c>
      <c r="H150" s="6" t="str">
        <f t="shared" si="17"/>
        <v/>
      </c>
      <c r="I150" s="4"/>
      <c r="J150" s="15"/>
      <c r="K150" s="17"/>
      <c r="L150" s="17"/>
      <c r="M150" s="18"/>
      <c r="O150" s="20" t="str">
        <f t="shared" si="13"/>
        <v>HS790102</v>
      </c>
      <c r="P150" s="20" t="str">
        <f t="shared" si="12"/>
        <v>D7900_Overview  Display.xgml</v>
      </c>
      <c r="Q150" s="17"/>
      <c r="R150" s="29">
        <f t="shared" si="14"/>
        <v>656</v>
      </c>
      <c r="S150" s="29">
        <f t="shared" si="15"/>
        <v>800</v>
      </c>
    </row>
    <row r="151" spans="3:19" x14ac:dyDescent="0.25">
      <c r="C151" s="10"/>
      <c r="D151" s="14" t="s">
        <v>1854</v>
      </c>
      <c r="E151" s="4"/>
      <c r="F151" s="5">
        <v>0</v>
      </c>
      <c r="G151" s="7">
        <f t="shared" si="16"/>
        <v>0</v>
      </c>
      <c r="H151" s="6" t="str">
        <f t="shared" si="17"/>
        <v/>
      </c>
      <c r="I151" s="4"/>
      <c r="J151" s="15"/>
      <c r="K151" s="17"/>
      <c r="L151" s="17"/>
      <c r="M151" s="18"/>
      <c r="O151" s="20" t="str">
        <f t="shared" si="13"/>
        <v>HS796001</v>
      </c>
      <c r="P151" s="20" t="str">
        <f t="shared" si="12"/>
        <v>Not Found</v>
      </c>
      <c r="Q151" s="17"/>
      <c r="R151" s="29" t="str">
        <f t="shared" si="14"/>
        <v>Not Found</v>
      </c>
      <c r="S151" s="29" t="str">
        <f t="shared" si="15"/>
        <v>Not Found</v>
      </c>
    </row>
    <row r="152" spans="3:19" x14ac:dyDescent="0.25">
      <c r="C152" s="10"/>
      <c r="D152" s="14" t="s">
        <v>1855</v>
      </c>
      <c r="E152" s="4"/>
      <c r="F152" s="5">
        <v>0</v>
      </c>
      <c r="G152" s="7">
        <f t="shared" si="16"/>
        <v>0</v>
      </c>
      <c r="H152" s="6" t="str">
        <f t="shared" si="17"/>
        <v/>
      </c>
      <c r="I152" s="4"/>
      <c r="J152" s="15"/>
      <c r="K152" s="17"/>
      <c r="L152" s="17"/>
      <c r="M152" s="18"/>
      <c r="O152" s="20" t="str">
        <f t="shared" si="13"/>
        <v>HS796002</v>
      </c>
      <c r="P152" s="20" t="str">
        <f t="shared" si="12"/>
        <v>Not Found</v>
      </c>
      <c r="Q152" s="17"/>
      <c r="R152" s="29" t="str">
        <f t="shared" si="14"/>
        <v>Not Found</v>
      </c>
      <c r="S152" s="29" t="str">
        <f t="shared" si="15"/>
        <v>Not Found</v>
      </c>
    </row>
    <row r="153" spans="3:19" x14ac:dyDescent="0.25">
      <c r="C153" s="10"/>
      <c r="D153" s="14" t="s">
        <v>1856</v>
      </c>
      <c r="E153" s="4"/>
      <c r="F153" s="5">
        <v>0</v>
      </c>
      <c r="G153" s="7">
        <f t="shared" si="16"/>
        <v>0</v>
      </c>
      <c r="H153" s="6" t="str">
        <f t="shared" si="17"/>
        <v/>
      </c>
      <c r="I153" s="4"/>
      <c r="J153" s="15"/>
      <c r="K153" s="17"/>
      <c r="L153" s="17"/>
      <c r="M153" s="18"/>
      <c r="O153" s="20" t="str">
        <f t="shared" si="13"/>
        <v>HS799004</v>
      </c>
      <c r="P153" s="20" t="str">
        <f t="shared" si="12"/>
        <v>Not Found</v>
      </c>
      <c r="Q153" s="17"/>
      <c r="R153" s="29" t="str">
        <f t="shared" si="14"/>
        <v>Not Found</v>
      </c>
      <c r="S153" s="29" t="str">
        <f t="shared" si="15"/>
        <v>Not Found</v>
      </c>
    </row>
    <row r="154" spans="3:19" x14ac:dyDescent="0.25">
      <c r="C154" s="10"/>
      <c r="D154" s="14" t="s">
        <v>1857</v>
      </c>
      <c r="E154" s="4"/>
      <c r="F154" s="5">
        <v>0</v>
      </c>
      <c r="G154" s="7">
        <f t="shared" si="16"/>
        <v>0</v>
      </c>
      <c r="H154" s="6" t="str">
        <f t="shared" si="17"/>
        <v/>
      </c>
      <c r="I154" s="4"/>
      <c r="J154" s="15"/>
      <c r="K154" s="17"/>
      <c r="L154" s="17"/>
      <c r="M154" s="18"/>
      <c r="O154" s="20" t="str">
        <f t="shared" si="13"/>
        <v>HS799005</v>
      </c>
      <c r="P154" s="20" t="str">
        <f t="shared" si="12"/>
        <v>Not Found</v>
      </c>
      <c r="Q154" s="17"/>
      <c r="R154" s="29" t="str">
        <f t="shared" si="14"/>
        <v>Not Found</v>
      </c>
      <c r="S154" s="29" t="str">
        <f t="shared" si="15"/>
        <v>Not Found</v>
      </c>
    </row>
    <row r="155" spans="3:19" x14ac:dyDescent="0.25">
      <c r="C155" s="10"/>
      <c r="D155" s="14" t="s">
        <v>1858</v>
      </c>
      <c r="E155" s="4"/>
      <c r="F155" s="5">
        <v>2</v>
      </c>
      <c r="G155" s="7">
        <f t="shared" si="16"/>
        <v>-2</v>
      </c>
      <c r="H155" s="6">
        <f t="shared" si="17"/>
        <v>-1</v>
      </c>
      <c r="I155" s="4"/>
      <c r="J155" s="15"/>
      <c r="K155" s="17"/>
      <c r="L155" s="17"/>
      <c r="M155" s="18"/>
      <c r="O155" s="20" t="str">
        <f t="shared" si="13"/>
        <v>II799648</v>
      </c>
      <c r="P155" s="20" t="str">
        <f t="shared" si="12"/>
        <v>Not Found</v>
      </c>
      <c r="Q155" s="17"/>
      <c r="R155" s="29" t="str">
        <f t="shared" si="14"/>
        <v>Not Found</v>
      </c>
      <c r="S155" s="29" t="str">
        <f t="shared" si="15"/>
        <v>Not Found</v>
      </c>
    </row>
    <row r="156" spans="3:19" x14ac:dyDescent="0.25">
      <c r="C156" s="10"/>
      <c r="D156" s="14" t="s">
        <v>1859</v>
      </c>
      <c r="E156" s="4"/>
      <c r="F156" s="5">
        <v>2</v>
      </c>
      <c r="G156" s="7">
        <f t="shared" si="16"/>
        <v>-2</v>
      </c>
      <c r="H156" s="6">
        <f t="shared" si="17"/>
        <v>-1</v>
      </c>
      <c r="I156" s="4"/>
      <c r="J156" s="15"/>
      <c r="K156" s="17"/>
      <c r="L156" s="17"/>
      <c r="M156" s="18"/>
      <c r="O156" s="20" t="str">
        <f t="shared" si="13"/>
        <v>II799649</v>
      </c>
      <c r="P156" s="20" t="str">
        <f t="shared" si="12"/>
        <v>Not Found</v>
      </c>
      <c r="Q156" s="17"/>
      <c r="R156" s="29" t="str">
        <f t="shared" si="14"/>
        <v>Not Found</v>
      </c>
      <c r="S156" s="29" t="str">
        <f t="shared" si="15"/>
        <v>Not Found</v>
      </c>
    </row>
    <row r="157" spans="3:19" x14ac:dyDescent="0.25">
      <c r="C157" s="10"/>
      <c r="D157" s="14" t="s">
        <v>1860</v>
      </c>
      <c r="E157" s="4"/>
      <c r="F157" s="5">
        <v>0</v>
      </c>
      <c r="G157" s="7">
        <f t="shared" si="16"/>
        <v>0</v>
      </c>
      <c r="H157" s="6" t="str">
        <f t="shared" si="17"/>
        <v/>
      </c>
      <c r="I157" s="4"/>
      <c r="J157" s="15"/>
      <c r="K157" s="17"/>
      <c r="L157" s="17"/>
      <c r="M157" s="18"/>
      <c r="O157" s="20" t="str">
        <f t="shared" si="13"/>
        <v>LI700003</v>
      </c>
      <c r="P157" s="20" t="str">
        <f t="shared" ref="P157:P220" si="18">+FindinFile($P$2,$O157,"Name")</f>
        <v>REACTION_Graphic Display.xgml</v>
      </c>
      <c r="Q157" s="17"/>
      <c r="R157" s="29">
        <f t="shared" si="14"/>
        <v>118</v>
      </c>
      <c r="S157" s="29">
        <f t="shared" si="15"/>
        <v>394</v>
      </c>
    </row>
    <row r="158" spans="3:19" x14ac:dyDescent="0.25">
      <c r="C158" s="10"/>
      <c r="D158" s="14" t="s">
        <v>1861</v>
      </c>
      <c r="E158" s="4"/>
      <c r="F158" s="5">
        <v>0</v>
      </c>
      <c r="G158" s="7">
        <f t="shared" si="16"/>
        <v>0</v>
      </c>
      <c r="H158" s="6" t="str">
        <f t="shared" si="17"/>
        <v/>
      </c>
      <c r="I158" s="4"/>
      <c r="J158" s="15"/>
      <c r="K158" s="17"/>
      <c r="L158" s="17"/>
      <c r="M158" s="18"/>
      <c r="O158" s="20" t="str">
        <f t="shared" si="13"/>
        <v>LI701002</v>
      </c>
      <c r="P158" s="20" t="str">
        <f t="shared" si="18"/>
        <v>R7040-1_Overview Display.xgml</v>
      </c>
      <c r="Q158" s="17"/>
      <c r="R158" s="29">
        <f t="shared" si="14"/>
        <v>509</v>
      </c>
      <c r="S158" s="29">
        <f t="shared" si="15"/>
        <v>276</v>
      </c>
    </row>
    <row r="159" spans="3:19" x14ac:dyDescent="0.25">
      <c r="C159" s="10"/>
      <c r="D159" s="14" t="s">
        <v>1862</v>
      </c>
      <c r="E159" s="4"/>
      <c r="F159" s="5">
        <v>0</v>
      </c>
      <c r="G159" s="7">
        <f t="shared" si="16"/>
        <v>0</v>
      </c>
      <c r="H159" s="6" t="str">
        <f t="shared" si="17"/>
        <v/>
      </c>
      <c r="I159" s="4"/>
      <c r="J159" s="15"/>
      <c r="K159" s="17"/>
      <c r="L159" s="17"/>
      <c r="M159" s="18"/>
      <c r="O159" s="20" t="str">
        <f t="shared" si="13"/>
        <v>LI720005</v>
      </c>
      <c r="P159" s="20" t="str">
        <f t="shared" si="18"/>
        <v>REACTION_Graphic Display.xgml</v>
      </c>
      <c r="Q159" s="17"/>
      <c r="R159" s="29">
        <f t="shared" si="14"/>
        <v>646</v>
      </c>
      <c r="S159" s="29">
        <f t="shared" si="15"/>
        <v>288</v>
      </c>
    </row>
    <row r="160" spans="3:19" x14ac:dyDescent="0.25">
      <c r="C160" s="10"/>
      <c r="D160" s="14" t="s">
        <v>1863</v>
      </c>
      <c r="E160" s="4"/>
      <c r="F160" s="5">
        <v>0</v>
      </c>
      <c r="G160" s="7">
        <f t="shared" si="16"/>
        <v>0</v>
      </c>
      <c r="H160" s="6" t="str">
        <f t="shared" si="17"/>
        <v/>
      </c>
      <c r="I160" s="4"/>
      <c r="J160" s="15"/>
      <c r="K160" s="17"/>
      <c r="L160" s="17"/>
      <c r="M160" s="18"/>
      <c r="O160" s="20" t="str">
        <f t="shared" si="13"/>
        <v>LI720008</v>
      </c>
      <c r="P160" s="20" t="str">
        <f t="shared" si="18"/>
        <v>R7040-2B_Overview Display.xgml</v>
      </c>
      <c r="Q160" s="17"/>
      <c r="R160" s="29">
        <f t="shared" si="14"/>
        <v>94</v>
      </c>
      <c r="S160" s="29">
        <f t="shared" si="15"/>
        <v>610</v>
      </c>
    </row>
    <row r="161" spans="3:19" x14ac:dyDescent="0.25">
      <c r="C161" s="10"/>
      <c r="D161" s="14" t="s">
        <v>1864</v>
      </c>
      <c r="E161" s="4"/>
      <c r="F161" s="5">
        <v>0</v>
      </c>
      <c r="G161" s="7">
        <f t="shared" si="16"/>
        <v>0</v>
      </c>
      <c r="H161" s="6" t="str">
        <f t="shared" si="17"/>
        <v/>
      </c>
      <c r="I161" s="4"/>
      <c r="J161" s="15"/>
      <c r="K161" s="17"/>
      <c r="L161" s="17"/>
      <c r="M161" s="18"/>
      <c r="O161" s="20" t="str">
        <f t="shared" si="13"/>
        <v>LI721005</v>
      </c>
      <c r="P161" s="20" t="str">
        <f t="shared" si="18"/>
        <v>REACTION_Graphic Display.xgml</v>
      </c>
      <c r="Q161" s="17"/>
      <c r="R161" s="29">
        <f t="shared" si="14"/>
        <v>874</v>
      </c>
      <c r="S161" s="29">
        <f t="shared" si="15"/>
        <v>288</v>
      </c>
    </row>
    <row r="162" spans="3:19" x14ac:dyDescent="0.25">
      <c r="C162" s="10"/>
      <c r="D162" s="14" t="s">
        <v>1865</v>
      </c>
      <c r="E162" s="4"/>
      <c r="F162" s="5">
        <v>0</v>
      </c>
      <c r="G162" s="7">
        <f t="shared" si="16"/>
        <v>0</v>
      </c>
      <c r="H162" s="6" t="str">
        <f t="shared" si="17"/>
        <v/>
      </c>
      <c r="I162" s="4"/>
      <c r="J162" s="15"/>
      <c r="K162" s="17"/>
      <c r="L162" s="17"/>
      <c r="M162" s="18"/>
      <c r="O162" s="20" t="str">
        <f t="shared" si="13"/>
        <v>LI721008</v>
      </c>
      <c r="P162" s="20" t="str">
        <f t="shared" si="18"/>
        <v>R7040-2B_Overview Display.xgml</v>
      </c>
      <c r="Q162" s="17"/>
      <c r="R162" s="29">
        <f t="shared" si="14"/>
        <v>485</v>
      </c>
      <c r="S162" s="29">
        <f t="shared" si="15"/>
        <v>610</v>
      </c>
    </row>
    <row r="163" spans="3:19" x14ac:dyDescent="0.25">
      <c r="C163" s="10"/>
      <c r="D163" s="14" t="s">
        <v>1866</v>
      </c>
      <c r="E163" s="4"/>
      <c r="F163" s="5">
        <v>0</v>
      </c>
      <c r="G163" s="7">
        <f t="shared" si="16"/>
        <v>0</v>
      </c>
      <c r="H163" s="6" t="str">
        <f t="shared" si="17"/>
        <v/>
      </c>
      <c r="I163" s="4"/>
      <c r="J163" s="15"/>
      <c r="K163" s="17"/>
      <c r="L163" s="17"/>
      <c r="M163" s="18"/>
      <c r="O163" s="20" t="str">
        <f t="shared" si="13"/>
        <v>LI722005</v>
      </c>
      <c r="P163" s="20" t="str">
        <f t="shared" si="18"/>
        <v>REACTION_Graphic Display.xgml</v>
      </c>
      <c r="Q163" s="17"/>
      <c r="R163" s="29">
        <f t="shared" si="14"/>
        <v>1109</v>
      </c>
      <c r="S163" s="29">
        <f t="shared" si="15"/>
        <v>288</v>
      </c>
    </row>
    <row r="164" spans="3:19" x14ac:dyDescent="0.25">
      <c r="C164" s="10"/>
      <c r="D164" s="14" t="s">
        <v>1867</v>
      </c>
      <c r="E164" s="4"/>
      <c r="F164" s="5">
        <v>0</v>
      </c>
      <c r="G164" s="7">
        <f t="shared" si="16"/>
        <v>0</v>
      </c>
      <c r="H164" s="6" t="str">
        <f t="shared" si="17"/>
        <v/>
      </c>
      <c r="I164" s="4"/>
      <c r="J164" s="15"/>
      <c r="K164" s="17"/>
      <c r="L164" s="17"/>
      <c r="M164" s="18"/>
      <c r="O164" s="20" t="str">
        <f t="shared" si="13"/>
        <v>LI722008</v>
      </c>
      <c r="P164" s="20" t="str">
        <f t="shared" si="18"/>
        <v>R7040-2B_Overview Display.xgml</v>
      </c>
      <c r="Q164" s="17"/>
      <c r="R164" s="29">
        <f t="shared" si="14"/>
        <v>872</v>
      </c>
      <c r="S164" s="29">
        <f t="shared" si="15"/>
        <v>606</v>
      </c>
    </row>
    <row r="165" spans="3:19" x14ac:dyDescent="0.25">
      <c r="C165" s="10"/>
      <c r="D165" s="14" t="s">
        <v>1868</v>
      </c>
      <c r="E165" s="4"/>
      <c r="F165" s="5">
        <v>2</v>
      </c>
      <c r="G165" s="7">
        <f t="shared" si="16"/>
        <v>-2</v>
      </c>
      <c r="H165" s="6">
        <f t="shared" si="17"/>
        <v>-1</v>
      </c>
      <c r="I165" s="4"/>
      <c r="J165" s="15"/>
      <c r="K165" s="17"/>
      <c r="L165" s="17"/>
      <c r="M165" s="18"/>
      <c r="O165" s="20" t="str">
        <f t="shared" si="13"/>
        <v>LI722014</v>
      </c>
      <c r="P165" s="20" t="str">
        <f t="shared" si="18"/>
        <v>Not Found</v>
      </c>
      <c r="Q165" s="17"/>
      <c r="R165" s="29" t="str">
        <f t="shared" si="14"/>
        <v>Not Found</v>
      </c>
      <c r="S165" s="29" t="str">
        <f t="shared" si="15"/>
        <v>Not Found</v>
      </c>
    </row>
    <row r="166" spans="3:19" x14ac:dyDescent="0.25">
      <c r="C166" s="10"/>
      <c r="D166" s="14" t="s">
        <v>1869</v>
      </c>
      <c r="E166" s="4"/>
      <c r="F166" s="5">
        <v>2</v>
      </c>
      <c r="G166" s="7">
        <f t="shared" si="16"/>
        <v>-2</v>
      </c>
      <c r="H166" s="6">
        <f t="shared" si="17"/>
        <v>-1</v>
      </c>
      <c r="I166" s="4"/>
      <c r="J166" s="15"/>
      <c r="K166" s="17"/>
      <c r="L166" s="17"/>
      <c r="M166" s="18"/>
      <c r="O166" s="20" t="str">
        <f t="shared" si="13"/>
        <v>LI722015</v>
      </c>
      <c r="P166" s="20" t="str">
        <f t="shared" si="18"/>
        <v>Not Found</v>
      </c>
      <c r="Q166" s="17"/>
      <c r="R166" s="29" t="str">
        <f t="shared" si="14"/>
        <v>Not Found</v>
      </c>
      <c r="S166" s="29" t="str">
        <f t="shared" si="15"/>
        <v>Not Found</v>
      </c>
    </row>
    <row r="167" spans="3:19" x14ac:dyDescent="0.25">
      <c r="C167" s="10"/>
      <c r="D167" s="14" t="s">
        <v>1870</v>
      </c>
      <c r="E167" s="4"/>
      <c r="F167" s="5">
        <v>0</v>
      </c>
      <c r="G167" s="7">
        <f t="shared" si="16"/>
        <v>0</v>
      </c>
      <c r="H167" s="6" t="str">
        <f t="shared" si="17"/>
        <v/>
      </c>
      <c r="I167" s="4"/>
      <c r="J167" s="15"/>
      <c r="K167" s="17"/>
      <c r="L167" s="17"/>
      <c r="M167" s="18"/>
      <c r="O167" s="20" t="str">
        <f t="shared" si="13"/>
        <v>LI722202</v>
      </c>
      <c r="P167" s="20" t="str">
        <f t="shared" si="18"/>
        <v>R7040-2B_Overview Display.xgml</v>
      </c>
      <c r="Q167" s="17"/>
      <c r="R167" s="29">
        <f t="shared" si="14"/>
        <v>1162</v>
      </c>
      <c r="S167" s="29">
        <f t="shared" si="15"/>
        <v>169</v>
      </c>
    </row>
    <row r="168" spans="3:19" x14ac:dyDescent="0.25">
      <c r="C168" s="10"/>
      <c r="D168" s="14" t="s">
        <v>1871</v>
      </c>
      <c r="E168" s="4"/>
      <c r="F168" s="5">
        <v>0</v>
      </c>
      <c r="G168" s="7">
        <f t="shared" si="16"/>
        <v>0</v>
      </c>
      <c r="H168" s="6" t="str">
        <f t="shared" si="17"/>
        <v/>
      </c>
      <c r="I168" s="4"/>
      <c r="J168" s="15"/>
      <c r="K168" s="17"/>
      <c r="L168" s="17"/>
      <c r="M168" s="18"/>
      <c r="O168" s="20" t="str">
        <f t="shared" si="13"/>
        <v>LI730007</v>
      </c>
      <c r="P168" s="20" t="str">
        <f t="shared" si="18"/>
        <v>T7300_Overview_Display.xgml</v>
      </c>
      <c r="Q168" s="17"/>
      <c r="R168" s="29">
        <f t="shared" si="14"/>
        <v>43</v>
      </c>
      <c r="S168" s="29">
        <f t="shared" si="15"/>
        <v>693</v>
      </c>
    </row>
    <row r="169" spans="3:19" x14ac:dyDescent="0.25">
      <c r="C169" s="10"/>
      <c r="D169" s="14" t="s">
        <v>1872</v>
      </c>
      <c r="E169" s="4"/>
      <c r="F169" s="5">
        <v>0</v>
      </c>
      <c r="G169" s="7">
        <f t="shared" si="16"/>
        <v>0</v>
      </c>
      <c r="H169" s="6" t="str">
        <f t="shared" si="17"/>
        <v/>
      </c>
      <c r="I169" s="4"/>
      <c r="J169" s="15"/>
      <c r="K169" s="17"/>
      <c r="L169" s="17"/>
      <c r="M169" s="18"/>
      <c r="O169" s="20" t="str">
        <f t="shared" si="13"/>
        <v>LI730010</v>
      </c>
      <c r="P169" s="20" t="str">
        <f t="shared" si="18"/>
        <v>T7300_Overview_Display.xgml</v>
      </c>
      <c r="Q169" s="17"/>
      <c r="R169" s="29">
        <f t="shared" si="14"/>
        <v>680</v>
      </c>
      <c r="S169" s="29">
        <f t="shared" si="15"/>
        <v>660</v>
      </c>
    </row>
    <row r="170" spans="3:19" x14ac:dyDescent="0.25">
      <c r="C170" s="10"/>
      <c r="D170" s="14" t="s">
        <v>1873</v>
      </c>
      <c r="E170" s="4"/>
      <c r="F170" s="5">
        <v>2</v>
      </c>
      <c r="G170" s="7">
        <f t="shared" si="16"/>
        <v>-2</v>
      </c>
      <c r="H170" s="6">
        <f t="shared" si="17"/>
        <v>-1</v>
      </c>
      <c r="I170" s="4"/>
      <c r="J170" s="15"/>
      <c r="K170" s="17"/>
      <c r="L170" s="17"/>
      <c r="M170" s="18"/>
      <c r="O170" s="20" t="str">
        <f t="shared" si="13"/>
        <v>LI730029</v>
      </c>
      <c r="P170" s="20" t="str">
        <f t="shared" si="18"/>
        <v>Not Found</v>
      </c>
      <c r="Q170" s="17"/>
      <c r="R170" s="29" t="str">
        <f t="shared" si="14"/>
        <v>Not Found</v>
      </c>
      <c r="S170" s="29" t="str">
        <f t="shared" si="15"/>
        <v>Not Found</v>
      </c>
    </row>
    <row r="171" spans="3:19" x14ac:dyDescent="0.25">
      <c r="C171" s="10"/>
      <c r="D171" s="14" t="s">
        <v>1874</v>
      </c>
      <c r="E171" s="4"/>
      <c r="F171" s="5">
        <v>2</v>
      </c>
      <c r="G171" s="7">
        <f t="shared" si="16"/>
        <v>-2</v>
      </c>
      <c r="H171" s="6">
        <f t="shared" si="17"/>
        <v>-1</v>
      </c>
      <c r="I171" s="4"/>
      <c r="J171" s="15"/>
      <c r="K171" s="17"/>
      <c r="L171" s="17"/>
      <c r="M171" s="18"/>
      <c r="O171" s="20" t="str">
        <f t="shared" si="13"/>
        <v>LI730030</v>
      </c>
      <c r="P171" s="20" t="str">
        <f t="shared" si="18"/>
        <v>Not Found</v>
      </c>
      <c r="Q171" s="17"/>
      <c r="R171" s="29" t="str">
        <f t="shared" si="14"/>
        <v>Not Found</v>
      </c>
      <c r="S171" s="29" t="str">
        <f t="shared" si="15"/>
        <v>Not Found</v>
      </c>
    </row>
    <row r="172" spans="3:19" x14ac:dyDescent="0.25">
      <c r="C172" s="10"/>
      <c r="D172" s="14" t="s">
        <v>1875</v>
      </c>
      <c r="E172" s="4"/>
      <c r="F172" s="5">
        <v>0</v>
      </c>
      <c r="G172" s="7">
        <f t="shared" si="16"/>
        <v>0</v>
      </c>
      <c r="H172" s="6" t="str">
        <f t="shared" si="17"/>
        <v/>
      </c>
      <c r="I172" s="4"/>
      <c r="J172" s="15"/>
      <c r="K172" s="17"/>
      <c r="L172" s="17"/>
      <c r="M172" s="18"/>
      <c r="O172" s="20" t="str">
        <f t="shared" si="13"/>
        <v>LI730201</v>
      </c>
      <c r="P172" s="20" t="str">
        <f t="shared" si="18"/>
        <v>T7300_Overview_Display.xgml</v>
      </c>
      <c r="Q172" s="17"/>
      <c r="R172" s="29">
        <f t="shared" si="14"/>
        <v>1000</v>
      </c>
      <c r="S172" s="29">
        <f t="shared" si="15"/>
        <v>424</v>
      </c>
    </row>
    <row r="173" spans="3:19" x14ac:dyDescent="0.25">
      <c r="C173" s="10"/>
      <c r="D173" s="14" t="s">
        <v>1876</v>
      </c>
      <c r="E173" s="4"/>
      <c r="F173" s="5">
        <v>0</v>
      </c>
      <c r="G173" s="7">
        <f t="shared" si="16"/>
        <v>0</v>
      </c>
      <c r="H173" s="6" t="str">
        <f t="shared" si="17"/>
        <v/>
      </c>
      <c r="I173" s="4"/>
      <c r="J173" s="15"/>
      <c r="K173" s="17"/>
      <c r="L173" s="17"/>
      <c r="M173" s="18"/>
      <c r="O173" s="20" t="str">
        <f t="shared" si="13"/>
        <v>LI730402A</v>
      </c>
      <c r="P173" s="20" t="str">
        <f t="shared" si="18"/>
        <v>Not Found</v>
      </c>
      <c r="Q173" s="17"/>
      <c r="R173" s="29" t="str">
        <f t="shared" si="14"/>
        <v>Not Found</v>
      </c>
      <c r="S173" s="29" t="str">
        <f t="shared" si="15"/>
        <v>Not Found</v>
      </c>
    </row>
    <row r="174" spans="3:19" x14ac:dyDescent="0.25">
      <c r="C174" s="10"/>
      <c r="D174" s="14" t="s">
        <v>1877</v>
      </c>
      <c r="E174" s="4"/>
      <c r="F174" s="5">
        <v>0</v>
      </c>
      <c r="G174" s="7">
        <f t="shared" si="16"/>
        <v>0</v>
      </c>
      <c r="H174" s="6" t="str">
        <f t="shared" si="17"/>
        <v/>
      </c>
      <c r="I174" s="4"/>
      <c r="J174" s="15"/>
      <c r="K174" s="17"/>
      <c r="L174" s="17"/>
      <c r="M174" s="18"/>
      <c r="O174" s="20" t="str">
        <f t="shared" si="13"/>
        <v>LI730402B</v>
      </c>
      <c r="P174" s="20" t="str">
        <f t="shared" si="18"/>
        <v>Not Found</v>
      </c>
      <c r="Q174" s="17"/>
      <c r="R174" s="29" t="str">
        <f t="shared" si="14"/>
        <v>Not Found</v>
      </c>
      <c r="S174" s="29" t="str">
        <f t="shared" si="15"/>
        <v>Not Found</v>
      </c>
    </row>
    <row r="175" spans="3:19" x14ac:dyDescent="0.25">
      <c r="C175" s="10"/>
      <c r="D175" s="14" t="s">
        <v>1878</v>
      </c>
      <c r="E175" s="4"/>
      <c r="F175" s="5">
        <v>2</v>
      </c>
      <c r="G175" s="7">
        <f t="shared" si="16"/>
        <v>-2</v>
      </c>
      <c r="H175" s="6">
        <f t="shared" si="17"/>
        <v>-1</v>
      </c>
      <c r="I175" s="4"/>
      <c r="J175" s="15"/>
      <c r="K175" s="17"/>
      <c r="L175" s="17"/>
      <c r="M175" s="18"/>
      <c r="O175" s="20" t="str">
        <f t="shared" si="13"/>
        <v>LI730425</v>
      </c>
      <c r="P175" s="20" t="str">
        <f t="shared" si="18"/>
        <v>Not Found</v>
      </c>
      <c r="Q175" s="17"/>
      <c r="R175" s="29" t="str">
        <f t="shared" si="14"/>
        <v>Not Found</v>
      </c>
      <c r="S175" s="29" t="str">
        <f t="shared" si="15"/>
        <v>Not Found</v>
      </c>
    </row>
    <row r="176" spans="3:19" x14ac:dyDescent="0.25">
      <c r="C176" s="10"/>
      <c r="D176" s="14" t="s">
        <v>1879</v>
      </c>
      <c r="E176" s="4"/>
      <c r="F176" s="5">
        <v>2</v>
      </c>
      <c r="G176" s="7">
        <f t="shared" si="16"/>
        <v>-2</v>
      </c>
      <c r="H176" s="6">
        <f t="shared" si="17"/>
        <v>-1</v>
      </c>
      <c r="I176" s="4"/>
      <c r="J176" s="15"/>
      <c r="K176" s="17"/>
      <c r="L176" s="17"/>
      <c r="M176" s="18"/>
      <c r="O176" s="20" t="str">
        <f t="shared" si="13"/>
        <v>LI730435</v>
      </c>
      <c r="P176" s="20" t="str">
        <f t="shared" si="18"/>
        <v>Not Found</v>
      </c>
      <c r="Q176" s="17"/>
      <c r="R176" s="29" t="str">
        <f t="shared" si="14"/>
        <v>Not Found</v>
      </c>
      <c r="S176" s="29" t="str">
        <f t="shared" si="15"/>
        <v>Not Found</v>
      </c>
    </row>
    <row r="177" spans="3:19" x14ac:dyDescent="0.25">
      <c r="C177" s="10"/>
      <c r="D177" s="14" t="s">
        <v>1880</v>
      </c>
      <c r="E177" s="4"/>
      <c r="F177" s="5">
        <v>0</v>
      </c>
      <c r="G177" s="7">
        <f t="shared" si="16"/>
        <v>0</v>
      </c>
      <c r="H177" s="6" t="str">
        <f t="shared" si="17"/>
        <v/>
      </c>
      <c r="I177" s="4"/>
      <c r="J177" s="15"/>
      <c r="K177" s="17"/>
      <c r="L177" s="17"/>
      <c r="M177" s="18"/>
      <c r="O177" s="20" t="str">
        <f t="shared" si="13"/>
        <v>LI740012</v>
      </c>
      <c r="P177" s="20" t="str">
        <f t="shared" si="18"/>
        <v>T7400_Overview_Display.xgml</v>
      </c>
      <c r="Q177" s="17"/>
      <c r="R177" s="29">
        <f t="shared" si="14"/>
        <v>24</v>
      </c>
      <c r="S177" s="29">
        <f t="shared" si="15"/>
        <v>729</v>
      </c>
    </row>
    <row r="178" spans="3:19" x14ac:dyDescent="0.25">
      <c r="C178" s="10"/>
      <c r="D178" s="14" t="s">
        <v>1881</v>
      </c>
      <c r="E178" s="4"/>
      <c r="F178" s="5">
        <v>0</v>
      </c>
      <c r="G178" s="7">
        <f t="shared" si="16"/>
        <v>0</v>
      </c>
      <c r="H178" s="6" t="str">
        <f t="shared" si="17"/>
        <v/>
      </c>
      <c r="I178" s="4"/>
      <c r="J178" s="15"/>
      <c r="K178" s="17"/>
      <c r="L178" s="17"/>
      <c r="M178" s="18"/>
      <c r="O178" s="20" t="str">
        <f t="shared" si="13"/>
        <v>LI740015</v>
      </c>
      <c r="P178" s="20" t="str">
        <f t="shared" si="18"/>
        <v>T7400_Overview_Display.xgml</v>
      </c>
      <c r="Q178" s="17"/>
      <c r="R178" s="29">
        <f t="shared" si="14"/>
        <v>675</v>
      </c>
      <c r="S178" s="29">
        <f t="shared" si="15"/>
        <v>601</v>
      </c>
    </row>
    <row r="179" spans="3:19" x14ac:dyDescent="0.25">
      <c r="C179" s="10"/>
      <c r="D179" s="14" t="s">
        <v>1882</v>
      </c>
      <c r="E179" s="4"/>
      <c r="F179" s="5">
        <v>2</v>
      </c>
      <c r="G179" s="7">
        <f t="shared" si="16"/>
        <v>-2</v>
      </c>
      <c r="H179" s="6">
        <f t="shared" si="17"/>
        <v>-1</v>
      </c>
      <c r="I179" s="4"/>
      <c r="J179" s="15"/>
      <c r="K179" s="17"/>
      <c r="L179" s="17"/>
      <c r="M179" s="18"/>
      <c r="O179" s="20" t="str">
        <f t="shared" si="13"/>
        <v>LI740023</v>
      </c>
      <c r="P179" s="20" t="str">
        <f t="shared" si="18"/>
        <v>Not Found</v>
      </c>
      <c r="Q179" s="17"/>
      <c r="R179" s="29" t="str">
        <f t="shared" si="14"/>
        <v>Not Found</v>
      </c>
      <c r="S179" s="29" t="str">
        <f t="shared" si="15"/>
        <v>Not Found</v>
      </c>
    </row>
    <row r="180" spans="3:19" x14ac:dyDescent="0.25">
      <c r="C180" s="10"/>
      <c r="D180" s="14" t="s">
        <v>1883</v>
      </c>
      <c r="E180" s="4"/>
      <c r="F180" s="5">
        <v>0</v>
      </c>
      <c r="G180" s="7">
        <f t="shared" si="16"/>
        <v>0</v>
      </c>
      <c r="H180" s="6" t="str">
        <f t="shared" si="17"/>
        <v/>
      </c>
      <c r="I180" s="4"/>
      <c r="J180" s="15"/>
      <c r="K180" s="17"/>
      <c r="L180" s="17"/>
      <c r="M180" s="18"/>
      <c r="O180" s="20" t="str">
        <f t="shared" si="13"/>
        <v>LI740101</v>
      </c>
      <c r="P180" s="20" t="str">
        <f t="shared" si="18"/>
        <v>T7400_Overview_Display.xgml</v>
      </c>
      <c r="Q180" s="17"/>
      <c r="R180" s="29">
        <f t="shared" si="14"/>
        <v>390</v>
      </c>
      <c r="S180" s="29">
        <f t="shared" si="15"/>
        <v>327</v>
      </c>
    </row>
    <row r="181" spans="3:19" x14ac:dyDescent="0.25">
      <c r="C181" s="10"/>
      <c r="D181" s="14" t="s">
        <v>1884</v>
      </c>
      <c r="E181" s="4"/>
      <c r="F181" s="5">
        <v>2</v>
      </c>
      <c r="G181" s="7">
        <f t="shared" si="16"/>
        <v>-2</v>
      </c>
      <c r="H181" s="6">
        <f t="shared" si="17"/>
        <v>-1</v>
      </c>
      <c r="I181" s="4"/>
      <c r="J181" s="15"/>
      <c r="K181" s="17"/>
      <c r="L181" s="17"/>
      <c r="M181" s="18"/>
      <c r="O181" s="20" t="str">
        <f t="shared" si="13"/>
        <v>LI740125</v>
      </c>
      <c r="P181" s="20" t="str">
        <f t="shared" si="18"/>
        <v>Not Found</v>
      </c>
      <c r="Q181" s="17"/>
      <c r="R181" s="29" t="str">
        <f t="shared" si="14"/>
        <v>Not Found</v>
      </c>
      <c r="S181" s="29" t="str">
        <f t="shared" si="15"/>
        <v>Not Found</v>
      </c>
    </row>
    <row r="182" spans="3:19" x14ac:dyDescent="0.25">
      <c r="C182" s="10"/>
      <c r="D182" s="14" t="s">
        <v>1885</v>
      </c>
      <c r="E182" s="4"/>
      <c r="F182" s="5">
        <v>2</v>
      </c>
      <c r="G182" s="7">
        <f t="shared" si="16"/>
        <v>-2</v>
      </c>
      <c r="H182" s="6">
        <f t="shared" si="17"/>
        <v>-1</v>
      </c>
      <c r="I182" s="4"/>
      <c r="J182" s="15"/>
      <c r="K182" s="17"/>
      <c r="L182" s="17"/>
      <c r="M182" s="18"/>
      <c r="O182" s="20" t="str">
        <f t="shared" si="13"/>
        <v>LI740135</v>
      </c>
      <c r="P182" s="20" t="str">
        <f t="shared" si="18"/>
        <v>Not Found</v>
      </c>
      <c r="Q182" s="17"/>
      <c r="R182" s="29" t="str">
        <f t="shared" si="14"/>
        <v>Not Found</v>
      </c>
      <c r="S182" s="29" t="str">
        <f t="shared" si="15"/>
        <v>Not Found</v>
      </c>
    </row>
    <row r="183" spans="3:19" x14ac:dyDescent="0.25">
      <c r="C183" s="10"/>
      <c r="D183" s="14" t="s">
        <v>1886</v>
      </c>
      <c r="E183" s="4"/>
      <c r="F183" s="5">
        <v>0</v>
      </c>
      <c r="G183" s="7">
        <f t="shared" si="16"/>
        <v>0</v>
      </c>
      <c r="H183" s="6" t="str">
        <f t="shared" si="17"/>
        <v/>
      </c>
      <c r="I183" s="4"/>
      <c r="J183" s="15"/>
      <c r="K183" s="17"/>
      <c r="L183" s="17"/>
      <c r="M183" s="18"/>
      <c r="O183" s="20" t="str">
        <f t="shared" si="13"/>
        <v>LI740203</v>
      </c>
      <c r="P183" s="20" t="str">
        <f t="shared" si="18"/>
        <v>T7400_Overview_Display.xgml</v>
      </c>
      <c r="Q183" s="17"/>
      <c r="R183" s="29">
        <f t="shared" si="14"/>
        <v>1070</v>
      </c>
      <c r="S183" s="29">
        <f t="shared" si="15"/>
        <v>363</v>
      </c>
    </row>
    <row r="184" spans="3:19" x14ac:dyDescent="0.25">
      <c r="C184" s="10"/>
      <c r="D184" s="14" t="s">
        <v>1887</v>
      </c>
      <c r="E184" s="4"/>
      <c r="F184" s="5">
        <v>2</v>
      </c>
      <c r="G184" s="7">
        <f t="shared" si="16"/>
        <v>-2</v>
      </c>
      <c r="H184" s="6">
        <f t="shared" si="17"/>
        <v>-1</v>
      </c>
      <c r="I184" s="4"/>
      <c r="J184" s="15"/>
      <c r="K184" s="17"/>
      <c r="L184" s="17"/>
      <c r="M184" s="18"/>
      <c r="O184" s="20" t="str">
        <f t="shared" si="13"/>
        <v>LI740229</v>
      </c>
      <c r="P184" s="20" t="str">
        <f t="shared" si="18"/>
        <v>Not Found</v>
      </c>
      <c r="Q184" s="17"/>
      <c r="R184" s="29" t="str">
        <f t="shared" si="14"/>
        <v>Not Found</v>
      </c>
      <c r="S184" s="29" t="str">
        <f t="shared" si="15"/>
        <v>Not Found</v>
      </c>
    </row>
    <row r="185" spans="3:19" x14ac:dyDescent="0.25">
      <c r="C185" s="10"/>
      <c r="D185" s="14" t="s">
        <v>1888</v>
      </c>
      <c r="E185" s="4"/>
      <c r="F185" s="5">
        <v>2</v>
      </c>
      <c r="G185" s="7">
        <f t="shared" si="16"/>
        <v>-2</v>
      </c>
      <c r="H185" s="6">
        <f t="shared" si="17"/>
        <v>-1</v>
      </c>
      <c r="I185" s="4"/>
      <c r="J185" s="15"/>
      <c r="K185" s="17"/>
      <c r="L185" s="17"/>
      <c r="M185" s="18"/>
      <c r="O185" s="20" t="str">
        <f t="shared" si="13"/>
        <v>LI740239</v>
      </c>
      <c r="P185" s="20" t="str">
        <f t="shared" si="18"/>
        <v>Not Found</v>
      </c>
      <c r="Q185" s="17"/>
      <c r="R185" s="29" t="str">
        <f t="shared" si="14"/>
        <v>Not Found</v>
      </c>
      <c r="S185" s="29" t="str">
        <f t="shared" si="15"/>
        <v>Not Found</v>
      </c>
    </row>
    <row r="186" spans="3:19" x14ac:dyDescent="0.25">
      <c r="C186" s="10"/>
      <c r="D186" s="14" t="s">
        <v>1889</v>
      </c>
      <c r="E186" s="4"/>
      <c r="F186" s="5">
        <v>0</v>
      </c>
      <c r="G186" s="7">
        <f t="shared" si="16"/>
        <v>0</v>
      </c>
      <c r="H186" s="6" t="str">
        <f t="shared" si="17"/>
        <v/>
      </c>
      <c r="I186" s="4"/>
      <c r="J186" s="15"/>
      <c r="K186" s="17"/>
      <c r="L186" s="17"/>
      <c r="M186" s="18"/>
      <c r="O186" s="20" t="str">
        <f t="shared" si="13"/>
        <v>LI741002A</v>
      </c>
      <c r="P186" s="20" t="str">
        <f t="shared" si="18"/>
        <v>Not Found</v>
      </c>
      <c r="Q186" s="17"/>
      <c r="R186" s="29" t="str">
        <f t="shared" si="14"/>
        <v>Not Found</v>
      </c>
      <c r="S186" s="29" t="str">
        <f t="shared" si="15"/>
        <v>Not Found</v>
      </c>
    </row>
    <row r="187" spans="3:19" x14ac:dyDescent="0.25">
      <c r="C187" s="10"/>
      <c r="D187" s="14" t="s">
        <v>1890</v>
      </c>
      <c r="E187" s="4"/>
      <c r="F187" s="5">
        <v>0</v>
      </c>
      <c r="G187" s="7">
        <f t="shared" si="16"/>
        <v>0</v>
      </c>
      <c r="H187" s="6" t="str">
        <f t="shared" si="17"/>
        <v/>
      </c>
      <c r="I187" s="4"/>
      <c r="J187" s="15"/>
      <c r="K187" s="17"/>
      <c r="L187" s="17"/>
      <c r="M187" s="18"/>
      <c r="O187" s="20" t="str">
        <f t="shared" si="13"/>
        <v>LI741002B</v>
      </c>
      <c r="P187" s="20" t="str">
        <f t="shared" si="18"/>
        <v>Not Found</v>
      </c>
      <c r="Q187" s="17"/>
      <c r="R187" s="29" t="str">
        <f t="shared" si="14"/>
        <v>Not Found</v>
      </c>
      <c r="S187" s="29" t="str">
        <f t="shared" si="15"/>
        <v>Not Found</v>
      </c>
    </row>
    <row r="188" spans="3:19" ht="30" x14ac:dyDescent="0.25">
      <c r="C188" s="10"/>
      <c r="D188" s="14" t="s">
        <v>1891</v>
      </c>
      <c r="E188" s="4"/>
      <c r="F188" s="5">
        <v>2</v>
      </c>
      <c r="G188" s="7">
        <f t="shared" si="16"/>
        <v>-2</v>
      </c>
      <c r="H188" s="6">
        <f t="shared" si="17"/>
        <v>-1</v>
      </c>
      <c r="I188" s="4"/>
      <c r="J188" s="15" t="s">
        <v>2182</v>
      </c>
      <c r="K188" s="17"/>
      <c r="L188" s="17"/>
      <c r="M188" s="18"/>
      <c r="O188" s="20" t="str">
        <f t="shared" si="13"/>
        <v>LI741017</v>
      </c>
      <c r="P188" s="20" t="str">
        <f t="shared" si="18"/>
        <v>V7410_Overview  Display.xgml</v>
      </c>
      <c r="Q188" s="17"/>
      <c r="R188" s="29">
        <f t="shared" si="14"/>
        <v>808</v>
      </c>
      <c r="S188" s="29">
        <f t="shared" si="15"/>
        <v>472</v>
      </c>
    </row>
    <row r="189" spans="3:19" ht="30" x14ac:dyDescent="0.25">
      <c r="C189" s="10"/>
      <c r="D189" s="14" t="s">
        <v>1892</v>
      </c>
      <c r="E189" s="4"/>
      <c r="F189" s="5">
        <v>2</v>
      </c>
      <c r="G189" s="7">
        <f t="shared" si="16"/>
        <v>-2</v>
      </c>
      <c r="H189" s="6">
        <f t="shared" si="17"/>
        <v>-1</v>
      </c>
      <c r="I189" s="4"/>
      <c r="J189" s="15" t="s">
        <v>2182</v>
      </c>
      <c r="K189" s="17"/>
      <c r="L189" s="17"/>
      <c r="M189" s="18"/>
      <c r="O189" s="20" t="str">
        <f t="shared" si="13"/>
        <v>LI742025</v>
      </c>
      <c r="P189" s="20" t="str">
        <f t="shared" si="18"/>
        <v>V7410_Overview  Display.xgml</v>
      </c>
      <c r="Q189" s="17"/>
      <c r="R189" s="29">
        <f t="shared" si="14"/>
        <v>784</v>
      </c>
      <c r="S189" s="29">
        <f t="shared" si="15"/>
        <v>736</v>
      </c>
    </row>
    <row r="190" spans="3:19" x14ac:dyDescent="0.25">
      <c r="C190" s="10"/>
      <c r="D190" s="14" t="s">
        <v>1893</v>
      </c>
      <c r="E190" s="4"/>
      <c r="F190" s="5">
        <v>0</v>
      </c>
      <c r="G190" s="7">
        <f t="shared" si="16"/>
        <v>0</v>
      </c>
      <c r="H190" s="6" t="str">
        <f t="shared" si="17"/>
        <v/>
      </c>
      <c r="I190" s="4"/>
      <c r="J190" s="15"/>
      <c r="K190" s="17"/>
      <c r="L190" s="17"/>
      <c r="M190" s="18"/>
      <c r="O190" s="20" t="str">
        <f t="shared" si="13"/>
        <v>LI750012</v>
      </c>
      <c r="P190" s="20" t="str">
        <f t="shared" si="18"/>
        <v>T7500_Overview_Display.xgml</v>
      </c>
      <c r="Q190" s="17"/>
      <c r="R190" s="29">
        <f t="shared" si="14"/>
        <v>24</v>
      </c>
      <c r="S190" s="29">
        <f t="shared" si="15"/>
        <v>729</v>
      </c>
    </row>
    <row r="191" spans="3:19" x14ac:dyDescent="0.25">
      <c r="C191" s="10"/>
      <c r="D191" s="14" t="s">
        <v>1894</v>
      </c>
      <c r="E191" s="4"/>
      <c r="F191" s="5">
        <v>0</v>
      </c>
      <c r="G191" s="7">
        <f t="shared" si="16"/>
        <v>0</v>
      </c>
      <c r="H191" s="6" t="str">
        <f t="shared" si="17"/>
        <v/>
      </c>
      <c r="I191" s="4"/>
      <c r="J191" s="15"/>
      <c r="K191" s="17"/>
      <c r="L191" s="17"/>
      <c r="M191" s="18"/>
      <c r="O191" s="20" t="str">
        <f t="shared" si="13"/>
        <v>LI750015</v>
      </c>
      <c r="P191" s="20" t="str">
        <f t="shared" si="18"/>
        <v>T7500_Overview_Display.xgml</v>
      </c>
      <c r="Q191" s="17"/>
      <c r="R191" s="29">
        <f t="shared" si="14"/>
        <v>729</v>
      </c>
      <c r="S191" s="29">
        <f t="shared" si="15"/>
        <v>603</v>
      </c>
    </row>
    <row r="192" spans="3:19" x14ac:dyDescent="0.25">
      <c r="C192" s="10"/>
      <c r="D192" s="14" t="s">
        <v>1895</v>
      </c>
      <c r="E192" s="4"/>
      <c r="F192" s="5">
        <v>2</v>
      </c>
      <c r="G192" s="7">
        <f t="shared" si="16"/>
        <v>-2</v>
      </c>
      <c r="H192" s="6">
        <f t="shared" si="17"/>
        <v>-1</v>
      </c>
      <c r="I192" s="4"/>
      <c r="J192" s="15"/>
      <c r="K192" s="17"/>
      <c r="L192" s="17"/>
      <c r="M192" s="18"/>
      <c r="O192" s="20" t="str">
        <f t="shared" si="13"/>
        <v>LI750024</v>
      </c>
      <c r="P192" s="20" t="str">
        <f t="shared" si="18"/>
        <v>Not Found</v>
      </c>
      <c r="Q192" s="17"/>
      <c r="R192" s="29" t="str">
        <f t="shared" si="14"/>
        <v>Not Found</v>
      </c>
      <c r="S192" s="29" t="str">
        <f t="shared" si="15"/>
        <v>Not Found</v>
      </c>
    </row>
    <row r="193" spans="3:19" x14ac:dyDescent="0.25">
      <c r="C193" s="10"/>
      <c r="D193" s="14" t="s">
        <v>1896</v>
      </c>
      <c r="E193" s="4"/>
      <c r="F193" s="5">
        <v>0</v>
      </c>
      <c r="G193" s="7">
        <f t="shared" si="16"/>
        <v>0</v>
      </c>
      <c r="H193" s="6" t="str">
        <f t="shared" si="17"/>
        <v/>
      </c>
      <c r="I193" s="4"/>
      <c r="J193" s="15"/>
      <c r="K193" s="17"/>
      <c r="L193" s="17"/>
      <c r="M193" s="18"/>
      <c r="O193" s="20" t="str">
        <f t="shared" si="13"/>
        <v>LI750101</v>
      </c>
      <c r="P193" s="20" t="str">
        <f t="shared" si="18"/>
        <v>T7500_Overview_Display.xgml</v>
      </c>
      <c r="Q193" s="17"/>
      <c r="R193" s="29">
        <f t="shared" si="14"/>
        <v>392</v>
      </c>
      <c r="S193" s="29">
        <f t="shared" si="15"/>
        <v>330</v>
      </c>
    </row>
    <row r="194" spans="3:19" x14ac:dyDescent="0.25">
      <c r="C194" s="10"/>
      <c r="D194" s="14" t="s">
        <v>1897</v>
      </c>
      <c r="E194" s="4"/>
      <c r="F194" s="5">
        <v>2</v>
      </c>
      <c r="G194" s="7">
        <f t="shared" si="16"/>
        <v>-2</v>
      </c>
      <c r="H194" s="6">
        <f t="shared" si="17"/>
        <v>-1</v>
      </c>
      <c r="I194" s="4"/>
      <c r="J194" s="15"/>
      <c r="K194" s="17"/>
      <c r="L194" s="17"/>
      <c r="M194" s="18"/>
      <c r="O194" s="20" t="str">
        <f t="shared" si="13"/>
        <v>LI750125</v>
      </c>
      <c r="P194" s="20" t="str">
        <f t="shared" si="18"/>
        <v>Not Found</v>
      </c>
      <c r="Q194" s="17"/>
      <c r="R194" s="29" t="str">
        <f t="shared" si="14"/>
        <v>Not Found</v>
      </c>
      <c r="S194" s="29" t="str">
        <f t="shared" si="15"/>
        <v>Not Found</v>
      </c>
    </row>
    <row r="195" spans="3:19" x14ac:dyDescent="0.25">
      <c r="C195" s="10"/>
      <c r="D195" s="14" t="s">
        <v>1898</v>
      </c>
      <c r="E195" s="4"/>
      <c r="F195" s="5">
        <v>2</v>
      </c>
      <c r="G195" s="7">
        <f t="shared" si="16"/>
        <v>-2</v>
      </c>
      <c r="H195" s="6">
        <f t="shared" si="17"/>
        <v>-1</v>
      </c>
      <c r="I195" s="4"/>
      <c r="J195" s="15"/>
      <c r="K195" s="17"/>
      <c r="L195" s="17"/>
      <c r="M195" s="18"/>
      <c r="O195" s="20" t="str">
        <f t="shared" si="13"/>
        <v>LI750135</v>
      </c>
      <c r="P195" s="20" t="str">
        <f t="shared" si="18"/>
        <v>Not Found</v>
      </c>
      <c r="Q195" s="17"/>
      <c r="R195" s="29" t="str">
        <f t="shared" si="14"/>
        <v>Not Found</v>
      </c>
      <c r="S195" s="29" t="str">
        <f t="shared" si="15"/>
        <v>Not Found</v>
      </c>
    </row>
    <row r="196" spans="3:19" x14ac:dyDescent="0.25">
      <c r="C196" s="10"/>
      <c r="D196" s="14" t="s">
        <v>1899</v>
      </c>
      <c r="E196" s="4"/>
      <c r="F196" s="5">
        <v>0</v>
      </c>
      <c r="G196" s="7">
        <f t="shared" si="16"/>
        <v>0</v>
      </c>
      <c r="H196" s="6" t="str">
        <f t="shared" si="17"/>
        <v/>
      </c>
      <c r="I196" s="4"/>
      <c r="J196" s="15"/>
      <c r="K196" s="17"/>
      <c r="L196" s="17"/>
      <c r="M196" s="18"/>
      <c r="O196" s="20" t="str">
        <f t="shared" si="13"/>
        <v>LI750203</v>
      </c>
      <c r="P196" s="20" t="str">
        <f t="shared" si="18"/>
        <v>T7500_Overview_Display.xgml</v>
      </c>
      <c r="Q196" s="17"/>
      <c r="R196" s="29">
        <f t="shared" si="14"/>
        <v>1070</v>
      </c>
      <c r="S196" s="29">
        <f t="shared" si="15"/>
        <v>363</v>
      </c>
    </row>
    <row r="197" spans="3:19" x14ac:dyDescent="0.25">
      <c r="C197" s="10"/>
      <c r="D197" s="14" t="s">
        <v>1900</v>
      </c>
      <c r="E197" s="4"/>
      <c r="F197" s="5">
        <v>2</v>
      </c>
      <c r="G197" s="7">
        <f t="shared" si="16"/>
        <v>-2</v>
      </c>
      <c r="H197" s="6">
        <f t="shared" si="17"/>
        <v>-1</v>
      </c>
      <c r="I197" s="4"/>
      <c r="J197" s="15"/>
      <c r="K197" s="17"/>
      <c r="L197" s="17"/>
      <c r="M197" s="18"/>
      <c r="O197" s="20" t="str">
        <f t="shared" si="13"/>
        <v>LI750229</v>
      </c>
      <c r="P197" s="20" t="str">
        <f t="shared" si="18"/>
        <v>Not Found</v>
      </c>
      <c r="Q197" s="17"/>
      <c r="R197" s="29" t="str">
        <f t="shared" si="14"/>
        <v>Not Found</v>
      </c>
      <c r="S197" s="29" t="str">
        <f t="shared" si="15"/>
        <v>Not Found</v>
      </c>
    </row>
    <row r="198" spans="3:19" x14ac:dyDescent="0.25">
      <c r="C198" s="10"/>
      <c r="D198" s="14" t="s">
        <v>1901</v>
      </c>
      <c r="E198" s="4"/>
      <c r="F198" s="5">
        <v>2</v>
      </c>
      <c r="G198" s="7">
        <f t="shared" si="16"/>
        <v>-2</v>
      </c>
      <c r="H198" s="6">
        <f t="shared" si="17"/>
        <v>-1</v>
      </c>
      <c r="I198" s="4"/>
      <c r="J198" s="15"/>
      <c r="K198" s="17"/>
      <c r="L198" s="17"/>
      <c r="M198" s="18"/>
      <c r="O198" s="20" t="str">
        <f t="shared" si="13"/>
        <v>LI750237</v>
      </c>
      <c r="P198" s="20" t="str">
        <f t="shared" si="18"/>
        <v>Not Found</v>
      </c>
      <c r="Q198" s="17"/>
      <c r="R198" s="29" t="str">
        <f t="shared" si="14"/>
        <v>Not Found</v>
      </c>
      <c r="S198" s="29" t="str">
        <f t="shared" si="15"/>
        <v>Not Found</v>
      </c>
    </row>
    <row r="199" spans="3:19" x14ac:dyDescent="0.25">
      <c r="C199" s="10"/>
      <c r="D199" s="14" t="s">
        <v>1902</v>
      </c>
      <c r="E199" s="4"/>
      <c r="F199" s="5">
        <v>0</v>
      </c>
      <c r="G199" s="7">
        <f t="shared" si="16"/>
        <v>0</v>
      </c>
      <c r="H199" s="6" t="str">
        <f t="shared" si="17"/>
        <v/>
      </c>
      <c r="I199" s="4"/>
      <c r="J199" s="15"/>
      <c r="K199" s="17"/>
      <c r="L199" s="17"/>
      <c r="M199" s="18"/>
      <c r="O199" s="20" t="str">
        <f t="shared" si="13"/>
        <v>LI751002A</v>
      </c>
      <c r="P199" s="20" t="str">
        <f t="shared" si="18"/>
        <v>Not Found</v>
      </c>
      <c r="Q199" s="17"/>
      <c r="R199" s="29" t="str">
        <f t="shared" si="14"/>
        <v>Not Found</v>
      </c>
      <c r="S199" s="29" t="str">
        <f t="shared" si="15"/>
        <v>Not Found</v>
      </c>
    </row>
    <row r="200" spans="3:19" x14ac:dyDescent="0.25">
      <c r="C200" s="10"/>
      <c r="D200" s="14" t="s">
        <v>1903</v>
      </c>
      <c r="E200" s="4"/>
      <c r="F200" s="5">
        <v>0</v>
      </c>
      <c r="G200" s="7">
        <f t="shared" si="16"/>
        <v>0</v>
      </c>
      <c r="H200" s="6" t="str">
        <f t="shared" si="17"/>
        <v/>
      </c>
      <c r="I200" s="4"/>
      <c r="J200" s="15"/>
      <c r="K200" s="17"/>
      <c r="L200" s="17"/>
      <c r="M200" s="18"/>
      <c r="O200" s="20" t="str">
        <f t="shared" ref="O200:O263" si="19">+LEFT(D200,FIND("IO",D200,1)-1)</f>
        <v>LI751002B</v>
      </c>
      <c r="P200" s="20" t="str">
        <f t="shared" si="18"/>
        <v>Not Found</v>
      </c>
      <c r="Q200" s="17"/>
      <c r="R200" s="29" t="str">
        <f t="shared" ref="R200:R263" si="20">+IF(P200="Not Found",P200,VALUE(FINDProp($P$2,$P200,$O200,"XPos")))</f>
        <v>Not Found</v>
      </c>
      <c r="S200" s="29" t="str">
        <f t="shared" ref="S200:S263" si="21">+IF(P200="Not Found",P200,VALUE(FINDProp($P$2,$P200,$O200,"YPos")))</f>
        <v>Not Found</v>
      </c>
    </row>
    <row r="201" spans="3:19" ht="30" x14ac:dyDescent="0.25">
      <c r="C201" s="10"/>
      <c r="D201" s="14" t="s">
        <v>1904</v>
      </c>
      <c r="E201" s="4"/>
      <c r="F201" s="5">
        <v>2</v>
      </c>
      <c r="G201" s="7">
        <f t="shared" si="16"/>
        <v>-2</v>
      </c>
      <c r="H201" s="6">
        <f t="shared" si="17"/>
        <v>-1</v>
      </c>
      <c r="I201" s="4"/>
      <c r="J201" s="15" t="s">
        <v>2182</v>
      </c>
      <c r="K201" s="17"/>
      <c r="L201" s="17"/>
      <c r="M201" s="18"/>
      <c r="O201" s="20" t="str">
        <f t="shared" si="19"/>
        <v>LI751017</v>
      </c>
      <c r="P201" s="20" t="str">
        <f t="shared" si="18"/>
        <v>V7510_Overview  Display.xgml</v>
      </c>
      <c r="Q201" s="17"/>
      <c r="R201" s="29">
        <f t="shared" si="20"/>
        <v>792</v>
      </c>
      <c r="S201" s="29">
        <f t="shared" si="21"/>
        <v>432</v>
      </c>
    </row>
    <row r="202" spans="3:19" ht="30" x14ac:dyDescent="0.25">
      <c r="C202" s="10"/>
      <c r="D202" s="14" t="s">
        <v>1905</v>
      </c>
      <c r="E202" s="4"/>
      <c r="F202" s="5">
        <v>2</v>
      </c>
      <c r="G202" s="7">
        <f t="shared" ref="G202:G265" si="22">(E202-F202)</f>
        <v>-2</v>
      </c>
      <c r="H202" s="6">
        <f t="shared" ref="H202:H265" si="23">IF(F202&lt;&gt;0,(E202-F202)/F202,"")</f>
        <v>-1</v>
      </c>
      <c r="I202" s="4"/>
      <c r="J202" s="15" t="s">
        <v>2182</v>
      </c>
      <c r="K202" s="17"/>
      <c r="L202" s="17"/>
      <c r="M202" s="18"/>
      <c r="O202" s="20" t="str">
        <f t="shared" si="19"/>
        <v>LI752025</v>
      </c>
      <c r="P202" s="20" t="str">
        <f t="shared" si="18"/>
        <v>V7510_Overview  Display.xgml</v>
      </c>
      <c r="Q202" s="17"/>
      <c r="R202" s="29">
        <f t="shared" si="20"/>
        <v>800</v>
      </c>
      <c r="S202" s="29">
        <f t="shared" si="21"/>
        <v>696</v>
      </c>
    </row>
    <row r="203" spans="3:19" x14ac:dyDescent="0.25">
      <c r="C203" s="10"/>
      <c r="D203" s="14" t="s">
        <v>1906</v>
      </c>
      <c r="E203" s="4"/>
      <c r="F203" s="5">
        <v>0</v>
      </c>
      <c r="G203" s="7">
        <f t="shared" si="22"/>
        <v>0</v>
      </c>
      <c r="H203" s="6" t="str">
        <f t="shared" si="23"/>
        <v/>
      </c>
      <c r="I203" s="4"/>
      <c r="J203" s="15"/>
      <c r="K203" s="17"/>
      <c r="L203" s="17"/>
      <c r="M203" s="18"/>
      <c r="O203" s="20" t="str">
        <f t="shared" si="19"/>
        <v>LI760012</v>
      </c>
      <c r="P203" s="20" t="str">
        <f t="shared" si="18"/>
        <v>T7600_Overview_Display.xgml</v>
      </c>
      <c r="Q203" s="17"/>
      <c r="R203" s="29">
        <f t="shared" si="20"/>
        <v>24</v>
      </c>
      <c r="S203" s="29">
        <f t="shared" si="21"/>
        <v>729</v>
      </c>
    </row>
    <row r="204" spans="3:19" x14ac:dyDescent="0.25">
      <c r="C204" s="10"/>
      <c r="D204" s="14" t="s">
        <v>1907</v>
      </c>
      <c r="E204" s="4"/>
      <c r="F204" s="5">
        <v>0</v>
      </c>
      <c r="G204" s="7">
        <f t="shared" si="22"/>
        <v>0</v>
      </c>
      <c r="H204" s="6" t="str">
        <f t="shared" si="23"/>
        <v/>
      </c>
      <c r="I204" s="4"/>
      <c r="J204" s="15"/>
      <c r="K204" s="17"/>
      <c r="L204" s="17"/>
      <c r="M204" s="18"/>
      <c r="O204" s="20" t="str">
        <f t="shared" si="19"/>
        <v>LI760015</v>
      </c>
      <c r="P204" s="20" t="str">
        <f t="shared" si="18"/>
        <v>T7600_Overview_Display.xgml</v>
      </c>
      <c r="Q204" s="17"/>
      <c r="R204" s="29">
        <f t="shared" si="20"/>
        <v>737</v>
      </c>
      <c r="S204" s="29">
        <f t="shared" si="21"/>
        <v>603</v>
      </c>
    </row>
    <row r="205" spans="3:19" x14ac:dyDescent="0.25">
      <c r="C205" s="10"/>
      <c r="D205" s="14" t="s">
        <v>1908</v>
      </c>
      <c r="E205" s="4"/>
      <c r="F205" s="5">
        <v>2</v>
      </c>
      <c r="G205" s="7">
        <f t="shared" si="22"/>
        <v>-2</v>
      </c>
      <c r="H205" s="6">
        <f t="shared" si="23"/>
        <v>-1</v>
      </c>
      <c r="I205" s="4"/>
      <c r="J205" s="15"/>
      <c r="K205" s="17"/>
      <c r="L205" s="17"/>
      <c r="M205" s="18"/>
      <c r="O205" s="20" t="str">
        <f t="shared" si="19"/>
        <v>LI760023</v>
      </c>
      <c r="P205" s="20" t="str">
        <f t="shared" si="18"/>
        <v>Not Found</v>
      </c>
      <c r="Q205" s="17"/>
      <c r="R205" s="29" t="str">
        <f t="shared" si="20"/>
        <v>Not Found</v>
      </c>
      <c r="S205" s="29" t="str">
        <f t="shared" si="21"/>
        <v>Not Found</v>
      </c>
    </row>
    <row r="206" spans="3:19" x14ac:dyDescent="0.25">
      <c r="C206" s="10"/>
      <c r="D206" s="14" t="s">
        <v>1909</v>
      </c>
      <c r="E206" s="4"/>
      <c r="F206" s="5">
        <v>2</v>
      </c>
      <c r="G206" s="7">
        <f t="shared" si="22"/>
        <v>-2</v>
      </c>
      <c r="H206" s="6">
        <f t="shared" si="23"/>
        <v>-1</v>
      </c>
      <c r="I206" s="4"/>
      <c r="J206" s="15"/>
      <c r="K206" s="17"/>
      <c r="L206" s="17"/>
      <c r="M206" s="18"/>
      <c r="O206" s="20" t="str">
        <f t="shared" si="19"/>
        <v>LI760024</v>
      </c>
      <c r="P206" s="20" t="str">
        <f t="shared" si="18"/>
        <v>Not Found</v>
      </c>
      <c r="Q206" s="17"/>
      <c r="R206" s="29" t="str">
        <f t="shared" si="20"/>
        <v>Not Found</v>
      </c>
      <c r="S206" s="29" t="str">
        <f t="shared" si="21"/>
        <v>Not Found</v>
      </c>
    </row>
    <row r="207" spans="3:19" x14ac:dyDescent="0.25">
      <c r="C207" s="10"/>
      <c r="D207" s="14" t="s">
        <v>1910</v>
      </c>
      <c r="E207" s="4"/>
      <c r="F207" s="5">
        <v>0</v>
      </c>
      <c r="G207" s="7">
        <f t="shared" si="22"/>
        <v>0</v>
      </c>
      <c r="H207" s="6" t="str">
        <f t="shared" si="23"/>
        <v/>
      </c>
      <c r="I207" s="4"/>
      <c r="J207" s="15"/>
      <c r="K207" s="17"/>
      <c r="L207" s="17"/>
      <c r="M207" s="18"/>
      <c r="O207" s="20" t="str">
        <f t="shared" si="19"/>
        <v>LI760101</v>
      </c>
      <c r="P207" s="20" t="str">
        <f t="shared" si="18"/>
        <v>T7600_Overview_Display.xgml</v>
      </c>
      <c r="Q207" s="17"/>
      <c r="R207" s="29">
        <f t="shared" si="20"/>
        <v>391</v>
      </c>
      <c r="S207" s="29">
        <f t="shared" si="21"/>
        <v>325</v>
      </c>
    </row>
    <row r="208" spans="3:19" x14ac:dyDescent="0.25">
      <c r="C208" s="10"/>
      <c r="D208" s="14" t="s">
        <v>1911</v>
      </c>
      <c r="E208" s="4"/>
      <c r="F208" s="5">
        <v>2</v>
      </c>
      <c r="G208" s="7">
        <f t="shared" si="22"/>
        <v>-2</v>
      </c>
      <c r="H208" s="6">
        <f t="shared" si="23"/>
        <v>-1</v>
      </c>
      <c r="I208" s="4"/>
      <c r="J208" s="15"/>
      <c r="K208" s="17"/>
      <c r="L208" s="17"/>
      <c r="M208" s="18"/>
      <c r="O208" s="20" t="str">
        <f t="shared" si="19"/>
        <v>LI760125</v>
      </c>
      <c r="P208" s="20" t="str">
        <f t="shared" si="18"/>
        <v>Not Found</v>
      </c>
      <c r="Q208" s="17"/>
      <c r="R208" s="29" t="str">
        <f t="shared" si="20"/>
        <v>Not Found</v>
      </c>
      <c r="S208" s="29" t="str">
        <f t="shared" si="21"/>
        <v>Not Found</v>
      </c>
    </row>
    <row r="209" spans="3:19" x14ac:dyDescent="0.25">
      <c r="C209" s="10"/>
      <c r="D209" s="14" t="s">
        <v>1912</v>
      </c>
      <c r="E209" s="4"/>
      <c r="F209" s="5">
        <v>2</v>
      </c>
      <c r="G209" s="7">
        <f t="shared" si="22"/>
        <v>-2</v>
      </c>
      <c r="H209" s="6">
        <f t="shared" si="23"/>
        <v>-1</v>
      </c>
      <c r="I209" s="4"/>
      <c r="J209" s="15"/>
      <c r="K209" s="17"/>
      <c r="L209" s="17"/>
      <c r="M209" s="18"/>
      <c r="O209" s="20" t="str">
        <f t="shared" si="19"/>
        <v>LI760135</v>
      </c>
      <c r="P209" s="20" t="str">
        <f t="shared" si="18"/>
        <v>Not Found</v>
      </c>
      <c r="Q209" s="17"/>
      <c r="R209" s="29" t="str">
        <f t="shared" si="20"/>
        <v>Not Found</v>
      </c>
      <c r="S209" s="29" t="str">
        <f t="shared" si="21"/>
        <v>Not Found</v>
      </c>
    </row>
    <row r="210" spans="3:19" x14ac:dyDescent="0.25">
      <c r="C210" s="10"/>
      <c r="D210" s="14" t="s">
        <v>1913</v>
      </c>
      <c r="E210" s="4"/>
      <c r="F210" s="5">
        <v>0</v>
      </c>
      <c r="G210" s="7">
        <f t="shared" si="22"/>
        <v>0</v>
      </c>
      <c r="H210" s="6" t="str">
        <f t="shared" si="23"/>
        <v/>
      </c>
      <c r="I210" s="4"/>
      <c r="J210" s="15"/>
      <c r="K210" s="17"/>
      <c r="L210" s="17"/>
      <c r="M210" s="18"/>
      <c r="O210" s="20" t="str">
        <f t="shared" si="19"/>
        <v>LI760203</v>
      </c>
      <c r="P210" s="20" t="str">
        <f t="shared" si="18"/>
        <v>T7600_Overview_Display.xgml</v>
      </c>
      <c r="Q210" s="17"/>
      <c r="R210" s="29">
        <f t="shared" si="20"/>
        <v>1070</v>
      </c>
      <c r="S210" s="29">
        <f t="shared" si="21"/>
        <v>363</v>
      </c>
    </row>
    <row r="211" spans="3:19" x14ac:dyDescent="0.25">
      <c r="C211" s="10"/>
      <c r="D211" s="14" t="s">
        <v>1914</v>
      </c>
      <c r="E211" s="4"/>
      <c r="F211" s="5">
        <v>2</v>
      </c>
      <c r="G211" s="7">
        <f t="shared" si="22"/>
        <v>-2</v>
      </c>
      <c r="H211" s="6">
        <f t="shared" si="23"/>
        <v>-1</v>
      </c>
      <c r="I211" s="4"/>
      <c r="J211" s="15"/>
      <c r="K211" s="17"/>
      <c r="L211" s="17"/>
      <c r="M211" s="18"/>
      <c r="O211" s="20" t="str">
        <f t="shared" si="19"/>
        <v>LI760229</v>
      </c>
      <c r="P211" s="20" t="str">
        <f t="shared" si="18"/>
        <v>Not Found</v>
      </c>
      <c r="Q211" s="17"/>
      <c r="R211" s="29" t="str">
        <f t="shared" si="20"/>
        <v>Not Found</v>
      </c>
      <c r="S211" s="29" t="str">
        <f t="shared" si="21"/>
        <v>Not Found</v>
      </c>
    </row>
    <row r="212" spans="3:19" x14ac:dyDescent="0.25">
      <c r="C212" s="10"/>
      <c r="D212" s="14" t="s">
        <v>1915</v>
      </c>
      <c r="E212" s="4"/>
      <c r="F212" s="5">
        <v>2</v>
      </c>
      <c r="G212" s="7">
        <f t="shared" si="22"/>
        <v>-2</v>
      </c>
      <c r="H212" s="6">
        <f t="shared" si="23"/>
        <v>-1</v>
      </c>
      <c r="I212" s="4"/>
      <c r="J212" s="15"/>
      <c r="K212" s="17"/>
      <c r="L212" s="17"/>
      <c r="M212" s="18"/>
      <c r="O212" s="20" t="str">
        <f t="shared" si="19"/>
        <v>LI760239</v>
      </c>
      <c r="P212" s="20" t="str">
        <f t="shared" si="18"/>
        <v>Not Found</v>
      </c>
      <c r="Q212" s="17"/>
      <c r="R212" s="29" t="str">
        <f t="shared" si="20"/>
        <v>Not Found</v>
      </c>
      <c r="S212" s="29" t="str">
        <f t="shared" si="21"/>
        <v>Not Found</v>
      </c>
    </row>
    <row r="213" spans="3:19" x14ac:dyDescent="0.25">
      <c r="C213" s="10"/>
      <c r="D213" s="14" t="s">
        <v>1916</v>
      </c>
      <c r="E213" s="4"/>
      <c r="F213" s="5">
        <v>0</v>
      </c>
      <c r="G213" s="7">
        <f t="shared" si="22"/>
        <v>0</v>
      </c>
      <c r="H213" s="6" t="str">
        <f t="shared" si="23"/>
        <v/>
      </c>
      <c r="I213" s="4"/>
      <c r="J213" s="15"/>
      <c r="K213" s="17"/>
      <c r="L213" s="17"/>
      <c r="M213" s="18"/>
      <c r="O213" s="20" t="str">
        <f t="shared" si="19"/>
        <v>LI761002A</v>
      </c>
      <c r="P213" s="20" t="str">
        <f t="shared" si="18"/>
        <v>V7610_Overview  Display.xgml</v>
      </c>
      <c r="Q213" s="17"/>
      <c r="R213" s="29">
        <f t="shared" si="20"/>
        <v>568</v>
      </c>
      <c r="S213" s="29">
        <f t="shared" si="21"/>
        <v>280</v>
      </c>
    </row>
    <row r="214" spans="3:19" x14ac:dyDescent="0.25">
      <c r="C214" s="10"/>
      <c r="D214" s="14" t="s">
        <v>1917</v>
      </c>
      <c r="E214" s="4"/>
      <c r="F214" s="5">
        <v>0</v>
      </c>
      <c r="G214" s="7">
        <f t="shared" si="22"/>
        <v>0</v>
      </c>
      <c r="H214" s="6" t="str">
        <f t="shared" si="23"/>
        <v/>
      </c>
      <c r="I214" s="4"/>
      <c r="J214" s="15"/>
      <c r="K214" s="17"/>
      <c r="L214" s="17"/>
      <c r="M214" s="18"/>
      <c r="O214" s="20" t="str">
        <f t="shared" si="19"/>
        <v>LI761002B</v>
      </c>
      <c r="P214" s="20" t="str">
        <f t="shared" si="18"/>
        <v>Not Found</v>
      </c>
      <c r="Q214" s="17"/>
      <c r="R214" s="29" t="str">
        <f t="shared" si="20"/>
        <v>Not Found</v>
      </c>
      <c r="S214" s="29" t="str">
        <f t="shared" si="21"/>
        <v>Not Found</v>
      </c>
    </row>
    <row r="215" spans="3:19" ht="30" x14ac:dyDescent="0.25">
      <c r="C215" s="10"/>
      <c r="D215" s="14" t="s">
        <v>1918</v>
      </c>
      <c r="E215" s="4"/>
      <c r="F215" s="5">
        <v>2</v>
      </c>
      <c r="G215" s="7">
        <f t="shared" si="22"/>
        <v>-2</v>
      </c>
      <c r="H215" s="6">
        <f t="shared" si="23"/>
        <v>-1</v>
      </c>
      <c r="I215" s="4"/>
      <c r="J215" s="15" t="s">
        <v>2182</v>
      </c>
      <c r="K215" s="17"/>
      <c r="L215" s="17"/>
      <c r="M215" s="18"/>
      <c r="O215" s="20" t="str">
        <f t="shared" si="19"/>
        <v>LI761017</v>
      </c>
      <c r="P215" s="20" t="str">
        <f t="shared" si="18"/>
        <v>V7610_Overview  Display.xgml</v>
      </c>
      <c r="Q215" s="17"/>
      <c r="R215" s="29">
        <f t="shared" si="20"/>
        <v>799</v>
      </c>
      <c r="S215" s="29">
        <f t="shared" si="21"/>
        <v>434</v>
      </c>
    </row>
    <row r="216" spans="3:19" ht="30" x14ac:dyDescent="0.25">
      <c r="C216" s="10"/>
      <c r="D216" s="14" t="s">
        <v>1919</v>
      </c>
      <c r="E216" s="4"/>
      <c r="F216" s="5">
        <v>2</v>
      </c>
      <c r="G216" s="7">
        <f t="shared" si="22"/>
        <v>-2</v>
      </c>
      <c r="H216" s="6">
        <f t="shared" si="23"/>
        <v>-1</v>
      </c>
      <c r="I216" s="4"/>
      <c r="J216" s="15" t="s">
        <v>2182</v>
      </c>
      <c r="K216" s="17"/>
      <c r="L216" s="17"/>
      <c r="M216" s="18"/>
      <c r="O216" s="20" t="str">
        <f t="shared" si="19"/>
        <v>LI762020</v>
      </c>
      <c r="P216" s="20" t="str">
        <f t="shared" si="18"/>
        <v>V7610_Overview  Display.xgml</v>
      </c>
      <c r="Q216" s="17"/>
      <c r="R216" s="29">
        <f t="shared" si="20"/>
        <v>783</v>
      </c>
      <c r="S216" s="29">
        <f t="shared" si="21"/>
        <v>682</v>
      </c>
    </row>
    <row r="217" spans="3:19" x14ac:dyDescent="0.25">
      <c r="C217" s="10"/>
      <c r="D217" s="14" t="s">
        <v>1920</v>
      </c>
      <c r="E217" s="4"/>
      <c r="F217" s="5">
        <v>0</v>
      </c>
      <c r="G217" s="7">
        <f t="shared" si="22"/>
        <v>0</v>
      </c>
      <c r="H217" s="6" t="str">
        <f t="shared" si="23"/>
        <v/>
      </c>
      <c r="I217" s="4"/>
      <c r="J217" s="15"/>
      <c r="K217" s="17"/>
      <c r="L217" s="17"/>
      <c r="M217" s="18"/>
      <c r="O217" s="20" t="str">
        <f t="shared" si="19"/>
        <v>LI763002A</v>
      </c>
      <c r="P217" s="20" t="str">
        <f t="shared" si="18"/>
        <v>Not Found</v>
      </c>
      <c r="Q217" s="17"/>
      <c r="R217" s="29" t="str">
        <f t="shared" si="20"/>
        <v>Not Found</v>
      </c>
      <c r="S217" s="29" t="str">
        <f t="shared" si="21"/>
        <v>Not Found</v>
      </c>
    </row>
    <row r="218" spans="3:19" x14ac:dyDescent="0.25">
      <c r="C218" s="10"/>
      <c r="D218" s="14" t="s">
        <v>1921</v>
      </c>
      <c r="E218" s="4"/>
      <c r="F218" s="5">
        <v>0</v>
      </c>
      <c r="G218" s="7">
        <f t="shared" si="22"/>
        <v>0</v>
      </c>
      <c r="H218" s="6" t="str">
        <f t="shared" si="23"/>
        <v/>
      </c>
      <c r="I218" s="4"/>
      <c r="J218" s="15"/>
      <c r="K218" s="17"/>
      <c r="L218" s="17"/>
      <c r="M218" s="18"/>
      <c r="O218" s="20" t="str">
        <f t="shared" si="19"/>
        <v>LI763002B</v>
      </c>
      <c r="P218" s="20" t="str">
        <f t="shared" si="18"/>
        <v>Not Found</v>
      </c>
      <c r="Q218" s="17"/>
      <c r="R218" s="29" t="str">
        <f t="shared" si="20"/>
        <v>Not Found</v>
      </c>
      <c r="S218" s="29" t="str">
        <f t="shared" si="21"/>
        <v>Not Found</v>
      </c>
    </row>
    <row r="219" spans="3:19" x14ac:dyDescent="0.25">
      <c r="C219" s="10"/>
      <c r="D219" s="14" t="s">
        <v>1922</v>
      </c>
      <c r="E219" s="4"/>
      <c r="F219" s="5">
        <v>2</v>
      </c>
      <c r="G219" s="7">
        <f t="shared" si="22"/>
        <v>-2</v>
      </c>
      <c r="H219" s="6">
        <f t="shared" si="23"/>
        <v>-1</v>
      </c>
      <c r="I219" s="4"/>
      <c r="J219" s="15"/>
      <c r="K219" s="17"/>
      <c r="L219" s="17"/>
      <c r="M219" s="18"/>
      <c r="O219" s="20" t="str">
        <f t="shared" si="19"/>
        <v>LI763020</v>
      </c>
      <c r="P219" s="20" t="str">
        <f t="shared" si="18"/>
        <v>Not Found</v>
      </c>
      <c r="Q219" s="17"/>
      <c r="R219" s="29" t="str">
        <f t="shared" si="20"/>
        <v>Not Found</v>
      </c>
      <c r="S219" s="29" t="str">
        <f t="shared" si="21"/>
        <v>Not Found</v>
      </c>
    </row>
    <row r="220" spans="3:19" x14ac:dyDescent="0.25">
      <c r="C220" s="10"/>
      <c r="D220" s="14" t="s">
        <v>1923</v>
      </c>
      <c r="E220" s="4"/>
      <c r="F220" s="5">
        <v>0</v>
      </c>
      <c r="G220" s="7">
        <f t="shared" si="22"/>
        <v>0</v>
      </c>
      <c r="H220" s="6" t="str">
        <f t="shared" si="23"/>
        <v/>
      </c>
      <c r="I220" s="4"/>
      <c r="J220" s="15"/>
      <c r="K220" s="17"/>
      <c r="L220" s="17"/>
      <c r="M220" s="18"/>
      <c r="O220" s="20" t="str">
        <f t="shared" si="19"/>
        <v>LI764002A</v>
      </c>
      <c r="P220" s="20" t="str">
        <f t="shared" si="18"/>
        <v>Not Found</v>
      </c>
      <c r="Q220" s="17"/>
      <c r="R220" s="29" t="str">
        <f t="shared" si="20"/>
        <v>Not Found</v>
      </c>
      <c r="S220" s="29" t="str">
        <f t="shared" si="21"/>
        <v>Not Found</v>
      </c>
    </row>
    <row r="221" spans="3:19" x14ac:dyDescent="0.25">
      <c r="C221" s="10"/>
      <c r="D221" s="14" t="s">
        <v>1924</v>
      </c>
      <c r="E221" s="4"/>
      <c r="F221" s="5">
        <v>0</v>
      </c>
      <c r="G221" s="7">
        <f t="shared" si="22"/>
        <v>0</v>
      </c>
      <c r="H221" s="6" t="str">
        <f t="shared" si="23"/>
        <v/>
      </c>
      <c r="I221" s="4"/>
      <c r="J221" s="15"/>
      <c r="K221" s="17"/>
      <c r="L221" s="17"/>
      <c r="M221" s="18"/>
      <c r="O221" s="20" t="str">
        <f t="shared" si="19"/>
        <v>LI764002B</v>
      </c>
      <c r="P221" s="20" t="str">
        <f t="shared" ref="P221:P284" si="24">+FindinFile($P$2,$O221,"Name")</f>
        <v>Not Found</v>
      </c>
      <c r="Q221" s="17"/>
      <c r="R221" s="29" t="str">
        <f t="shared" si="20"/>
        <v>Not Found</v>
      </c>
      <c r="S221" s="29" t="str">
        <f t="shared" si="21"/>
        <v>Not Found</v>
      </c>
    </row>
    <row r="222" spans="3:19" x14ac:dyDescent="0.25">
      <c r="C222" s="10"/>
      <c r="D222" s="14" t="s">
        <v>1925</v>
      </c>
      <c r="E222" s="4"/>
      <c r="F222" s="5">
        <v>2</v>
      </c>
      <c r="G222" s="7">
        <f t="shared" si="22"/>
        <v>-2</v>
      </c>
      <c r="H222" s="6">
        <f t="shared" si="23"/>
        <v>-1</v>
      </c>
      <c r="I222" s="4"/>
      <c r="J222" s="15"/>
      <c r="K222" s="17"/>
      <c r="L222" s="17"/>
      <c r="M222" s="18"/>
      <c r="O222" s="20" t="str">
        <f t="shared" si="19"/>
        <v>LI764020</v>
      </c>
      <c r="P222" s="20" t="str">
        <f t="shared" si="24"/>
        <v>Not Found</v>
      </c>
      <c r="Q222" s="17"/>
      <c r="R222" s="29" t="str">
        <f t="shared" si="20"/>
        <v>Not Found</v>
      </c>
      <c r="S222" s="29" t="str">
        <f t="shared" si="21"/>
        <v>Not Found</v>
      </c>
    </row>
    <row r="223" spans="3:19" x14ac:dyDescent="0.25">
      <c r="C223" s="10"/>
      <c r="D223" s="14" t="s">
        <v>1926</v>
      </c>
      <c r="E223" s="4"/>
      <c r="F223" s="5">
        <v>0</v>
      </c>
      <c r="G223" s="7">
        <f t="shared" si="22"/>
        <v>0</v>
      </c>
      <c r="H223" s="6" t="str">
        <f t="shared" si="23"/>
        <v/>
      </c>
      <c r="I223" s="4"/>
      <c r="J223" s="15"/>
      <c r="K223" s="17"/>
      <c r="L223" s="17"/>
      <c r="M223" s="18"/>
      <c r="O223" s="20" t="str">
        <f t="shared" si="19"/>
        <v>LI772001</v>
      </c>
      <c r="P223" s="20" t="str">
        <f t="shared" si="24"/>
        <v>PU7700_Overview  Display.xgml</v>
      </c>
      <c r="Q223" s="17"/>
      <c r="R223" s="29">
        <f t="shared" si="20"/>
        <v>808</v>
      </c>
      <c r="S223" s="29">
        <f t="shared" si="21"/>
        <v>432</v>
      </c>
    </row>
    <row r="224" spans="3:19" x14ac:dyDescent="0.25">
      <c r="C224" s="10"/>
      <c r="D224" s="14" t="s">
        <v>1927</v>
      </c>
      <c r="E224" s="4"/>
      <c r="F224" s="5">
        <v>0</v>
      </c>
      <c r="G224" s="7">
        <f t="shared" si="22"/>
        <v>0</v>
      </c>
      <c r="H224" s="6" t="str">
        <f t="shared" si="23"/>
        <v/>
      </c>
      <c r="I224" s="4"/>
      <c r="J224" s="15"/>
      <c r="K224" s="17"/>
      <c r="L224" s="17"/>
      <c r="M224" s="18"/>
      <c r="O224" s="20" t="str">
        <f t="shared" si="19"/>
        <v>LI790010A</v>
      </c>
      <c r="P224" s="20" t="str">
        <f t="shared" si="24"/>
        <v>Not Found</v>
      </c>
      <c r="Q224" s="17"/>
      <c r="R224" s="29" t="str">
        <f t="shared" si="20"/>
        <v>Not Found</v>
      </c>
      <c r="S224" s="29" t="str">
        <f t="shared" si="21"/>
        <v>Not Found</v>
      </c>
    </row>
    <row r="225" spans="3:19" x14ac:dyDescent="0.25">
      <c r="C225" s="10"/>
      <c r="D225" s="14" t="s">
        <v>1928</v>
      </c>
      <c r="E225" s="4"/>
      <c r="F225" s="5">
        <v>0</v>
      </c>
      <c r="G225" s="7">
        <f t="shared" si="22"/>
        <v>0</v>
      </c>
      <c r="H225" s="6" t="str">
        <f t="shared" si="23"/>
        <v/>
      </c>
      <c r="I225" s="4"/>
      <c r="J225" s="15"/>
      <c r="K225" s="17"/>
      <c r="L225" s="17"/>
      <c r="M225" s="18"/>
      <c r="O225" s="20" t="str">
        <f t="shared" si="19"/>
        <v>LI790010B</v>
      </c>
      <c r="P225" s="20" t="str">
        <f t="shared" si="24"/>
        <v>Not Found</v>
      </c>
      <c r="Q225" s="17"/>
      <c r="R225" s="29" t="str">
        <f t="shared" si="20"/>
        <v>Not Found</v>
      </c>
      <c r="S225" s="29" t="str">
        <f t="shared" si="21"/>
        <v>Not Found</v>
      </c>
    </row>
    <row r="226" spans="3:19" x14ac:dyDescent="0.25">
      <c r="C226" s="10"/>
      <c r="D226" s="14" t="s">
        <v>1929</v>
      </c>
      <c r="E226" s="4"/>
      <c r="F226" s="5">
        <v>2</v>
      </c>
      <c r="G226" s="7">
        <f t="shared" si="22"/>
        <v>-2</v>
      </c>
      <c r="H226" s="6">
        <f t="shared" si="23"/>
        <v>-1</v>
      </c>
      <c r="I226" s="4"/>
      <c r="J226" s="15"/>
      <c r="K226" s="17"/>
      <c r="L226" s="17"/>
      <c r="M226" s="18"/>
      <c r="O226" s="20" t="str">
        <f t="shared" si="19"/>
        <v>LI796005</v>
      </c>
      <c r="P226" s="20" t="str">
        <f t="shared" si="24"/>
        <v>Not Found</v>
      </c>
      <c r="Q226" s="17"/>
      <c r="R226" s="29" t="str">
        <f t="shared" si="20"/>
        <v>Not Found</v>
      </c>
      <c r="S226" s="29" t="str">
        <f t="shared" si="21"/>
        <v>Not Found</v>
      </c>
    </row>
    <row r="227" spans="3:19" x14ac:dyDescent="0.25">
      <c r="C227" s="10"/>
      <c r="D227" s="14" t="s">
        <v>1930</v>
      </c>
      <c r="E227" s="4"/>
      <c r="F227" s="5">
        <v>0</v>
      </c>
      <c r="G227" s="7">
        <f t="shared" si="22"/>
        <v>0</v>
      </c>
      <c r="H227" s="6" t="str">
        <f t="shared" si="23"/>
        <v/>
      </c>
      <c r="I227" s="4"/>
      <c r="J227" s="15"/>
      <c r="K227" s="17"/>
      <c r="L227" s="17"/>
      <c r="M227" s="18"/>
      <c r="O227" s="20" t="str">
        <f t="shared" si="19"/>
        <v>LI799016A</v>
      </c>
      <c r="P227" s="20" t="str">
        <f t="shared" si="24"/>
        <v>Not Found</v>
      </c>
      <c r="Q227" s="17"/>
      <c r="R227" s="29" t="str">
        <f t="shared" si="20"/>
        <v>Not Found</v>
      </c>
      <c r="S227" s="29" t="str">
        <f t="shared" si="21"/>
        <v>Not Found</v>
      </c>
    </row>
    <row r="228" spans="3:19" x14ac:dyDescent="0.25">
      <c r="C228" s="10"/>
      <c r="D228" s="14" t="s">
        <v>1931</v>
      </c>
      <c r="E228" s="4"/>
      <c r="F228" s="5">
        <v>0</v>
      </c>
      <c r="G228" s="7">
        <f t="shared" si="22"/>
        <v>0</v>
      </c>
      <c r="H228" s="6" t="str">
        <f t="shared" si="23"/>
        <v/>
      </c>
      <c r="I228" s="4"/>
      <c r="J228" s="15"/>
      <c r="K228" s="17"/>
      <c r="L228" s="17"/>
      <c r="M228" s="18"/>
      <c r="O228" s="20" t="str">
        <f t="shared" si="19"/>
        <v>LI799016B</v>
      </c>
      <c r="P228" s="20" t="str">
        <f t="shared" si="24"/>
        <v>Not Found</v>
      </c>
      <c r="Q228" s="17"/>
      <c r="R228" s="29" t="str">
        <f t="shared" si="20"/>
        <v>Not Found</v>
      </c>
      <c r="S228" s="29" t="str">
        <f t="shared" si="21"/>
        <v>Not Found</v>
      </c>
    </row>
    <row r="229" spans="3:19" x14ac:dyDescent="0.25">
      <c r="C229" s="10"/>
      <c r="D229" s="14" t="s">
        <v>1932</v>
      </c>
      <c r="E229" s="4"/>
      <c r="F229" s="5">
        <v>0</v>
      </c>
      <c r="G229" s="7">
        <f t="shared" si="22"/>
        <v>0</v>
      </c>
      <c r="H229" s="6" t="str">
        <f t="shared" si="23"/>
        <v/>
      </c>
      <c r="I229" s="4"/>
      <c r="J229" s="15"/>
      <c r="K229" s="17"/>
      <c r="L229" s="17"/>
      <c r="M229" s="18"/>
      <c r="O229" s="20" t="str">
        <f t="shared" si="19"/>
        <v>PDI701011</v>
      </c>
      <c r="P229" s="20" t="str">
        <f t="shared" si="24"/>
        <v>R7040-1_Overview Display.xgml</v>
      </c>
      <c r="Q229" s="17"/>
      <c r="R229" s="29">
        <f t="shared" si="20"/>
        <v>1117</v>
      </c>
      <c r="S229" s="29">
        <f t="shared" si="21"/>
        <v>5</v>
      </c>
    </row>
    <row r="230" spans="3:19" x14ac:dyDescent="0.25">
      <c r="C230" s="10"/>
      <c r="D230" s="14" t="s">
        <v>1933</v>
      </c>
      <c r="E230" s="4"/>
      <c r="F230" s="5">
        <v>0</v>
      </c>
      <c r="G230" s="7">
        <f t="shared" si="22"/>
        <v>0</v>
      </c>
      <c r="H230" s="6" t="str">
        <f t="shared" si="23"/>
        <v/>
      </c>
      <c r="I230" s="4"/>
      <c r="J230" s="15"/>
      <c r="K230" s="17"/>
      <c r="L230" s="17"/>
      <c r="M230" s="18"/>
      <c r="O230" s="20" t="str">
        <f t="shared" si="19"/>
        <v>PDI701016</v>
      </c>
      <c r="P230" s="20" t="str">
        <f t="shared" si="24"/>
        <v>R7040-1_Overview Display.xgml</v>
      </c>
      <c r="Q230" s="17"/>
      <c r="R230" s="29">
        <f t="shared" si="20"/>
        <v>48</v>
      </c>
      <c r="S230" s="29">
        <f t="shared" si="21"/>
        <v>104</v>
      </c>
    </row>
    <row r="231" spans="3:19" x14ac:dyDescent="0.25">
      <c r="C231" s="10"/>
      <c r="D231" s="14" t="s">
        <v>1934</v>
      </c>
      <c r="E231" s="4"/>
      <c r="F231" s="5">
        <v>0</v>
      </c>
      <c r="G231" s="7">
        <f t="shared" si="22"/>
        <v>0</v>
      </c>
      <c r="H231" s="6" t="str">
        <f t="shared" si="23"/>
        <v/>
      </c>
      <c r="I231" s="4"/>
      <c r="J231" s="15"/>
      <c r="K231" s="17"/>
      <c r="L231" s="17"/>
      <c r="M231" s="18"/>
      <c r="O231" s="20" t="str">
        <f t="shared" si="19"/>
        <v>PDI701130</v>
      </c>
      <c r="P231" s="20" t="str">
        <f t="shared" si="24"/>
        <v>PU7700_Overview  Display.xgml</v>
      </c>
      <c r="Q231" s="17"/>
      <c r="R231" s="29">
        <f t="shared" si="20"/>
        <v>1192</v>
      </c>
      <c r="S231" s="29">
        <f t="shared" si="21"/>
        <v>663</v>
      </c>
    </row>
    <row r="232" spans="3:19" x14ac:dyDescent="0.25">
      <c r="C232" s="10"/>
      <c r="D232" s="14" t="s">
        <v>1935</v>
      </c>
      <c r="E232" s="4"/>
      <c r="F232" s="5">
        <v>0</v>
      </c>
      <c r="G232" s="7">
        <f t="shared" si="22"/>
        <v>0</v>
      </c>
      <c r="H232" s="6" t="str">
        <f t="shared" si="23"/>
        <v/>
      </c>
      <c r="I232" s="4"/>
      <c r="J232" s="15"/>
      <c r="K232" s="17"/>
      <c r="L232" s="17"/>
      <c r="M232" s="18"/>
      <c r="O232" s="20" t="str">
        <f t="shared" si="19"/>
        <v>PDI703007A</v>
      </c>
      <c r="P232" s="20" t="str">
        <f t="shared" si="24"/>
        <v>Not Found</v>
      </c>
      <c r="Q232" s="17"/>
      <c r="R232" s="29" t="str">
        <f t="shared" si="20"/>
        <v>Not Found</v>
      </c>
      <c r="S232" s="29" t="str">
        <f t="shared" si="21"/>
        <v>Not Found</v>
      </c>
    </row>
    <row r="233" spans="3:19" x14ac:dyDescent="0.25">
      <c r="C233" s="10"/>
      <c r="D233" s="14" t="s">
        <v>1936</v>
      </c>
      <c r="E233" s="4"/>
      <c r="F233" s="5">
        <v>0</v>
      </c>
      <c r="G233" s="7">
        <f t="shared" si="22"/>
        <v>0</v>
      </c>
      <c r="H233" s="6" t="str">
        <f t="shared" si="23"/>
        <v/>
      </c>
      <c r="I233" s="4"/>
      <c r="J233" s="15"/>
      <c r="K233" s="17"/>
      <c r="L233" s="17"/>
      <c r="M233" s="18"/>
      <c r="O233" s="20" t="str">
        <f t="shared" si="19"/>
        <v>PDI703007B</v>
      </c>
      <c r="P233" s="20" t="str">
        <f t="shared" si="24"/>
        <v>Not Found</v>
      </c>
      <c r="Q233" s="17"/>
      <c r="R233" s="29" t="str">
        <f t="shared" si="20"/>
        <v>Not Found</v>
      </c>
      <c r="S233" s="29" t="str">
        <f t="shared" si="21"/>
        <v>Not Found</v>
      </c>
    </row>
    <row r="234" spans="3:19" x14ac:dyDescent="0.25">
      <c r="C234" s="10"/>
      <c r="D234" s="14" t="s">
        <v>1937</v>
      </c>
      <c r="E234" s="4"/>
      <c r="F234" s="5">
        <v>0</v>
      </c>
      <c r="G234" s="7">
        <f t="shared" si="22"/>
        <v>0</v>
      </c>
      <c r="H234" s="6" t="str">
        <f t="shared" si="23"/>
        <v/>
      </c>
      <c r="I234" s="4"/>
      <c r="J234" s="15"/>
      <c r="K234" s="17"/>
      <c r="L234" s="17"/>
      <c r="M234" s="18"/>
      <c r="O234" s="20" t="str">
        <f t="shared" si="19"/>
        <v>PDI703013</v>
      </c>
      <c r="P234" s="20" t="str">
        <f t="shared" si="24"/>
        <v>R7040-2A_Overview Display.xgml</v>
      </c>
      <c r="Q234" s="17"/>
      <c r="R234" s="29">
        <f t="shared" si="20"/>
        <v>302</v>
      </c>
      <c r="S234" s="29">
        <f t="shared" si="21"/>
        <v>544</v>
      </c>
    </row>
    <row r="235" spans="3:19" x14ac:dyDescent="0.25">
      <c r="C235" s="10"/>
      <c r="D235" s="14" t="s">
        <v>1938</v>
      </c>
      <c r="E235" s="4"/>
      <c r="F235" s="5">
        <v>0</v>
      </c>
      <c r="G235" s="7">
        <f t="shared" si="22"/>
        <v>0</v>
      </c>
      <c r="H235" s="6" t="str">
        <f t="shared" si="23"/>
        <v/>
      </c>
      <c r="I235" s="4"/>
      <c r="J235" s="15"/>
      <c r="K235" s="17"/>
      <c r="L235" s="17"/>
      <c r="M235" s="18"/>
      <c r="O235" s="20" t="str">
        <f t="shared" si="19"/>
        <v>PDI703027</v>
      </c>
      <c r="P235" s="20" t="str">
        <f t="shared" si="24"/>
        <v>R7040-1_Overview Display.xgml</v>
      </c>
      <c r="Q235" s="17"/>
      <c r="R235" s="29">
        <f t="shared" si="20"/>
        <v>824</v>
      </c>
      <c r="S235" s="29">
        <f t="shared" si="21"/>
        <v>336</v>
      </c>
    </row>
    <row r="236" spans="3:19" x14ac:dyDescent="0.25">
      <c r="C236" s="10"/>
      <c r="D236" s="14" t="s">
        <v>1939</v>
      </c>
      <c r="E236" s="4"/>
      <c r="F236" s="5">
        <v>0</v>
      </c>
      <c r="G236" s="7">
        <f t="shared" si="22"/>
        <v>0</v>
      </c>
      <c r="H236" s="6" t="str">
        <f t="shared" si="23"/>
        <v/>
      </c>
      <c r="I236" s="4"/>
      <c r="J236" s="15"/>
      <c r="K236" s="17"/>
      <c r="L236" s="17"/>
      <c r="M236" s="18"/>
      <c r="O236" s="20" t="str">
        <f t="shared" si="19"/>
        <v>PDI705001</v>
      </c>
      <c r="P236" s="20" t="str">
        <f t="shared" si="24"/>
        <v>D7900_Overview  Display.xgml</v>
      </c>
      <c r="Q236" s="17"/>
      <c r="R236" s="29">
        <f t="shared" si="20"/>
        <v>1056</v>
      </c>
      <c r="S236" s="29">
        <f t="shared" si="21"/>
        <v>552</v>
      </c>
    </row>
    <row r="237" spans="3:19" x14ac:dyDescent="0.25">
      <c r="C237" s="10"/>
      <c r="D237" s="14" t="s">
        <v>1940</v>
      </c>
      <c r="E237" s="4"/>
      <c r="F237" s="5">
        <v>0</v>
      </c>
      <c r="G237" s="7">
        <f t="shared" si="22"/>
        <v>0</v>
      </c>
      <c r="H237" s="6" t="str">
        <f t="shared" si="23"/>
        <v/>
      </c>
      <c r="I237" s="4"/>
      <c r="J237" s="15"/>
      <c r="K237" s="17"/>
      <c r="L237" s="17"/>
      <c r="M237" s="18"/>
      <c r="O237" s="20" t="str">
        <f t="shared" si="19"/>
        <v>PDI722210</v>
      </c>
      <c r="P237" s="20" t="str">
        <f t="shared" si="24"/>
        <v>R7040-2B_Overview Display.xgml</v>
      </c>
      <c r="Q237" s="17"/>
      <c r="R237" s="29">
        <f t="shared" si="20"/>
        <v>1392</v>
      </c>
      <c r="S237" s="29">
        <f t="shared" si="21"/>
        <v>169</v>
      </c>
    </row>
    <row r="238" spans="3:19" x14ac:dyDescent="0.25">
      <c r="C238" s="10"/>
      <c r="D238" s="14" t="s">
        <v>1941</v>
      </c>
      <c r="E238" s="4"/>
      <c r="F238" s="5">
        <v>0</v>
      </c>
      <c r="G238" s="7">
        <f t="shared" si="22"/>
        <v>0</v>
      </c>
      <c r="H238" s="6" t="str">
        <f t="shared" si="23"/>
        <v/>
      </c>
      <c r="I238" s="4"/>
      <c r="J238" s="15"/>
      <c r="K238" s="17"/>
      <c r="L238" s="17"/>
      <c r="M238" s="18"/>
      <c r="O238" s="20" t="str">
        <f t="shared" si="19"/>
        <v>PDI730025</v>
      </c>
      <c r="P238" s="20" t="str">
        <f t="shared" si="24"/>
        <v>T7300_Overview_Display.xgml</v>
      </c>
      <c r="Q238" s="17"/>
      <c r="R238" s="29">
        <f t="shared" si="20"/>
        <v>281</v>
      </c>
      <c r="S238" s="29">
        <f t="shared" si="21"/>
        <v>181</v>
      </c>
    </row>
    <row r="239" spans="3:19" x14ac:dyDescent="0.25">
      <c r="C239" s="10"/>
      <c r="D239" s="14" t="s">
        <v>1942</v>
      </c>
      <c r="E239" s="4"/>
      <c r="F239" s="5">
        <v>0</v>
      </c>
      <c r="G239" s="7">
        <f t="shared" si="22"/>
        <v>0</v>
      </c>
      <c r="H239" s="6" t="str">
        <f t="shared" si="23"/>
        <v/>
      </c>
      <c r="I239" s="4"/>
      <c r="J239" s="15"/>
      <c r="K239" s="17"/>
      <c r="L239" s="17"/>
      <c r="M239" s="18"/>
      <c r="O239" s="20" t="str">
        <f t="shared" si="19"/>
        <v>PDI730026</v>
      </c>
      <c r="P239" s="20" t="str">
        <f t="shared" si="24"/>
        <v>T7300_Overview_Display.xgml</v>
      </c>
      <c r="Q239" s="17"/>
      <c r="R239" s="29">
        <f t="shared" si="20"/>
        <v>288</v>
      </c>
      <c r="S239" s="29">
        <f t="shared" si="21"/>
        <v>472</v>
      </c>
    </row>
    <row r="240" spans="3:19" x14ac:dyDescent="0.25">
      <c r="C240" s="10"/>
      <c r="D240" s="14" t="s">
        <v>1943</v>
      </c>
      <c r="E240" s="4"/>
      <c r="F240" s="5">
        <v>0</v>
      </c>
      <c r="G240" s="7">
        <f t="shared" si="22"/>
        <v>0</v>
      </c>
      <c r="H240" s="6" t="str">
        <f t="shared" si="23"/>
        <v/>
      </c>
      <c r="I240" s="4"/>
      <c r="J240" s="15"/>
      <c r="K240" s="17"/>
      <c r="L240" s="17"/>
      <c r="M240" s="18"/>
      <c r="O240" s="20" t="str">
        <f t="shared" si="19"/>
        <v>PDI730027</v>
      </c>
      <c r="P240" s="20" t="str">
        <f t="shared" si="24"/>
        <v>R7040-2B_Overview Display.xgml</v>
      </c>
      <c r="Q240" s="17"/>
      <c r="R240" s="29">
        <f t="shared" si="20"/>
        <v>1213</v>
      </c>
      <c r="S240" s="29">
        <f t="shared" si="21"/>
        <v>705</v>
      </c>
    </row>
    <row r="241" spans="3:19" x14ac:dyDescent="0.25">
      <c r="C241" s="10"/>
      <c r="D241" s="14" t="s">
        <v>1944</v>
      </c>
      <c r="E241" s="4"/>
      <c r="F241" s="5">
        <v>0</v>
      </c>
      <c r="G241" s="7">
        <f t="shared" si="22"/>
        <v>0</v>
      </c>
      <c r="H241" s="6" t="str">
        <f t="shared" si="23"/>
        <v/>
      </c>
      <c r="I241" s="4"/>
      <c r="J241" s="15"/>
      <c r="K241" s="17"/>
      <c r="L241" s="17"/>
      <c r="M241" s="18"/>
      <c r="O241" s="20" t="str">
        <f t="shared" si="19"/>
        <v>PDI730213</v>
      </c>
      <c r="P241" s="20" t="str">
        <f t="shared" si="24"/>
        <v>T7300_Overview_Display.xgml</v>
      </c>
      <c r="Q241" s="17"/>
      <c r="R241" s="29">
        <f t="shared" si="20"/>
        <v>1184</v>
      </c>
      <c r="S241" s="29">
        <f t="shared" si="21"/>
        <v>136</v>
      </c>
    </row>
    <row r="242" spans="3:19" x14ac:dyDescent="0.25">
      <c r="C242" s="10"/>
      <c r="D242" s="14" t="s">
        <v>1945</v>
      </c>
      <c r="E242" s="4"/>
      <c r="F242" s="5">
        <v>0</v>
      </c>
      <c r="G242" s="7">
        <f t="shared" si="22"/>
        <v>0</v>
      </c>
      <c r="H242" s="6" t="str">
        <f t="shared" si="23"/>
        <v/>
      </c>
      <c r="I242" s="4"/>
      <c r="J242" s="15"/>
      <c r="K242" s="17"/>
      <c r="L242" s="17"/>
      <c r="M242" s="18"/>
      <c r="O242" s="20" t="str">
        <f t="shared" si="19"/>
        <v>PDI740001</v>
      </c>
      <c r="P242" s="20" t="str">
        <f t="shared" si="24"/>
        <v>T7300_Overview_Display.xgml</v>
      </c>
      <c r="Q242" s="17"/>
      <c r="R242" s="29">
        <f t="shared" si="20"/>
        <v>993</v>
      </c>
      <c r="S242" s="29">
        <f t="shared" si="21"/>
        <v>753</v>
      </c>
    </row>
    <row r="243" spans="3:19" x14ac:dyDescent="0.25">
      <c r="C243" s="10"/>
      <c r="D243" s="14" t="s">
        <v>1946</v>
      </c>
      <c r="E243" s="4"/>
      <c r="F243" s="5">
        <v>0</v>
      </c>
      <c r="G243" s="7">
        <f t="shared" si="22"/>
        <v>0</v>
      </c>
      <c r="H243" s="6" t="str">
        <f t="shared" si="23"/>
        <v/>
      </c>
      <c r="I243" s="4"/>
      <c r="J243" s="15"/>
      <c r="K243" s="17"/>
      <c r="L243" s="17"/>
      <c r="M243" s="18"/>
      <c r="O243" s="20" t="str">
        <f t="shared" si="19"/>
        <v>PDI740005</v>
      </c>
      <c r="P243" s="20" t="str">
        <f t="shared" si="24"/>
        <v>T7400_Overview_Display.xgml</v>
      </c>
      <c r="Q243" s="17"/>
      <c r="R243" s="29">
        <f t="shared" si="20"/>
        <v>23</v>
      </c>
      <c r="S243" s="29">
        <f t="shared" si="21"/>
        <v>315</v>
      </c>
    </row>
    <row r="244" spans="3:19" x14ac:dyDescent="0.25">
      <c r="C244" s="10"/>
      <c r="D244" s="14" t="s">
        <v>1947</v>
      </c>
      <c r="E244" s="4"/>
      <c r="F244" s="5">
        <v>0</v>
      </c>
      <c r="G244" s="7">
        <f t="shared" si="22"/>
        <v>0</v>
      </c>
      <c r="H244" s="6" t="str">
        <f t="shared" si="23"/>
        <v/>
      </c>
      <c r="I244" s="4"/>
      <c r="J244" s="15"/>
      <c r="K244" s="17"/>
      <c r="L244" s="17"/>
      <c r="M244" s="18"/>
      <c r="O244" s="20" t="str">
        <f t="shared" si="19"/>
        <v>PDI740006</v>
      </c>
      <c r="P244" s="20" t="str">
        <f t="shared" si="24"/>
        <v>T7400_Overview_Display.xgml</v>
      </c>
      <c r="Q244" s="17"/>
      <c r="R244" s="29">
        <f t="shared" si="20"/>
        <v>23</v>
      </c>
      <c r="S244" s="29">
        <f t="shared" si="21"/>
        <v>230</v>
      </c>
    </row>
    <row r="245" spans="3:19" x14ac:dyDescent="0.25">
      <c r="C245" s="10"/>
      <c r="D245" s="14" t="s">
        <v>1948</v>
      </c>
      <c r="E245" s="4"/>
      <c r="F245" s="5">
        <v>0</v>
      </c>
      <c r="G245" s="7">
        <f t="shared" si="22"/>
        <v>0</v>
      </c>
      <c r="H245" s="6" t="str">
        <f t="shared" si="23"/>
        <v/>
      </c>
      <c r="I245" s="4"/>
      <c r="J245" s="15"/>
      <c r="K245" s="17"/>
      <c r="L245" s="17"/>
      <c r="M245" s="18"/>
      <c r="O245" s="20" t="str">
        <f t="shared" si="19"/>
        <v>PDI740014</v>
      </c>
      <c r="P245" s="20" t="str">
        <f t="shared" si="24"/>
        <v>T7400_Overview_Display.xgml</v>
      </c>
      <c r="Q245" s="17"/>
      <c r="R245" s="29">
        <f t="shared" si="20"/>
        <v>23</v>
      </c>
      <c r="S245" s="29">
        <f t="shared" si="21"/>
        <v>418</v>
      </c>
    </row>
    <row r="246" spans="3:19" x14ac:dyDescent="0.25">
      <c r="C246" s="10"/>
      <c r="D246" s="14" t="s">
        <v>1949</v>
      </c>
      <c r="E246" s="4"/>
      <c r="F246" s="5">
        <v>0</v>
      </c>
      <c r="G246" s="7">
        <f t="shared" si="22"/>
        <v>0</v>
      </c>
      <c r="H246" s="6" t="str">
        <f t="shared" si="23"/>
        <v/>
      </c>
      <c r="I246" s="4"/>
      <c r="J246" s="15"/>
      <c r="K246" s="17"/>
      <c r="L246" s="17"/>
      <c r="M246" s="18"/>
      <c r="O246" s="20" t="str">
        <f t="shared" si="19"/>
        <v>PDI740219</v>
      </c>
      <c r="P246" s="20" t="str">
        <f t="shared" si="24"/>
        <v>T7400_Overview_Display.xgml</v>
      </c>
      <c r="Q246" s="17"/>
      <c r="R246" s="29">
        <f t="shared" si="20"/>
        <v>1312</v>
      </c>
      <c r="S246" s="29">
        <f t="shared" si="21"/>
        <v>160</v>
      </c>
    </row>
    <row r="247" spans="3:19" x14ac:dyDescent="0.25">
      <c r="C247" s="10"/>
      <c r="D247" s="14" t="s">
        <v>1950</v>
      </c>
      <c r="E247" s="4"/>
      <c r="F247" s="5">
        <v>0</v>
      </c>
      <c r="G247" s="7">
        <f t="shared" si="22"/>
        <v>0</v>
      </c>
      <c r="H247" s="6" t="str">
        <f t="shared" si="23"/>
        <v/>
      </c>
      <c r="I247" s="4"/>
      <c r="J247" s="15"/>
      <c r="K247" s="17"/>
      <c r="L247" s="17"/>
      <c r="M247" s="18"/>
      <c r="O247" s="20" t="str">
        <f t="shared" si="19"/>
        <v>PDI742015</v>
      </c>
      <c r="P247" s="20" t="str">
        <f t="shared" si="24"/>
        <v>V7410_Overview  Display.xgml</v>
      </c>
      <c r="Q247" s="17"/>
      <c r="R247" s="29">
        <f t="shared" si="20"/>
        <v>1320</v>
      </c>
      <c r="S247" s="29">
        <f t="shared" si="21"/>
        <v>616</v>
      </c>
    </row>
    <row r="248" spans="3:19" x14ac:dyDescent="0.25">
      <c r="C248" s="10"/>
      <c r="D248" s="14" t="s">
        <v>1951</v>
      </c>
      <c r="E248" s="4"/>
      <c r="F248" s="5">
        <v>0</v>
      </c>
      <c r="G248" s="7">
        <f t="shared" si="22"/>
        <v>0</v>
      </c>
      <c r="H248" s="6" t="str">
        <f t="shared" si="23"/>
        <v/>
      </c>
      <c r="I248" s="4"/>
      <c r="J248" s="15"/>
      <c r="K248" s="17"/>
      <c r="L248" s="17"/>
      <c r="M248" s="18"/>
      <c r="O248" s="20" t="str">
        <f t="shared" si="19"/>
        <v>PDI742017</v>
      </c>
      <c r="P248" s="20" t="str">
        <f t="shared" si="24"/>
        <v>V7410_Overview  Display.xgml</v>
      </c>
      <c r="Q248" s="17"/>
      <c r="R248" s="29">
        <f t="shared" si="20"/>
        <v>1320</v>
      </c>
      <c r="S248" s="29">
        <f t="shared" si="21"/>
        <v>482</v>
      </c>
    </row>
    <row r="249" spans="3:19" x14ac:dyDescent="0.25">
      <c r="C249" s="10"/>
      <c r="D249" s="14" t="s">
        <v>1952</v>
      </c>
      <c r="E249" s="4"/>
      <c r="F249" s="5">
        <v>0</v>
      </c>
      <c r="G249" s="7">
        <f t="shared" si="22"/>
        <v>0</v>
      </c>
      <c r="H249" s="6" t="str">
        <f t="shared" si="23"/>
        <v/>
      </c>
      <c r="I249" s="4"/>
      <c r="J249" s="15"/>
      <c r="K249" s="17"/>
      <c r="L249" s="17"/>
      <c r="M249" s="18"/>
      <c r="O249" s="20" t="str">
        <f t="shared" si="19"/>
        <v>PDI742019</v>
      </c>
      <c r="P249" s="20" t="str">
        <f t="shared" si="24"/>
        <v>V7410_Overview  Display.xgml</v>
      </c>
      <c r="Q249" s="17"/>
      <c r="R249" s="29">
        <f t="shared" si="20"/>
        <v>1320</v>
      </c>
      <c r="S249" s="29">
        <f t="shared" si="21"/>
        <v>336</v>
      </c>
    </row>
    <row r="250" spans="3:19" x14ac:dyDescent="0.25">
      <c r="C250" s="10"/>
      <c r="D250" s="14" t="s">
        <v>1953</v>
      </c>
      <c r="E250" s="4"/>
      <c r="F250" s="5">
        <v>0</v>
      </c>
      <c r="G250" s="7">
        <f t="shared" si="22"/>
        <v>0</v>
      </c>
      <c r="H250" s="6" t="str">
        <f t="shared" si="23"/>
        <v/>
      </c>
      <c r="I250" s="4"/>
      <c r="J250" s="15"/>
      <c r="K250" s="17"/>
      <c r="L250" s="17"/>
      <c r="M250" s="18"/>
      <c r="O250" s="20" t="str">
        <f t="shared" si="19"/>
        <v>PDI750001</v>
      </c>
      <c r="P250" s="20" t="str">
        <f t="shared" si="24"/>
        <v>T7400_Overview_Display.xgml</v>
      </c>
      <c r="Q250" s="17"/>
      <c r="R250" s="29">
        <f t="shared" si="20"/>
        <v>1048</v>
      </c>
      <c r="S250" s="29">
        <f t="shared" si="21"/>
        <v>760</v>
      </c>
    </row>
    <row r="251" spans="3:19" x14ac:dyDescent="0.25">
      <c r="C251" s="10"/>
      <c r="D251" s="14" t="s">
        <v>1954</v>
      </c>
      <c r="E251" s="4"/>
      <c r="F251" s="5">
        <v>0</v>
      </c>
      <c r="G251" s="7">
        <f t="shared" si="22"/>
        <v>0</v>
      </c>
      <c r="H251" s="6" t="str">
        <f t="shared" si="23"/>
        <v/>
      </c>
      <c r="I251" s="4"/>
      <c r="J251" s="15"/>
      <c r="K251" s="17"/>
      <c r="L251" s="17"/>
      <c r="M251" s="18"/>
      <c r="O251" s="20" t="str">
        <f t="shared" si="19"/>
        <v>PDI750005</v>
      </c>
      <c r="P251" s="20" t="str">
        <f t="shared" si="24"/>
        <v>T7500_Overview_Display.xgml</v>
      </c>
      <c r="Q251" s="17"/>
      <c r="R251" s="29">
        <f t="shared" si="20"/>
        <v>23</v>
      </c>
      <c r="S251" s="29">
        <f t="shared" si="21"/>
        <v>339</v>
      </c>
    </row>
    <row r="252" spans="3:19" x14ac:dyDescent="0.25">
      <c r="C252" s="10"/>
      <c r="D252" s="14" t="s">
        <v>1955</v>
      </c>
      <c r="E252" s="4"/>
      <c r="F252" s="5">
        <v>0</v>
      </c>
      <c r="G252" s="7">
        <f t="shared" si="22"/>
        <v>0</v>
      </c>
      <c r="H252" s="6" t="str">
        <f t="shared" si="23"/>
        <v/>
      </c>
      <c r="I252" s="4"/>
      <c r="J252" s="15"/>
      <c r="K252" s="17"/>
      <c r="L252" s="17"/>
      <c r="M252" s="18"/>
      <c r="O252" s="20" t="str">
        <f t="shared" si="19"/>
        <v>PDI750006</v>
      </c>
      <c r="P252" s="20" t="str">
        <f t="shared" si="24"/>
        <v>T7500_Overview_Display.xgml</v>
      </c>
      <c r="Q252" s="17"/>
      <c r="R252" s="29">
        <f t="shared" si="20"/>
        <v>23</v>
      </c>
      <c r="S252" s="29">
        <f t="shared" si="21"/>
        <v>224</v>
      </c>
    </row>
    <row r="253" spans="3:19" x14ac:dyDescent="0.25">
      <c r="C253" s="10"/>
      <c r="D253" s="14" t="s">
        <v>1956</v>
      </c>
      <c r="E253" s="4"/>
      <c r="F253" s="5">
        <v>0</v>
      </c>
      <c r="G253" s="7">
        <f t="shared" si="22"/>
        <v>0</v>
      </c>
      <c r="H253" s="6" t="str">
        <f t="shared" si="23"/>
        <v/>
      </c>
      <c r="I253" s="4"/>
      <c r="J253" s="15"/>
      <c r="K253" s="17"/>
      <c r="L253" s="17"/>
      <c r="M253" s="18"/>
      <c r="O253" s="20" t="str">
        <f t="shared" si="19"/>
        <v>PDI750014</v>
      </c>
      <c r="P253" s="20" t="str">
        <f t="shared" si="24"/>
        <v>T7500_Overview_Display.xgml</v>
      </c>
      <c r="Q253" s="17"/>
      <c r="R253" s="29">
        <f t="shared" si="20"/>
        <v>23</v>
      </c>
      <c r="S253" s="29">
        <f t="shared" si="21"/>
        <v>413</v>
      </c>
    </row>
    <row r="254" spans="3:19" x14ac:dyDescent="0.25">
      <c r="C254" s="10"/>
      <c r="D254" s="14" t="s">
        <v>1957</v>
      </c>
      <c r="E254" s="4"/>
      <c r="F254" s="5">
        <v>0</v>
      </c>
      <c r="G254" s="7">
        <f t="shared" si="22"/>
        <v>0</v>
      </c>
      <c r="H254" s="6" t="str">
        <f t="shared" si="23"/>
        <v/>
      </c>
      <c r="I254" s="4"/>
      <c r="J254" s="15"/>
      <c r="K254" s="17"/>
      <c r="L254" s="17"/>
      <c r="M254" s="18"/>
      <c r="O254" s="20" t="str">
        <f t="shared" si="19"/>
        <v>PDI750219</v>
      </c>
      <c r="P254" s="20" t="str">
        <f t="shared" si="24"/>
        <v>T7500_Overview_Display.xgml</v>
      </c>
      <c r="Q254" s="17"/>
      <c r="R254" s="29">
        <f t="shared" si="20"/>
        <v>1317</v>
      </c>
      <c r="S254" s="29">
        <f t="shared" si="21"/>
        <v>152</v>
      </c>
    </row>
    <row r="255" spans="3:19" x14ac:dyDescent="0.25">
      <c r="C255" s="10"/>
      <c r="D255" s="14" t="s">
        <v>1958</v>
      </c>
      <c r="E255" s="4"/>
      <c r="F255" s="5">
        <v>0</v>
      </c>
      <c r="G255" s="7">
        <f t="shared" si="22"/>
        <v>0</v>
      </c>
      <c r="H255" s="6" t="str">
        <f t="shared" si="23"/>
        <v/>
      </c>
      <c r="I255" s="4"/>
      <c r="J255" s="15"/>
      <c r="K255" s="17"/>
      <c r="L255" s="17"/>
      <c r="M255" s="18"/>
      <c r="O255" s="20" t="str">
        <f t="shared" si="19"/>
        <v>PDI752015</v>
      </c>
      <c r="P255" s="20" t="str">
        <f t="shared" si="24"/>
        <v>V7510_Overview  Display.xgml</v>
      </c>
      <c r="Q255" s="17"/>
      <c r="R255" s="29">
        <f t="shared" si="20"/>
        <v>1304</v>
      </c>
      <c r="S255" s="29">
        <f t="shared" si="21"/>
        <v>535</v>
      </c>
    </row>
    <row r="256" spans="3:19" x14ac:dyDescent="0.25">
      <c r="C256" s="10"/>
      <c r="D256" s="14" t="s">
        <v>1959</v>
      </c>
      <c r="E256" s="4"/>
      <c r="F256" s="5">
        <v>0</v>
      </c>
      <c r="G256" s="7">
        <f t="shared" si="22"/>
        <v>0</v>
      </c>
      <c r="H256" s="6" t="str">
        <f t="shared" si="23"/>
        <v/>
      </c>
      <c r="I256" s="4"/>
      <c r="J256" s="15"/>
      <c r="K256" s="17"/>
      <c r="L256" s="17"/>
      <c r="M256" s="18"/>
      <c r="O256" s="20" t="str">
        <f t="shared" si="19"/>
        <v>PDI760001</v>
      </c>
      <c r="P256" s="20" t="str">
        <f t="shared" si="24"/>
        <v>T7500_Overview_Display.xgml</v>
      </c>
      <c r="Q256" s="17"/>
      <c r="R256" s="29">
        <f t="shared" si="20"/>
        <v>1048</v>
      </c>
      <c r="S256" s="29">
        <f t="shared" si="21"/>
        <v>760</v>
      </c>
    </row>
    <row r="257" spans="3:19" x14ac:dyDescent="0.25">
      <c r="C257" s="10"/>
      <c r="D257" s="14" t="s">
        <v>1960</v>
      </c>
      <c r="E257" s="4"/>
      <c r="F257" s="5">
        <v>0</v>
      </c>
      <c r="G257" s="7">
        <f t="shared" si="22"/>
        <v>0</v>
      </c>
      <c r="H257" s="6" t="str">
        <f t="shared" si="23"/>
        <v/>
      </c>
      <c r="I257" s="4"/>
      <c r="J257" s="15"/>
      <c r="K257" s="17"/>
      <c r="L257" s="17"/>
      <c r="M257" s="18"/>
      <c r="O257" s="20" t="str">
        <f t="shared" si="19"/>
        <v>PDI760005</v>
      </c>
      <c r="P257" s="20" t="str">
        <f t="shared" si="24"/>
        <v>T7600_Overview_Display.xgml</v>
      </c>
      <c r="Q257" s="17"/>
      <c r="R257" s="29">
        <f t="shared" si="20"/>
        <v>23</v>
      </c>
      <c r="S257" s="29">
        <f t="shared" si="21"/>
        <v>339</v>
      </c>
    </row>
    <row r="258" spans="3:19" x14ac:dyDescent="0.25">
      <c r="C258" s="10"/>
      <c r="D258" s="14" t="s">
        <v>1961</v>
      </c>
      <c r="E258" s="4"/>
      <c r="F258" s="5">
        <v>0</v>
      </c>
      <c r="G258" s="7">
        <f t="shared" si="22"/>
        <v>0</v>
      </c>
      <c r="H258" s="6" t="str">
        <f t="shared" si="23"/>
        <v/>
      </c>
      <c r="I258" s="4"/>
      <c r="J258" s="15"/>
      <c r="K258" s="17"/>
      <c r="L258" s="17"/>
      <c r="M258" s="18"/>
      <c r="O258" s="20" t="str">
        <f t="shared" si="19"/>
        <v>PDI760006</v>
      </c>
      <c r="P258" s="20" t="str">
        <f t="shared" si="24"/>
        <v>T7600_Overview_Display.xgml</v>
      </c>
      <c r="Q258" s="17"/>
      <c r="R258" s="29">
        <f t="shared" si="20"/>
        <v>23</v>
      </c>
      <c r="S258" s="29">
        <f t="shared" si="21"/>
        <v>210</v>
      </c>
    </row>
    <row r="259" spans="3:19" x14ac:dyDescent="0.25">
      <c r="C259" s="10"/>
      <c r="D259" s="14" t="s">
        <v>1962</v>
      </c>
      <c r="E259" s="4"/>
      <c r="F259" s="5">
        <v>0</v>
      </c>
      <c r="G259" s="7">
        <f t="shared" si="22"/>
        <v>0</v>
      </c>
      <c r="H259" s="6" t="str">
        <f t="shared" si="23"/>
        <v/>
      </c>
      <c r="I259" s="4"/>
      <c r="J259" s="15"/>
      <c r="K259" s="17"/>
      <c r="L259" s="17"/>
      <c r="M259" s="18"/>
      <c r="O259" s="20" t="str">
        <f t="shared" si="19"/>
        <v>PDI760014</v>
      </c>
      <c r="P259" s="20" t="str">
        <f t="shared" si="24"/>
        <v>T7600_Overview_Display.xgml</v>
      </c>
      <c r="Q259" s="17"/>
      <c r="R259" s="29">
        <f t="shared" si="20"/>
        <v>23</v>
      </c>
      <c r="S259" s="29">
        <f t="shared" si="21"/>
        <v>418</v>
      </c>
    </row>
    <row r="260" spans="3:19" x14ac:dyDescent="0.25">
      <c r="C260" s="10"/>
      <c r="D260" s="14" t="s">
        <v>1963</v>
      </c>
      <c r="E260" s="4"/>
      <c r="F260" s="5">
        <v>0</v>
      </c>
      <c r="G260" s="7">
        <f t="shared" si="22"/>
        <v>0</v>
      </c>
      <c r="H260" s="6" t="str">
        <f t="shared" si="23"/>
        <v/>
      </c>
      <c r="I260" s="4"/>
      <c r="J260" s="15"/>
      <c r="K260" s="17"/>
      <c r="L260" s="17"/>
      <c r="M260" s="18"/>
      <c r="O260" s="20" t="str">
        <f t="shared" si="19"/>
        <v>PDI760219</v>
      </c>
      <c r="P260" s="20" t="str">
        <f t="shared" si="24"/>
        <v>T7600_Overview_Display.xgml</v>
      </c>
      <c r="Q260" s="17"/>
      <c r="R260" s="29">
        <f t="shared" si="20"/>
        <v>1336</v>
      </c>
      <c r="S260" s="29">
        <f t="shared" si="21"/>
        <v>144</v>
      </c>
    </row>
    <row r="261" spans="3:19" x14ac:dyDescent="0.25">
      <c r="C261" s="10"/>
      <c r="D261" s="14" t="s">
        <v>1964</v>
      </c>
      <c r="E261" s="4"/>
      <c r="F261" s="5">
        <v>0</v>
      </c>
      <c r="G261" s="7">
        <f t="shared" si="22"/>
        <v>0</v>
      </c>
      <c r="H261" s="6" t="str">
        <f t="shared" si="23"/>
        <v/>
      </c>
      <c r="I261" s="4"/>
      <c r="J261" s="15"/>
      <c r="K261" s="17"/>
      <c r="L261" s="17"/>
      <c r="M261" s="18"/>
      <c r="O261" s="20" t="str">
        <f t="shared" si="19"/>
        <v>PDI790016</v>
      </c>
      <c r="P261" s="20" t="str">
        <f t="shared" si="24"/>
        <v>D7900_Overview  Display.xgml</v>
      </c>
      <c r="Q261" s="17"/>
      <c r="R261" s="29">
        <f t="shared" si="20"/>
        <v>1060</v>
      </c>
      <c r="S261" s="29">
        <f t="shared" si="21"/>
        <v>211</v>
      </c>
    </row>
    <row r="262" spans="3:19" x14ac:dyDescent="0.25">
      <c r="C262" s="10"/>
      <c r="D262" s="14" t="s">
        <v>1965</v>
      </c>
      <c r="E262" s="4"/>
      <c r="F262" s="5">
        <v>0</v>
      </c>
      <c r="G262" s="7">
        <f t="shared" si="22"/>
        <v>0</v>
      </c>
      <c r="H262" s="6" t="str">
        <f t="shared" si="23"/>
        <v/>
      </c>
      <c r="I262" s="4"/>
      <c r="J262" s="15"/>
      <c r="K262" s="17"/>
      <c r="L262" s="17"/>
      <c r="M262" s="18"/>
      <c r="O262" s="20" t="str">
        <f t="shared" si="19"/>
        <v>PDI791008</v>
      </c>
      <c r="P262" s="20" t="str">
        <f t="shared" si="24"/>
        <v>D7900_Overview  Display.xgml</v>
      </c>
      <c r="Q262" s="17"/>
      <c r="R262" s="29">
        <f t="shared" si="20"/>
        <v>226</v>
      </c>
      <c r="S262" s="29">
        <f t="shared" si="21"/>
        <v>235</v>
      </c>
    </row>
    <row r="263" spans="3:19" x14ac:dyDescent="0.25">
      <c r="C263" s="10"/>
      <c r="D263" s="14" t="s">
        <v>1966</v>
      </c>
      <c r="E263" s="4"/>
      <c r="F263" s="5">
        <v>0</v>
      </c>
      <c r="G263" s="7">
        <f t="shared" si="22"/>
        <v>0</v>
      </c>
      <c r="H263" s="6" t="str">
        <f t="shared" si="23"/>
        <v/>
      </c>
      <c r="I263" s="4"/>
      <c r="J263" s="15"/>
      <c r="K263" s="17"/>
      <c r="L263" s="17"/>
      <c r="M263" s="18"/>
      <c r="O263" s="20" t="str">
        <f t="shared" si="19"/>
        <v>PDI792003</v>
      </c>
      <c r="P263" s="20" t="str">
        <f t="shared" si="24"/>
        <v>Not Found</v>
      </c>
      <c r="Q263" s="17"/>
      <c r="R263" s="29" t="str">
        <f t="shared" si="20"/>
        <v>Not Found</v>
      </c>
      <c r="S263" s="29" t="str">
        <f t="shared" si="21"/>
        <v>Not Found</v>
      </c>
    </row>
    <row r="264" spans="3:19" x14ac:dyDescent="0.25">
      <c r="C264" s="10"/>
      <c r="D264" s="14" t="s">
        <v>1967</v>
      </c>
      <c r="E264" s="4"/>
      <c r="F264" s="5">
        <v>2</v>
      </c>
      <c r="G264" s="7">
        <f t="shared" si="22"/>
        <v>-2</v>
      </c>
      <c r="H264" s="6">
        <f t="shared" si="23"/>
        <v>-1</v>
      </c>
      <c r="I264" s="4"/>
      <c r="J264" s="15"/>
      <c r="K264" s="17"/>
      <c r="L264" s="17"/>
      <c r="M264" s="18"/>
      <c r="O264" s="20" t="str">
        <f t="shared" ref="O264:O327" si="25">+LEFT(D264,FIND("IO",D264,1)-1)</f>
        <v>PDI794004</v>
      </c>
      <c r="P264" s="20" t="str">
        <f t="shared" si="24"/>
        <v>Not Found</v>
      </c>
      <c r="Q264" s="17"/>
      <c r="R264" s="29" t="str">
        <f t="shared" ref="R264:R327" si="26">+IF(P264="Not Found",P264,VALUE(FINDProp($P$2,$P264,$O264,"XPos")))</f>
        <v>Not Found</v>
      </c>
      <c r="S264" s="29" t="str">
        <f t="shared" ref="S264:S327" si="27">+IF(P264="Not Found",P264,VALUE(FINDProp($P$2,$P264,$O264,"YPos")))</f>
        <v>Not Found</v>
      </c>
    </row>
    <row r="265" spans="3:19" x14ac:dyDescent="0.25">
      <c r="C265" s="10"/>
      <c r="D265" s="14" t="s">
        <v>1968</v>
      </c>
      <c r="E265" s="4"/>
      <c r="F265" s="5">
        <v>2</v>
      </c>
      <c r="G265" s="7">
        <f t="shared" si="22"/>
        <v>-2</v>
      </c>
      <c r="H265" s="6">
        <f t="shared" si="23"/>
        <v>-1</v>
      </c>
      <c r="I265" s="4"/>
      <c r="J265" s="15"/>
      <c r="K265" s="17"/>
      <c r="L265" s="17"/>
      <c r="M265" s="18"/>
      <c r="O265" s="20" t="str">
        <f t="shared" si="25"/>
        <v>PDI794006</v>
      </c>
      <c r="P265" s="20" t="str">
        <f t="shared" si="24"/>
        <v>Not Found</v>
      </c>
      <c r="Q265" s="17"/>
      <c r="R265" s="29" t="str">
        <f t="shared" si="26"/>
        <v>Not Found</v>
      </c>
      <c r="S265" s="29" t="str">
        <f t="shared" si="27"/>
        <v>Not Found</v>
      </c>
    </row>
    <row r="266" spans="3:19" x14ac:dyDescent="0.25">
      <c r="C266" s="10"/>
      <c r="D266" s="14" t="s">
        <v>1969</v>
      </c>
      <c r="E266" s="4"/>
      <c r="F266" s="5">
        <v>2</v>
      </c>
      <c r="G266" s="7">
        <f t="shared" ref="G266:G329" si="28">(E266-F266)</f>
        <v>-2</v>
      </c>
      <c r="H266" s="6">
        <f t="shared" ref="H266:H329" si="29">IF(F266&lt;&gt;0,(E266-F266)/F266,"")</f>
        <v>-1</v>
      </c>
      <c r="I266" s="4"/>
      <c r="J266" s="15"/>
      <c r="K266" s="17"/>
      <c r="L266" s="17"/>
      <c r="M266" s="18"/>
      <c r="O266" s="20" t="str">
        <f t="shared" si="25"/>
        <v>PDI796011</v>
      </c>
      <c r="P266" s="20" t="str">
        <f t="shared" si="24"/>
        <v>Not Found</v>
      </c>
      <c r="Q266" s="17"/>
      <c r="R266" s="29" t="str">
        <f t="shared" si="26"/>
        <v>Not Found</v>
      </c>
      <c r="S266" s="29" t="str">
        <f t="shared" si="27"/>
        <v>Not Found</v>
      </c>
    </row>
    <row r="267" spans="3:19" x14ac:dyDescent="0.25">
      <c r="C267" s="10"/>
      <c r="D267" s="14" t="s">
        <v>1970</v>
      </c>
      <c r="E267" s="4"/>
      <c r="F267" s="5">
        <v>0</v>
      </c>
      <c r="G267" s="7">
        <f t="shared" si="28"/>
        <v>0</v>
      </c>
      <c r="H267" s="6" t="str">
        <f t="shared" si="29"/>
        <v/>
      </c>
      <c r="I267" s="4"/>
      <c r="J267" s="15"/>
      <c r="K267" s="17"/>
      <c r="L267" s="17"/>
      <c r="M267" s="18"/>
      <c r="O267" s="20" t="str">
        <f t="shared" si="25"/>
        <v>PI700005</v>
      </c>
      <c r="P267" s="20" t="str">
        <f t="shared" si="24"/>
        <v>REACTION_Graphic Display.xgml</v>
      </c>
      <c r="Q267" s="17"/>
      <c r="R267" s="29">
        <f t="shared" si="26"/>
        <v>117</v>
      </c>
      <c r="S267" s="29">
        <f t="shared" si="27"/>
        <v>438</v>
      </c>
    </row>
    <row r="268" spans="3:19" x14ac:dyDescent="0.25">
      <c r="C268" s="10"/>
      <c r="D268" s="14" t="s">
        <v>1971</v>
      </c>
      <c r="E268" s="4"/>
      <c r="F268" s="5">
        <v>0</v>
      </c>
      <c r="G268" s="7">
        <f t="shared" si="28"/>
        <v>0</v>
      </c>
      <c r="H268" s="6" t="str">
        <f t="shared" si="29"/>
        <v/>
      </c>
      <c r="I268" s="4"/>
      <c r="J268" s="15"/>
      <c r="K268" s="17"/>
      <c r="L268" s="17"/>
      <c r="M268" s="18"/>
      <c r="O268" s="20" t="str">
        <f t="shared" si="25"/>
        <v>PI700012</v>
      </c>
      <c r="P268" s="20" t="str">
        <f t="shared" si="24"/>
        <v>R7040-2A_Overview Display.xgml</v>
      </c>
      <c r="Q268" s="17"/>
      <c r="R268" s="29">
        <f t="shared" si="26"/>
        <v>61</v>
      </c>
      <c r="S268" s="29">
        <f t="shared" si="27"/>
        <v>647</v>
      </c>
    </row>
    <row r="269" spans="3:19" x14ac:dyDescent="0.25">
      <c r="C269" s="10"/>
      <c r="D269" s="14" t="s">
        <v>1972</v>
      </c>
      <c r="E269" s="4"/>
      <c r="F269" s="5">
        <v>0</v>
      </c>
      <c r="G269" s="7">
        <f t="shared" si="28"/>
        <v>0</v>
      </c>
      <c r="H269" s="6" t="str">
        <f t="shared" si="29"/>
        <v/>
      </c>
      <c r="I269" s="4"/>
      <c r="J269" s="15"/>
      <c r="K269" s="17"/>
      <c r="L269" s="17"/>
      <c r="M269" s="18"/>
      <c r="O269" s="20" t="str">
        <f t="shared" si="25"/>
        <v>PI701017</v>
      </c>
      <c r="P269" s="20" t="str">
        <f t="shared" si="24"/>
        <v>R7040-1_Overview Display.xgml</v>
      </c>
      <c r="Q269" s="17"/>
      <c r="R269" s="29">
        <f t="shared" si="26"/>
        <v>885</v>
      </c>
      <c r="S269" s="29">
        <f t="shared" si="27"/>
        <v>41</v>
      </c>
    </row>
    <row r="270" spans="3:19" x14ac:dyDescent="0.25">
      <c r="C270" s="10"/>
      <c r="D270" s="14" t="s">
        <v>1973</v>
      </c>
      <c r="E270" s="4"/>
      <c r="F270" s="5">
        <v>0</v>
      </c>
      <c r="G270" s="7">
        <f t="shared" si="28"/>
        <v>0</v>
      </c>
      <c r="H270" s="6" t="str">
        <f t="shared" si="29"/>
        <v/>
      </c>
      <c r="I270" s="4"/>
      <c r="J270" s="15"/>
      <c r="K270" s="17"/>
      <c r="L270" s="17"/>
      <c r="M270" s="18"/>
      <c r="O270" s="20" t="str">
        <f t="shared" si="25"/>
        <v>PI701101</v>
      </c>
      <c r="P270" s="20" t="str">
        <f t="shared" si="24"/>
        <v>PU7700_Overview  Display.xgml</v>
      </c>
      <c r="Q270" s="17"/>
      <c r="R270" s="29">
        <f t="shared" si="26"/>
        <v>264</v>
      </c>
      <c r="S270" s="29">
        <f t="shared" si="27"/>
        <v>593</v>
      </c>
    </row>
    <row r="271" spans="3:19" x14ac:dyDescent="0.25">
      <c r="C271" s="10"/>
      <c r="D271" s="14" t="s">
        <v>1974</v>
      </c>
      <c r="E271" s="4"/>
      <c r="F271" s="5">
        <v>0</v>
      </c>
      <c r="G271" s="7">
        <f t="shared" si="28"/>
        <v>0</v>
      </c>
      <c r="H271" s="6" t="str">
        <f t="shared" si="29"/>
        <v/>
      </c>
      <c r="I271" s="4"/>
      <c r="J271" s="15"/>
      <c r="K271" s="17"/>
      <c r="L271" s="17"/>
      <c r="M271" s="18"/>
      <c r="O271" s="20" t="str">
        <f t="shared" si="25"/>
        <v>PI701104</v>
      </c>
      <c r="P271" s="20" t="str">
        <f t="shared" si="24"/>
        <v>PU7700_Overview  Display.xgml</v>
      </c>
      <c r="Q271" s="17"/>
      <c r="R271" s="29">
        <f t="shared" si="26"/>
        <v>913</v>
      </c>
      <c r="S271" s="29">
        <f t="shared" si="27"/>
        <v>755</v>
      </c>
    </row>
    <row r="272" spans="3:19" x14ac:dyDescent="0.25">
      <c r="C272" s="10"/>
      <c r="D272" s="14" t="s">
        <v>1975</v>
      </c>
      <c r="E272" s="4"/>
      <c r="F272" s="5">
        <v>0</v>
      </c>
      <c r="G272" s="7">
        <f t="shared" si="28"/>
        <v>0</v>
      </c>
      <c r="H272" s="6" t="str">
        <f t="shared" si="29"/>
        <v/>
      </c>
      <c r="I272" s="4"/>
      <c r="J272" s="15"/>
      <c r="K272" s="17"/>
      <c r="L272" s="17"/>
      <c r="M272" s="18"/>
      <c r="O272" s="20" t="str">
        <f t="shared" si="25"/>
        <v>PI703016</v>
      </c>
      <c r="P272" s="20" t="str">
        <f t="shared" si="24"/>
        <v>R7040-2A_Overview Display.xgml</v>
      </c>
      <c r="Q272" s="17"/>
      <c r="R272" s="29">
        <f t="shared" si="26"/>
        <v>260</v>
      </c>
      <c r="S272" s="29">
        <f t="shared" si="27"/>
        <v>377</v>
      </c>
    </row>
    <row r="273" spans="3:19" x14ac:dyDescent="0.25">
      <c r="C273" s="10"/>
      <c r="D273" s="14" t="s">
        <v>1976</v>
      </c>
      <c r="E273" s="4"/>
      <c r="F273" s="5">
        <v>0</v>
      </c>
      <c r="G273" s="7">
        <f t="shared" si="28"/>
        <v>0</v>
      </c>
      <c r="H273" s="6" t="str">
        <f t="shared" si="29"/>
        <v/>
      </c>
      <c r="I273" s="4"/>
      <c r="J273" s="15"/>
      <c r="K273" s="17"/>
      <c r="L273" s="17"/>
      <c r="M273" s="18"/>
      <c r="O273" s="20" t="str">
        <f t="shared" si="25"/>
        <v>PI703035</v>
      </c>
      <c r="P273" s="20" t="str">
        <f t="shared" si="24"/>
        <v>R7040-2A_Overview Display.xgml</v>
      </c>
      <c r="Q273" s="17"/>
      <c r="R273" s="29">
        <f t="shared" si="26"/>
        <v>237</v>
      </c>
      <c r="S273" s="29">
        <f t="shared" si="27"/>
        <v>137</v>
      </c>
    </row>
    <row r="274" spans="3:19" x14ac:dyDescent="0.25">
      <c r="C274" s="10"/>
      <c r="D274" s="14" t="s">
        <v>1977</v>
      </c>
      <c r="E274" s="4"/>
      <c r="F274" s="5">
        <v>0</v>
      </c>
      <c r="G274" s="7">
        <f t="shared" si="28"/>
        <v>0</v>
      </c>
      <c r="H274" s="6" t="str">
        <f t="shared" si="29"/>
        <v/>
      </c>
      <c r="I274" s="4"/>
      <c r="J274" s="15"/>
      <c r="K274" s="17"/>
      <c r="L274" s="17"/>
      <c r="M274" s="18"/>
      <c r="O274" s="20" t="str">
        <f t="shared" si="25"/>
        <v>PI703037</v>
      </c>
      <c r="P274" s="20" t="str">
        <f t="shared" si="24"/>
        <v>R7040-2A_Overview Display.xgml</v>
      </c>
      <c r="Q274" s="17"/>
      <c r="R274" s="29">
        <f t="shared" si="26"/>
        <v>56</v>
      </c>
      <c r="S274" s="29">
        <f t="shared" si="27"/>
        <v>376</v>
      </c>
    </row>
    <row r="275" spans="3:19" x14ac:dyDescent="0.25">
      <c r="C275" s="10"/>
      <c r="D275" s="14" t="s">
        <v>1978</v>
      </c>
      <c r="E275" s="4"/>
      <c r="F275" s="5">
        <v>0</v>
      </c>
      <c r="G275" s="7">
        <f t="shared" si="28"/>
        <v>0</v>
      </c>
      <c r="H275" s="6" t="str">
        <f t="shared" si="29"/>
        <v/>
      </c>
      <c r="I275" s="4"/>
      <c r="J275" s="15"/>
      <c r="K275" s="17"/>
      <c r="L275" s="17"/>
      <c r="M275" s="18"/>
      <c r="O275" s="20" t="str">
        <f t="shared" si="25"/>
        <v>PI704008A_1oo2</v>
      </c>
      <c r="P275" s="20" t="str">
        <f t="shared" si="24"/>
        <v>REACTION_Graphic Display.xgml</v>
      </c>
      <c r="Q275" s="17"/>
      <c r="R275" s="29">
        <f t="shared" si="26"/>
        <v>436</v>
      </c>
      <c r="S275" s="29">
        <f t="shared" si="27"/>
        <v>256</v>
      </c>
    </row>
    <row r="276" spans="3:19" x14ac:dyDescent="0.25">
      <c r="C276" s="10"/>
      <c r="D276" s="14" t="s">
        <v>1979</v>
      </c>
      <c r="E276" s="4"/>
      <c r="F276" s="5">
        <v>0</v>
      </c>
      <c r="G276" s="7">
        <f t="shared" si="28"/>
        <v>0</v>
      </c>
      <c r="H276" s="6" t="str">
        <f t="shared" si="29"/>
        <v/>
      </c>
      <c r="I276" s="4"/>
      <c r="J276" s="15"/>
      <c r="K276" s="17"/>
      <c r="L276" s="17"/>
      <c r="M276" s="18"/>
      <c r="O276" s="20" t="str">
        <f t="shared" si="25"/>
        <v>PI704008A_1oo2</v>
      </c>
      <c r="P276" s="20" t="str">
        <f t="shared" si="24"/>
        <v>REACTION_Graphic Display.xgml</v>
      </c>
      <c r="Q276" s="17"/>
      <c r="R276" s="29">
        <f t="shared" si="26"/>
        <v>436</v>
      </c>
      <c r="S276" s="29">
        <f t="shared" si="27"/>
        <v>256</v>
      </c>
    </row>
    <row r="277" spans="3:19" x14ac:dyDescent="0.25">
      <c r="C277" s="10"/>
      <c r="D277" s="14" t="s">
        <v>1980</v>
      </c>
      <c r="E277" s="4"/>
      <c r="F277" s="5">
        <v>0</v>
      </c>
      <c r="G277" s="7">
        <f t="shared" si="28"/>
        <v>0</v>
      </c>
      <c r="H277" s="6" t="str">
        <f t="shared" si="29"/>
        <v/>
      </c>
      <c r="I277" s="4"/>
      <c r="J277" s="15"/>
      <c r="K277" s="17"/>
      <c r="L277" s="17"/>
      <c r="M277" s="18"/>
      <c r="O277" s="20" t="str">
        <f t="shared" si="25"/>
        <v>PI720003A</v>
      </c>
      <c r="P277" s="20" t="str">
        <f t="shared" si="24"/>
        <v>Not Found</v>
      </c>
      <c r="Q277" s="17"/>
      <c r="R277" s="29" t="str">
        <f t="shared" si="26"/>
        <v>Not Found</v>
      </c>
      <c r="S277" s="29" t="str">
        <f t="shared" si="27"/>
        <v>Not Found</v>
      </c>
    </row>
    <row r="278" spans="3:19" x14ac:dyDescent="0.25">
      <c r="C278" s="10"/>
      <c r="D278" s="14" t="s">
        <v>1981</v>
      </c>
      <c r="E278" s="4"/>
      <c r="F278" s="5">
        <v>0</v>
      </c>
      <c r="G278" s="7">
        <f t="shared" si="28"/>
        <v>0</v>
      </c>
      <c r="H278" s="6" t="str">
        <f t="shared" si="29"/>
        <v/>
      </c>
      <c r="I278" s="4"/>
      <c r="J278" s="15"/>
      <c r="K278" s="17"/>
      <c r="L278" s="17"/>
      <c r="M278" s="18"/>
      <c r="O278" s="20" t="str">
        <f t="shared" si="25"/>
        <v>PI720003B</v>
      </c>
      <c r="P278" s="20" t="str">
        <f t="shared" si="24"/>
        <v>Not Found</v>
      </c>
      <c r="Q278" s="17"/>
      <c r="R278" s="29" t="str">
        <f t="shared" si="26"/>
        <v>Not Found</v>
      </c>
      <c r="S278" s="29" t="str">
        <f t="shared" si="27"/>
        <v>Not Found</v>
      </c>
    </row>
    <row r="279" spans="3:19" x14ac:dyDescent="0.25">
      <c r="C279" s="10"/>
      <c r="D279" s="14" t="s">
        <v>1982</v>
      </c>
      <c r="E279" s="4"/>
      <c r="F279" s="5">
        <v>0</v>
      </c>
      <c r="G279" s="7">
        <f t="shared" si="28"/>
        <v>0</v>
      </c>
      <c r="H279" s="6" t="str">
        <f t="shared" si="29"/>
        <v/>
      </c>
      <c r="I279" s="4"/>
      <c r="J279" s="15"/>
      <c r="K279" s="17"/>
      <c r="L279" s="17"/>
      <c r="M279" s="18"/>
      <c r="O279" s="20" t="str">
        <f t="shared" si="25"/>
        <v>PI720007</v>
      </c>
      <c r="P279" s="20" t="str">
        <f t="shared" si="24"/>
        <v>REACTION_Graphic Display.xgml</v>
      </c>
      <c r="Q279" s="17"/>
      <c r="R279" s="29">
        <f t="shared" si="26"/>
        <v>646</v>
      </c>
      <c r="S279" s="29">
        <f t="shared" si="27"/>
        <v>120</v>
      </c>
    </row>
    <row r="280" spans="3:19" x14ac:dyDescent="0.25">
      <c r="C280" s="10"/>
      <c r="D280" s="14" t="s">
        <v>1983</v>
      </c>
      <c r="E280" s="4"/>
      <c r="F280" s="5">
        <v>0</v>
      </c>
      <c r="G280" s="7">
        <f t="shared" si="28"/>
        <v>0</v>
      </c>
      <c r="H280" s="6" t="str">
        <f t="shared" si="29"/>
        <v/>
      </c>
      <c r="I280" s="4"/>
      <c r="J280" s="15"/>
      <c r="K280" s="17"/>
      <c r="L280" s="17"/>
      <c r="M280" s="18"/>
      <c r="O280" s="20" t="str">
        <f t="shared" si="25"/>
        <v>PI721003</v>
      </c>
      <c r="P280" s="20" t="str">
        <f t="shared" si="24"/>
        <v>R7040-2B_Overview Display.xgml</v>
      </c>
      <c r="Q280" s="17"/>
      <c r="R280" s="29">
        <f t="shared" si="26"/>
        <v>676</v>
      </c>
      <c r="S280" s="29">
        <f t="shared" si="27"/>
        <v>165</v>
      </c>
    </row>
    <row r="281" spans="3:19" x14ac:dyDescent="0.25">
      <c r="C281" s="10"/>
      <c r="D281" s="14" t="s">
        <v>1984</v>
      </c>
      <c r="E281" s="4"/>
      <c r="F281" s="5">
        <v>0</v>
      </c>
      <c r="G281" s="7">
        <f t="shared" si="28"/>
        <v>0</v>
      </c>
      <c r="H281" s="6" t="str">
        <f t="shared" si="29"/>
        <v/>
      </c>
      <c r="I281" s="4"/>
      <c r="J281" s="15"/>
      <c r="K281" s="17"/>
      <c r="L281" s="17"/>
      <c r="M281" s="18"/>
      <c r="O281" s="20" t="str">
        <f t="shared" si="25"/>
        <v>PI721007</v>
      </c>
      <c r="P281" s="20" t="str">
        <f t="shared" si="24"/>
        <v>REACTION_Graphic Display.xgml</v>
      </c>
      <c r="Q281" s="17"/>
      <c r="R281" s="29">
        <f t="shared" si="26"/>
        <v>874</v>
      </c>
      <c r="S281" s="29">
        <f t="shared" si="27"/>
        <v>120</v>
      </c>
    </row>
    <row r="282" spans="3:19" x14ac:dyDescent="0.25">
      <c r="C282" s="10"/>
      <c r="D282" s="14" t="s">
        <v>1985</v>
      </c>
      <c r="E282" s="4"/>
      <c r="F282" s="5">
        <v>0</v>
      </c>
      <c r="G282" s="7">
        <f t="shared" si="28"/>
        <v>0</v>
      </c>
      <c r="H282" s="6" t="str">
        <f t="shared" si="29"/>
        <v/>
      </c>
      <c r="I282" s="4"/>
      <c r="J282" s="15"/>
      <c r="K282" s="17"/>
      <c r="L282" s="17"/>
      <c r="M282" s="18"/>
      <c r="O282" s="20" t="str">
        <f t="shared" si="25"/>
        <v>PI722003</v>
      </c>
      <c r="P282" s="20" t="str">
        <f t="shared" si="24"/>
        <v>R7040-2B_Overview Display.xgml</v>
      </c>
      <c r="Q282" s="17"/>
      <c r="R282" s="29">
        <f t="shared" si="26"/>
        <v>926</v>
      </c>
      <c r="S282" s="29">
        <f t="shared" si="27"/>
        <v>123</v>
      </c>
    </row>
    <row r="283" spans="3:19" x14ac:dyDescent="0.25">
      <c r="C283" s="10"/>
      <c r="D283" s="14" t="s">
        <v>1986</v>
      </c>
      <c r="E283" s="4"/>
      <c r="F283" s="5">
        <v>0</v>
      </c>
      <c r="G283" s="7">
        <f t="shared" si="28"/>
        <v>0</v>
      </c>
      <c r="H283" s="6" t="str">
        <f t="shared" si="29"/>
        <v/>
      </c>
      <c r="I283" s="4"/>
      <c r="J283" s="15"/>
      <c r="K283" s="17"/>
      <c r="L283" s="17"/>
      <c r="M283" s="18"/>
      <c r="O283" s="20" t="str">
        <f t="shared" si="25"/>
        <v>PI722007</v>
      </c>
      <c r="P283" s="20" t="str">
        <f t="shared" si="24"/>
        <v>REACTION_Graphic Display.xgml</v>
      </c>
      <c r="Q283" s="17"/>
      <c r="R283" s="29">
        <f t="shared" si="26"/>
        <v>1109</v>
      </c>
      <c r="S283" s="29">
        <f t="shared" si="27"/>
        <v>120</v>
      </c>
    </row>
    <row r="284" spans="3:19" x14ac:dyDescent="0.25">
      <c r="C284" s="10"/>
      <c r="D284" s="14" t="s">
        <v>1987</v>
      </c>
      <c r="E284" s="4"/>
      <c r="F284" s="5">
        <v>2</v>
      </c>
      <c r="G284" s="7">
        <f t="shared" si="28"/>
        <v>-2</v>
      </c>
      <c r="H284" s="6">
        <f t="shared" si="29"/>
        <v>-1</v>
      </c>
      <c r="I284" s="4"/>
      <c r="J284" s="15"/>
      <c r="K284" s="17"/>
      <c r="L284" s="17"/>
      <c r="M284" s="18"/>
      <c r="O284" s="20" t="str">
        <f t="shared" si="25"/>
        <v>PI722027</v>
      </c>
      <c r="P284" s="20" t="str">
        <f t="shared" si="24"/>
        <v>Not Found</v>
      </c>
      <c r="Q284" s="17"/>
      <c r="R284" s="29" t="str">
        <f t="shared" si="26"/>
        <v>Not Found</v>
      </c>
      <c r="S284" s="29" t="str">
        <f t="shared" si="27"/>
        <v>Not Found</v>
      </c>
    </row>
    <row r="285" spans="3:19" x14ac:dyDescent="0.25">
      <c r="C285" s="10"/>
      <c r="D285" s="14" t="s">
        <v>1988</v>
      </c>
      <c r="E285" s="4"/>
      <c r="F285" s="5">
        <v>2</v>
      </c>
      <c r="G285" s="7">
        <f t="shared" si="28"/>
        <v>-2</v>
      </c>
      <c r="H285" s="6">
        <f t="shared" si="29"/>
        <v>-1</v>
      </c>
      <c r="I285" s="4"/>
      <c r="J285" s="15"/>
      <c r="K285" s="17"/>
      <c r="L285" s="17"/>
      <c r="M285" s="18"/>
      <c r="O285" s="20" t="str">
        <f t="shared" si="25"/>
        <v>PI722037</v>
      </c>
      <c r="P285" s="20" t="str">
        <f t="shared" ref="P285:P348" si="30">+FindinFile($P$2,$O285,"Name")</f>
        <v>Not Found</v>
      </c>
      <c r="Q285" s="17"/>
      <c r="R285" s="29" t="str">
        <f t="shared" si="26"/>
        <v>Not Found</v>
      </c>
      <c r="S285" s="29" t="str">
        <f t="shared" si="27"/>
        <v>Not Found</v>
      </c>
    </row>
    <row r="286" spans="3:19" x14ac:dyDescent="0.25">
      <c r="C286" s="10"/>
      <c r="D286" s="14" t="s">
        <v>1989</v>
      </c>
      <c r="E286" s="4"/>
      <c r="F286" s="5">
        <v>0</v>
      </c>
      <c r="G286" s="7">
        <f t="shared" si="28"/>
        <v>0</v>
      </c>
      <c r="H286" s="6" t="str">
        <f t="shared" si="29"/>
        <v/>
      </c>
      <c r="I286" s="4"/>
      <c r="J286" s="15"/>
      <c r="K286" s="17"/>
      <c r="L286" s="17"/>
      <c r="M286" s="18"/>
      <c r="O286" s="20" t="str">
        <f t="shared" si="25"/>
        <v>PI730005</v>
      </c>
      <c r="P286" s="20" t="str">
        <f t="shared" si="30"/>
        <v>T7300_Overview_Display.xgml</v>
      </c>
      <c r="Q286" s="17"/>
      <c r="R286" s="29">
        <f t="shared" si="26"/>
        <v>334</v>
      </c>
      <c r="S286" s="29">
        <f t="shared" si="27"/>
        <v>70</v>
      </c>
    </row>
    <row r="287" spans="3:19" x14ac:dyDescent="0.25">
      <c r="C287" s="10"/>
      <c r="D287" s="14" t="s">
        <v>1990</v>
      </c>
      <c r="E287" s="4"/>
      <c r="F287" s="5">
        <v>0</v>
      </c>
      <c r="G287" s="7">
        <f t="shared" si="28"/>
        <v>0</v>
      </c>
      <c r="H287" s="6" t="str">
        <f t="shared" si="29"/>
        <v/>
      </c>
      <c r="I287" s="4"/>
      <c r="J287" s="15"/>
      <c r="K287" s="17"/>
      <c r="L287" s="17"/>
      <c r="M287" s="18"/>
      <c r="O287" s="20" t="str">
        <f t="shared" si="25"/>
        <v>PI730006</v>
      </c>
      <c r="P287" s="20" t="str">
        <f t="shared" si="30"/>
        <v>T7300_Overview_Display.xgml</v>
      </c>
      <c r="Q287" s="17"/>
      <c r="R287" s="29">
        <f t="shared" si="26"/>
        <v>275</v>
      </c>
      <c r="S287" s="29">
        <f t="shared" si="27"/>
        <v>661</v>
      </c>
    </row>
    <row r="288" spans="3:19" x14ac:dyDescent="0.25">
      <c r="C288" s="10"/>
      <c r="D288" s="14" t="s">
        <v>1991</v>
      </c>
      <c r="E288" s="4"/>
      <c r="F288" s="5">
        <v>0</v>
      </c>
      <c r="G288" s="7">
        <f t="shared" si="28"/>
        <v>0</v>
      </c>
      <c r="H288" s="6" t="str">
        <f t="shared" si="29"/>
        <v/>
      </c>
      <c r="I288" s="4"/>
      <c r="J288" s="15"/>
      <c r="K288" s="17"/>
      <c r="L288" s="17"/>
      <c r="M288" s="18"/>
      <c r="O288" s="20" t="str">
        <f t="shared" si="25"/>
        <v>PI730028</v>
      </c>
      <c r="P288" s="20" t="str">
        <f t="shared" si="30"/>
        <v>T7300_Overview_Display.xgml</v>
      </c>
      <c r="Q288" s="17"/>
      <c r="R288" s="29">
        <f t="shared" si="26"/>
        <v>515</v>
      </c>
      <c r="S288" s="29">
        <f t="shared" si="27"/>
        <v>511.5</v>
      </c>
    </row>
    <row r="289" spans="3:19" x14ac:dyDescent="0.25">
      <c r="C289" s="10"/>
      <c r="D289" s="14" t="s">
        <v>1992</v>
      </c>
      <c r="E289" s="4"/>
      <c r="F289" s="5">
        <v>0</v>
      </c>
      <c r="G289" s="7">
        <f t="shared" si="28"/>
        <v>0</v>
      </c>
      <c r="H289" s="6" t="str">
        <f t="shared" si="29"/>
        <v/>
      </c>
      <c r="I289" s="4"/>
      <c r="J289" s="15"/>
      <c r="K289" s="17"/>
      <c r="L289" s="17"/>
      <c r="M289" s="18"/>
      <c r="O289" s="20" t="str">
        <f t="shared" si="25"/>
        <v>PI730038</v>
      </c>
      <c r="P289" s="20" t="str">
        <f t="shared" si="30"/>
        <v>T7300_Overview_Display.xgml</v>
      </c>
      <c r="Q289" s="17"/>
      <c r="R289" s="29">
        <f t="shared" si="26"/>
        <v>504</v>
      </c>
      <c r="S289" s="29">
        <f t="shared" si="27"/>
        <v>71</v>
      </c>
    </row>
    <row r="290" spans="3:19" x14ac:dyDescent="0.25">
      <c r="C290" s="10"/>
      <c r="D290" s="14" t="s">
        <v>1993</v>
      </c>
      <c r="E290" s="4"/>
      <c r="F290" s="5">
        <v>2</v>
      </c>
      <c r="G290" s="7">
        <f t="shared" si="28"/>
        <v>-2</v>
      </c>
      <c r="H290" s="6">
        <f t="shared" si="29"/>
        <v>-1</v>
      </c>
      <c r="I290" s="4"/>
      <c r="J290" s="15"/>
      <c r="K290" s="17"/>
      <c r="L290" s="17"/>
      <c r="M290" s="18"/>
      <c r="O290" s="20" t="str">
        <f t="shared" si="25"/>
        <v>PI730045</v>
      </c>
      <c r="P290" s="20" t="str">
        <f t="shared" si="30"/>
        <v>Not Found</v>
      </c>
      <c r="Q290" s="17"/>
      <c r="R290" s="29" t="str">
        <f t="shared" si="26"/>
        <v>Not Found</v>
      </c>
      <c r="S290" s="29" t="str">
        <f t="shared" si="27"/>
        <v>Not Found</v>
      </c>
    </row>
    <row r="291" spans="3:19" x14ac:dyDescent="0.25">
      <c r="C291" s="10"/>
      <c r="D291" s="14" t="s">
        <v>1994</v>
      </c>
      <c r="E291" s="4"/>
      <c r="F291" s="5">
        <v>2</v>
      </c>
      <c r="G291" s="7">
        <f t="shared" si="28"/>
        <v>-2</v>
      </c>
      <c r="H291" s="6">
        <f t="shared" si="29"/>
        <v>-1</v>
      </c>
      <c r="I291" s="4"/>
      <c r="J291" s="15"/>
      <c r="K291" s="17"/>
      <c r="L291" s="17"/>
      <c r="M291" s="18"/>
      <c r="O291" s="20" t="str">
        <f t="shared" si="25"/>
        <v>PI730055</v>
      </c>
      <c r="P291" s="20" t="str">
        <f t="shared" si="30"/>
        <v>Not Found</v>
      </c>
      <c r="Q291" s="17"/>
      <c r="R291" s="29" t="str">
        <f t="shared" si="26"/>
        <v>Not Found</v>
      </c>
      <c r="S291" s="29" t="str">
        <f t="shared" si="27"/>
        <v>Not Found</v>
      </c>
    </row>
    <row r="292" spans="3:19" x14ac:dyDescent="0.25">
      <c r="C292" s="10"/>
      <c r="D292" s="14" t="s">
        <v>1995</v>
      </c>
      <c r="E292" s="4"/>
      <c r="F292" s="5">
        <v>0</v>
      </c>
      <c r="G292" s="7">
        <f t="shared" si="28"/>
        <v>0</v>
      </c>
      <c r="H292" s="6" t="str">
        <f t="shared" si="29"/>
        <v/>
      </c>
      <c r="I292" s="4"/>
      <c r="J292" s="15"/>
      <c r="K292" s="17"/>
      <c r="L292" s="17"/>
      <c r="M292" s="18"/>
      <c r="O292" s="20" t="str">
        <f t="shared" si="25"/>
        <v>PI730404</v>
      </c>
      <c r="P292" s="20" t="str">
        <f t="shared" si="30"/>
        <v>V7304_Overview  Display.xgml</v>
      </c>
      <c r="Q292" s="17"/>
      <c r="R292" s="29">
        <f t="shared" si="26"/>
        <v>336</v>
      </c>
      <c r="S292" s="29">
        <f t="shared" si="27"/>
        <v>264</v>
      </c>
    </row>
    <row r="293" spans="3:19" x14ac:dyDescent="0.25">
      <c r="C293" s="10"/>
      <c r="D293" s="14" t="s">
        <v>1996</v>
      </c>
      <c r="E293" s="4"/>
      <c r="F293" s="5">
        <v>2</v>
      </c>
      <c r="G293" s="7">
        <f t="shared" si="28"/>
        <v>-2</v>
      </c>
      <c r="H293" s="6">
        <f t="shared" si="29"/>
        <v>-1</v>
      </c>
      <c r="I293" s="4"/>
      <c r="J293" s="15"/>
      <c r="K293" s="17"/>
      <c r="L293" s="17"/>
      <c r="M293" s="18"/>
      <c r="O293" s="20" t="str">
        <f t="shared" si="25"/>
        <v>PI730423</v>
      </c>
      <c r="P293" s="20" t="str">
        <f t="shared" si="30"/>
        <v>Not Found</v>
      </c>
      <c r="Q293" s="17"/>
      <c r="R293" s="29" t="str">
        <f t="shared" si="26"/>
        <v>Not Found</v>
      </c>
      <c r="S293" s="29" t="str">
        <f t="shared" si="27"/>
        <v>Not Found</v>
      </c>
    </row>
    <row r="294" spans="3:19" x14ac:dyDescent="0.25">
      <c r="C294" s="10"/>
      <c r="D294" s="14" t="s">
        <v>1997</v>
      </c>
      <c r="E294" s="4"/>
      <c r="F294" s="5">
        <v>2</v>
      </c>
      <c r="G294" s="7">
        <f t="shared" si="28"/>
        <v>-2</v>
      </c>
      <c r="H294" s="6">
        <f t="shared" si="29"/>
        <v>-1</v>
      </c>
      <c r="I294" s="4"/>
      <c r="J294" s="15"/>
      <c r="K294" s="17"/>
      <c r="L294" s="17"/>
      <c r="M294" s="18"/>
      <c r="O294" s="20" t="str">
        <f t="shared" si="25"/>
        <v>PI730433</v>
      </c>
      <c r="P294" s="20" t="str">
        <f t="shared" si="30"/>
        <v>Not Found</v>
      </c>
      <c r="Q294" s="17"/>
      <c r="R294" s="29" t="str">
        <f t="shared" si="26"/>
        <v>Not Found</v>
      </c>
      <c r="S294" s="29" t="str">
        <f t="shared" si="27"/>
        <v>Not Found</v>
      </c>
    </row>
    <row r="295" spans="3:19" x14ac:dyDescent="0.25">
      <c r="C295" s="10"/>
      <c r="D295" s="14" t="s">
        <v>1998</v>
      </c>
      <c r="E295" s="4"/>
      <c r="F295" s="5">
        <v>0</v>
      </c>
      <c r="G295" s="7">
        <f t="shared" si="28"/>
        <v>0</v>
      </c>
      <c r="H295" s="6" t="str">
        <f t="shared" si="29"/>
        <v/>
      </c>
      <c r="I295" s="4"/>
      <c r="J295" s="15"/>
      <c r="K295" s="17"/>
      <c r="L295" s="17"/>
      <c r="M295" s="18"/>
      <c r="O295" s="20" t="str">
        <f t="shared" si="25"/>
        <v>PI740011</v>
      </c>
      <c r="P295" s="20" t="str">
        <f t="shared" si="30"/>
        <v>T7400_Overview_Display.xgml</v>
      </c>
      <c r="Q295" s="17"/>
      <c r="R295" s="29">
        <f t="shared" si="26"/>
        <v>16</v>
      </c>
      <c r="S295" s="29">
        <f t="shared" si="27"/>
        <v>651</v>
      </c>
    </row>
    <row r="296" spans="3:19" x14ac:dyDescent="0.25">
      <c r="C296" s="10"/>
      <c r="D296" s="14" t="s">
        <v>1999</v>
      </c>
      <c r="E296" s="4"/>
      <c r="F296" s="5">
        <v>0</v>
      </c>
      <c r="G296" s="7">
        <f t="shared" si="28"/>
        <v>0</v>
      </c>
      <c r="H296" s="6" t="str">
        <f t="shared" si="29"/>
        <v/>
      </c>
      <c r="I296" s="4"/>
      <c r="J296" s="15"/>
      <c r="K296" s="17"/>
      <c r="L296" s="17"/>
      <c r="M296" s="18"/>
      <c r="O296" s="20" t="str">
        <f t="shared" si="25"/>
        <v>PI740019</v>
      </c>
      <c r="P296" s="20" t="str">
        <f t="shared" si="30"/>
        <v>T7400_Overview_Display.xgml</v>
      </c>
      <c r="Q296" s="17"/>
      <c r="R296" s="29">
        <f t="shared" si="26"/>
        <v>381</v>
      </c>
      <c r="S296" s="29">
        <f t="shared" si="27"/>
        <v>536</v>
      </c>
    </row>
    <row r="297" spans="3:19" x14ac:dyDescent="0.25">
      <c r="C297" s="10"/>
      <c r="D297" s="14" t="s">
        <v>2000</v>
      </c>
      <c r="E297" s="4"/>
      <c r="F297" s="5">
        <v>2</v>
      </c>
      <c r="G297" s="7">
        <f t="shared" si="28"/>
        <v>-2</v>
      </c>
      <c r="H297" s="6">
        <f t="shared" si="29"/>
        <v>-1</v>
      </c>
      <c r="I297" s="4"/>
      <c r="J297" s="15"/>
      <c r="K297" s="17"/>
      <c r="L297" s="17"/>
      <c r="M297" s="18"/>
      <c r="O297" s="20" t="str">
        <f t="shared" si="25"/>
        <v>PI740045</v>
      </c>
      <c r="P297" s="20" t="str">
        <f t="shared" si="30"/>
        <v>Not Found</v>
      </c>
      <c r="Q297" s="17"/>
      <c r="R297" s="29" t="str">
        <f t="shared" si="26"/>
        <v>Not Found</v>
      </c>
      <c r="S297" s="29" t="str">
        <f t="shared" si="27"/>
        <v>Not Found</v>
      </c>
    </row>
    <row r="298" spans="3:19" x14ac:dyDescent="0.25">
      <c r="C298" s="10"/>
      <c r="D298" s="14" t="s">
        <v>2001</v>
      </c>
      <c r="E298" s="4"/>
      <c r="F298" s="5">
        <v>2</v>
      </c>
      <c r="G298" s="7">
        <f t="shared" si="28"/>
        <v>-2</v>
      </c>
      <c r="H298" s="6">
        <f t="shared" si="29"/>
        <v>-1</v>
      </c>
      <c r="I298" s="4"/>
      <c r="J298" s="15"/>
      <c r="K298" s="17"/>
      <c r="L298" s="17"/>
      <c r="M298" s="18"/>
      <c r="O298" s="20" t="str">
        <f t="shared" si="25"/>
        <v>PI740055</v>
      </c>
      <c r="P298" s="20" t="str">
        <f t="shared" si="30"/>
        <v>Not Found</v>
      </c>
      <c r="Q298" s="17"/>
      <c r="R298" s="29" t="str">
        <f t="shared" si="26"/>
        <v>Not Found</v>
      </c>
      <c r="S298" s="29" t="str">
        <f t="shared" si="27"/>
        <v>Not Found</v>
      </c>
    </row>
    <row r="299" spans="3:19" x14ac:dyDescent="0.25">
      <c r="C299" s="10"/>
      <c r="D299" s="14" t="s">
        <v>2002</v>
      </c>
      <c r="E299" s="4"/>
      <c r="F299" s="5">
        <v>2</v>
      </c>
      <c r="G299" s="7">
        <f t="shared" si="28"/>
        <v>-2</v>
      </c>
      <c r="H299" s="6">
        <f t="shared" si="29"/>
        <v>-1</v>
      </c>
      <c r="I299" s="4"/>
      <c r="J299" s="15"/>
      <c r="K299" s="17"/>
      <c r="L299" s="17"/>
      <c r="M299" s="18"/>
      <c r="O299" s="20" t="str">
        <f t="shared" si="25"/>
        <v>PI740123</v>
      </c>
      <c r="P299" s="20" t="str">
        <f t="shared" si="30"/>
        <v>Not Found</v>
      </c>
      <c r="Q299" s="17"/>
      <c r="R299" s="29" t="str">
        <f t="shared" si="26"/>
        <v>Not Found</v>
      </c>
      <c r="S299" s="29" t="str">
        <f t="shared" si="27"/>
        <v>Not Found</v>
      </c>
    </row>
    <row r="300" spans="3:19" x14ac:dyDescent="0.25">
      <c r="C300" s="10"/>
      <c r="D300" s="14" t="s">
        <v>2003</v>
      </c>
      <c r="E300" s="4"/>
      <c r="F300" s="5">
        <v>2</v>
      </c>
      <c r="G300" s="7">
        <f t="shared" si="28"/>
        <v>-2</v>
      </c>
      <c r="H300" s="6">
        <f t="shared" si="29"/>
        <v>-1</v>
      </c>
      <c r="I300" s="4"/>
      <c r="J300" s="15"/>
      <c r="K300" s="17"/>
      <c r="L300" s="17"/>
      <c r="M300" s="18"/>
      <c r="O300" s="20" t="str">
        <f t="shared" si="25"/>
        <v>PI740133</v>
      </c>
      <c r="P300" s="20" t="str">
        <f t="shared" si="30"/>
        <v>Not Found</v>
      </c>
      <c r="Q300" s="17"/>
      <c r="R300" s="29" t="str">
        <f t="shared" si="26"/>
        <v>Not Found</v>
      </c>
      <c r="S300" s="29" t="str">
        <f t="shared" si="27"/>
        <v>Not Found</v>
      </c>
    </row>
    <row r="301" spans="3:19" x14ac:dyDescent="0.25">
      <c r="C301" s="10"/>
      <c r="D301" s="14" t="s">
        <v>2004</v>
      </c>
      <c r="E301" s="4"/>
      <c r="F301" s="5">
        <v>0</v>
      </c>
      <c r="G301" s="7">
        <f t="shared" si="28"/>
        <v>0</v>
      </c>
      <c r="H301" s="6" t="str">
        <f t="shared" si="29"/>
        <v/>
      </c>
      <c r="I301" s="4"/>
      <c r="J301" s="15"/>
      <c r="K301" s="17"/>
      <c r="L301" s="17"/>
      <c r="M301" s="18"/>
      <c r="O301" s="20" t="str">
        <f t="shared" si="25"/>
        <v>PI740201</v>
      </c>
      <c r="P301" s="20" t="str">
        <f t="shared" si="30"/>
        <v>T7400_Overview_Display.xgml</v>
      </c>
      <c r="Q301" s="17"/>
      <c r="R301" s="29">
        <f t="shared" si="26"/>
        <v>544</v>
      </c>
      <c r="S301" s="29">
        <f t="shared" si="27"/>
        <v>30</v>
      </c>
    </row>
    <row r="302" spans="3:19" x14ac:dyDescent="0.25">
      <c r="C302" s="10"/>
      <c r="D302" s="14" t="s">
        <v>2005</v>
      </c>
      <c r="E302" s="4"/>
      <c r="F302" s="5">
        <v>0</v>
      </c>
      <c r="G302" s="7">
        <f t="shared" si="28"/>
        <v>0</v>
      </c>
      <c r="H302" s="6" t="str">
        <f t="shared" si="29"/>
        <v/>
      </c>
      <c r="I302" s="4"/>
      <c r="J302" s="15"/>
      <c r="K302" s="17"/>
      <c r="L302" s="17"/>
      <c r="M302" s="18"/>
      <c r="O302" s="20" t="str">
        <f t="shared" si="25"/>
        <v>PI740202</v>
      </c>
      <c r="P302" s="20" t="str">
        <f t="shared" si="30"/>
        <v>T7400_Overview_Display.xgml</v>
      </c>
      <c r="Q302" s="17"/>
      <c r="R302" s="29">
        <f t="shared" si="26"/>
        <v>704</v>
      </c>
      <c r="S302" s="29">
        <f t="shared" si="27"/>
        <v>30</v>
      </c>
    </row>
    <row r="303" spans="3:19" x14ac:dyDescent="0.25">
      <c r="C303" s="10"/>
      <c r="D303" s="14" t="s">
        <v>2006</v>
      </c>
      <c r="E303" s="4"/>
      <c r="F303" s="5">
        <v>2</v>
      </c>
      <c r="G303" s="7">
        <f t="shared" si="28"/>
        <v>-2</v>
      </c>
      <c r="H303" s="6">
        <f t="shared" si="29"/>
        <v>-1</v>
      </c>
      <c r="I303" s="4"/>
      <c r="J303" s="15"/>
      <c r="K303" s="17"/>
      <c r="L303" s="17"/>
      <c r="M303" s="18"/>
      <c r="O303" s="20" t="str">
        <f t="shared" si="25"/>
        <v>PI740227</v>
      </c>
      <c r="P303" s="20" t="str">
        <f t="shared" si="30"/>
        <v>Not Found</v>
      </c>
      <c r="Q303" s="17"/>
      <c r="R303" s="29" t="str">
        <f t="shared" si="26"/>
        <v>Not Found</v>
      </c>
      <c r="S303" s="29" t="str">
        <f t="shared" si="27"/>
        <v>Not Found</v>
      </c>
    </row>
    <row r="304" spans="3:19" x14ac:dyDescent="0.25">
      <c r="C304" s="10"/>
      <c r="D304" s="14" t="s">
        <v>2007</v>
      </c>
      <c r="E304" s="4"/>
      <c r="F304" s="5">
        <v>2</v>
      </c>
      <c r="G304" s="7">
        <f t="shared" si="28"/>
        <v>-2</v>
      </c>
      <c r="H304" s="6">
        <f t="shared" si="29"/>
        <v>-1</v>
      </c>
      <c r="I304" s="4"/>
      <c r="J304" s="15"/>
      <c r="K304" s="17"/>
      <c r="L304" s="17"/>
      <c r="M304" s="18"/>
      <c r="O304" s="20" t="str">
        <f t="shared" si="25"/>
        <v>PI740237</v>
      </c>
      <c r="P304" s="20" t="str">
        <f t="shared" si="30"/>
        <v>Not Found</v>
      </c>
      <c r="Q304" s="17"/>
      <c r="R304" s="29" t="str">
        <f t="shared" si="26"/>
        <v>Not Found</v>
      </c>
      <c r="S304" s="29" t="str">
        <f t="shared" si="27"/>
        <v>Not Found</v>
      </c>
    </row>
    <row r="305" spans="3:19" x14ac:dyDescent="0.25">
      <c r="C305" s="10"/>
      <c r="D305" s="14" t="s">
        <v>2008</v>
      </c>
      <c r="E305" s="4"/>
      <c r="F305" s="5">
        <v>0</v>
      </c>
      <c r="G305" s="7">
        <f t="shared" si="28"/>
        <v>0</v>
      </c>
      <c r="H305" s="6" t="str">
        <f t="shared" si="29"/>
        <v/>
      </c>
      <c r="I305" s="4"/>
      <c r="J305" s="15"/>
      <c r="K305" s="17"/>
      <c r="L305" s="17"/>
      <c r="M305" s="18"/>
      <c r="O305" s="20" t="str">
        <f t="shared" si="25"/>
        <v>PI741004</v>
      </c>
      <c r="P305" s="20" t="str">
        <f t="shared" si="30"/>
        <v>V7410_Overview  Display.xgml</v>
      </c>
      <c r="Q305" s="17"/>
      <c r="R305" s="29">
        <f t="shared" si="26"/>
        <v>129</v>
      </c>
      <c r="S305" s="29">
        <f t="shared" si="27"/>
        <v>303</v>
      </c>
    </row>
    <row r="306" spans="3:19" ht="30" x14ac:dyDescent="0.25">
      <c r="C306" s="10"/>
      <c r="D306" s="14" t="s">
        <v>2009</v>
      </c>
      <c r="E306" s="4"/>
      <c r="F306" s="5">
        <v>2</v>
      </c>
      <c r="G306" s="7">
        <f t="shared" si="28"/>
        <v>-2</v>
      </c>
      <c r="H306" s="6">
        <f t="shared" si="29"/>
        <v>-1</v>
      </c>
      <c r="I306" s="4"/>
      <c r="J306" s="15" t="s">
        <v>2182</v>
      </c>
      <c r="K306" s="17"/>
      <c r="L306" s="17"/>
      <c r="M306" s="18"/>
      <c r="O306" s="20" t="str">
        <f t="shared" si="25"/>
        <v>PI741015</v>
      </c>
      <c r="P306" s="20" t="str">
        <f t="shared" si="30"/>
        <v>V7410_Overview  Display.xgml</v>
      </c>
      <c r="Q306" s="17"/>
      <c r="R306" s="29">
        <f t="shared" si="26"/>
        <v>808</v>
      </c>
      <c r="S306" s="29">
        <f t="shared" si="27"/>
        <v>517</v>
      </c>
    </row>
    <row r="307" spans="3:19" ht="30" x14ac:dyDescent="0.25">
      <c r="C307" s="10"/>
      <c r="D307" s="14" t="s">
        <v>2010</v>
      </c>
      <c r="E307" s="4"/>
      <c r="F307" s="5">
        <v>2</v>
      </c>
      <c r="G307" s="7">
        <f t="shared" si="28"/>
        <v>-2</v>
      </c>
      <c r="H307" s="6">
        <f t="shared" si="29"/>
        <v>-1</v>
      </c>
      <c r="I307" s="4"/>
      <c r="J307" s="15" t="s">
        <v>2182</v>
      </c>
      <c r="K307" s="17"/>
      <c r="L307" s="17"/>
      <c r="M307" s="18"/>
      <c r="O307" s="20" t="str">
        <f t="shared" si="25"/>
        <v>PI742023</v>
      </c>
      <c r="P307" s="20" t="str">
        <f t="shared" si="30"/>
        <v>V7410_Overview  Display.xgml</v>
      </c>
      <c r="Q307" s="17"/>
      <c r="R307" s="29">
        <f t="shared" si="26"/>
        <v>784</v>
      </c>
      <c r="S307" s="29">
        <f t="shared" si="27"/>
        <v>781</v>
      </c>
    </row>
    <row r="308" spans="3:19" x14ac:dyDescent="0.25">
      <c r="C308" s="10"/>
      <c r="D308" s="14" t="s">
        <v>2011</v>
      </c>
      <c r="E308" s="4"/>
      <c r="F308" s="5">
        <v>0</v>
      </c>
      <c r="G308" s="7">
        <f t="shared" si="28"/>
        <v>0</v>
      </c>
      <c r="H308" s="6" t="str">
        <f t="shared" si="29"/>
        <v/>
      </c>
      <c r="I308" s="4"/>
      <c r="J308" s="15"/>
      <c r="K308" s="17"/>
      <c r="L308" s="17"/>
      <c r="M308" s="18"/>
      <c r="O308" s="20" t="str">
        <f t="shared" si="25"/>
        <v>PI750011</v>
      </c>
      <c r="P308" s="20" t="str">
        <f t="shared" si="30"/>
        <v>T7500_Overview_Display.xgml</v>
      </c>
      <c r="Q308" s="17"/>
      <c r="R308" s="29">
        <f t="shared" si="26"/>
        <v>26</v>
      </c>
      <c r="S308" s="29">
        <f t="shared" si="27"/>
        <v>647</v>
      </c>
    </row>
    <row r="309" spans="3:19" x14ac:dyDescent="0.25">
      <c r="C309" s="10"/>
      <c r="D309" s="14" t="s">
        <v>2012</v>
      </c>
      <c r="E309" s="4"/>
      <c r="F309" s="5">
        <v>0</v>
      </c>
      <c r="G309" s="7">
        <f t="shared" si="28"/>
        <v>0</v>
      </c>
      <c r="H309" s="6" t="str">
        <f t="shared" si="29"/>
        <v/>
      </c>
      <c r="I309" s="4"/>
      <c r="J309" s="15"/>
      <c r="K309" s="17"/>
      <c r="L309" s="17"/>
      <c r="M309" s="18"/>
      <c r="O309" s="20" t="str">
        <f t="shared" si="25"/>
        <v>PI750019</v>
      </c>
      <c r="P309" s="20" t="str">
        <f t="shared" si="30"/>
        <v>T7500_Overview_Display.xgml</v>
      </c>
      <c r="Q309" s="17"/>
      <c r="R309" s="29">
        <f t="shared" si="26"/>
        <v>439</v>
      </c>
      <c r="S309" s="29">
        <f t="shared" si="27"/>
        <v>539</v>
      </c>
    </row>
    <row r="310" spans="3:19" x14ac:dyDescent="0.25">
      <c r="C310" s="10"/>
      <c r="D310" s="14" t="s">
        <v>2013</v>
      </c>
      <c r="E310" s="4"/>
      <c r="F310" s="5">
        <v>2</v>
      </c>
      <c r="G310" s="7">
        <f t="shared" si="28"/>
        <v>-2</v>
      </c>
      <c r="H310" s="6">
        <f t="shared" si="29"/>
        <v>-1</v>
      </c>
      <c r="I310" s="4"/>
      <c r="J310" s="15"/>
      <c r="K310" s="17"/>
      <c r="L310" s="17"/>
      <c r="M310" s="18"/>
      <c r="O310" s="20" t="str">
        <f t="shared" si="25"/>
        <v>PI750045</v>
      </c>
      <c r="P310" s="20" t="str">
        <f t="shared" si="30"/>
        <v>Not Found</v>
      </c>
      <c r="Q310" s="17"/>
      <c r="R310" s="29" t="str">
        <f t="shared" si="26"/>
        <v>Not Found</v>
      </c>
      <c r="S310" s="29" t="str">
        <f t="shared" si="27"/>
        <v>Not Found</v>
      </c>
    </row>
    <row r="311" spans="3:19" x14ac:dyDescent="0.25">
      <c r="C311" s="10"/>
      <c r="D311" s="14" t="s">
        <v>2014</v>
      </c>
      <c r="E311" s="4"/>
      <c r="F311" s="5">
        <v>2</v>
      </c>
      <c r="G311" s="7">
        <f t="shared" si="28"/>
        <v>-2</v>
      </c>
      <c r="H311" s="6">
        <f t="shared" si="29"/>
        <v>-1</v>
      </c>
      <c r="I311" s="4"/>
      <c r="J311" s="15"/>
      <c r="K311" s="17"/>
      <c r="L311" s="17"/>
      <c r="M311" s="18"/>
      <c r="O311" s="20" t="str">
        <f t="shared" si="25"/>
        <v>PI750055</v>
      </c>
      <c r="P311" s="20" t="str">
        <f t="shared" si="30"/>
        <v>Not Found</v>
      </c>
      <c r="Q311" s="17"/>
      <c r="R311" s="29" t="str">
        <f t="shared" si="26"/>
        <v>Not Found</v>
      </c>
      <c r="S311" s="29" t="str">
        <f t="shared" si="27"/>
        <v>Not Found</v>
      </c>
    </row>
    <row r="312" spans="3:19" x14ac:dyDescent="0.25">
      <c r="C312" s="10"/>
      <c r="D312" s="14" t="s">
        <v>2015</v>
      </c>
      <c r="E312" s="4"/>
      <c r="F312" s="5">
        <v>2</v>
      </c>
      <c r="G312" s="7">
        <f t="shared" si="28"/>
        <v>-2</v>
      </c>
      <c r="H312" s="6">
        <f t="shared" si="29"/>
        <v>-1</v>
      </c>
      <c r="I312" s="4"/>
      <c r="J312" s="15"/>
      <c r="K312" s="17"/>
      <c r="L312" s="17"/>
      <c r="M312" s="18"/>
      <c r="O312" s="20" t="str">
        <f t="shared" si="25"/>
        <v>PI750123</v>
      </c>
      <c r="P312" s="20" t="str">
        <f t="shared" si="30"/>
        <v>Not Found</v>
      </c>
      <c r="Q312" s="17"/>
      <c r="R312" s="29" t="str">
        <f t="shared" si="26"/>
        <v>Not Found</v>
      </c>
      <c r="S312" s="29" t="str">
        <f t="shared" si="27"/>
        <v>Not Found</v>
      </c>
    </row>
    <row r="313" spans="3:19" x14ac:dyDescent="0.25">
      <c r="C313" s="10"/>
      <c r="D313" s="14" t="s">
        <v>2016</v>
      </c>
      <c r="E313" s="4"/>
      <c r="F313" s="5">
        <v>2</v>
      </c>
      <c r="G313" s="7">
        <f t="shared" si="28"/>
        <v>-2</v>
      </c>
      <c r="H313" s="6">
        <f t="shared" si="29"/>
        <v>-1</v>
      </c>
      <c r="I313" s="4"/>
      <c r="J313" s="15"/>
      <c r="K313" s="17"/>
      <c r="L313" s="17"/>
      <c r="M313" s="18"/>
      <c r="O313" s="20" t="str">
        <f t="shared" si="25"/>
        <v>PI750133</v>
      </c>
      <c r="P313" s="20" t="str">
        <f t="shared" si="30"/>
        <v>Not Found</v>
      </c>
      <c r="Q313" s="17"/>
      <c r="R313" s="29" t="str">
        <f t="shared" si="26"/>
        <v>Not Found</v>
      </c>
      <c r="S313" s="29" t="str">
        <f t="shared" si="27"/>
        <v>Not Found</v>
      </c>
    </row>
    <row r="314" spans="3:19" x14ac:dyDescent="0.25">
      <c r="C314" s="10"/>
      <c r="D314" s="14" t="s">
        <v>2017</v>
      </c>
      <c r="E314" s="4"/>
      <c r="F314" s="5">
        <v>0</v>
      </c>
      <c r="G314" s="7">
        <f t="shared" si="28"/>
        <v>0</v>
      </c>
      <c r="H314" s="6" t="str">
        <f t="shared" si="29"/>
        <v/>
      </c>
      <c r="I314" s="4"/>
      <c r="J314" s="15"/>
      <c r="K314" s="17"/>
      <c r="L314" s="17"/>
      <c r="M314" s="18"/>
      <c r="O314" s="20" t="str">
        <f t="shared" si="25"/>
        <v>PI750201</v>
      </c>
      <c r="P314" s="20" t="str">
        <f t="shared" si="30"/>
        <v>T7500_Overview_Display.xgml</v>
      </c>
      <c r="Q314" s="17"/>
      <c r="R314" s="29">
        <f t="shared" si="26"/>
        <v>544</v>
      </c>
      <c r="S314" s="29">
        <f t="shared" si="27"/>
        <v>30</v>
      </c>
    </row>
    <row r="315" spans="3:19" x14ac:dyDescent="0.25">
      <c r="C315" s="10"/>
      <c r="D315" s="14" t="s">
        <v>2018</v>
      </c>
      <c r="E315" s="4"/>
      <c r="F315" s="5">
        <v>0</v>
      </c>
      <c r="G315" s="7">
        <f t="shared" si="28"/>
        <v>0</v>
      </c>
      <c r="H315" s="6" t="str">
        <f t="shared" si="29"/>
        <v/>
      </c>
      <c r="I315" s="4"/>
      <c r="J315" s="15"/>
      <c r="K315" s="17"/>
      <c r="L315" s="17"/>
      <c r="M315" s="18"/>
      <c r="O315" s="20" t="str">
        <f t="shared" si="25"/>
        <v>PI750202</v>
      </c>
      <c r="P315" s="20" t="str">
        <f t="shared" si="30"/>
        <v>T7500_Overview_Display.xgml</v>
      </c>
      <c r="Q315" s="17"/>
      <c r="R315" s="29">
        <f t="shared" si="26"/>
        <v>704</v>
      </c>
      <c r="S315" s="29">
        <f t="shared" si="27"/>
        <v>30</v>
      </c>
    </row>
    <row r="316" spans="3:19" x14ac:dyDescent="0.25">
      <c r="C316" s="10"/>
      <c r="D316" s="14" t="s">
        <v>2019</v>
      </c>
      <c r="E316" s="4"/>
      <c r="F316" s="5">
        <v>2</v>
      </c>
      <c r="G316" s="7">
        <f t="shared" si="28"/>
        <v>-2</v>
      </c>
      <c r="H316" s="6">
        <f t="shared" si="29"/>
        <v>-1</v>
      </c>
      <c r="I316" s="4"/>
      <c r="J316" s="15"/>
      <c r="K316" s="17"/>
      <c r="L316" s="17"/>
      <c r="M316" s="18"/>
      <c r="O316" s="20" t="str">
        <f t="shared" si="25"/>
        <v>PI750227</v>
      </c>
      <c r="P316" s="20" t="str">
        <f t="shared" si="30"/>
        <v>Not Found</v>
      </c>
      <c r="Q316" s="17"/>
      <c r="R316" s="29" t="str">
        <f t="shared" si="26"/>
        <v>Not Found</v>
      </c>
      <c r="S316" s="29" t="str">
        <f t="shared" si="27"/>
        <v>Not Found</v>
      </c>
    </row>
    <row r="317" spans="3:19" x14ac:dyDescent="0.25">
      <c r="C317" s="10"/>
      <c r="D317" s="14" t="s">
        <v>2020</v>
      </c>
      <c r="E317" s="4"/>
      <c r="F317" s="5">
        <v>2</v>
      </c>
      <c r="G317" s="7">
        <f t="shared" si="28"/>
        <v>-2</v>
      </c>
      <c r="H317" s="6">
        <f t="shared" si="29"/>
        <v>-1</v>
      </c>
      <c r="I317" s="4"/>
      <c r="J317" s="15"/>
      <c r="K317" s="17"/>
      <c r="L317" s="17"/>
      <c r="M317" s="18"/>
      <c r="O317" s="20" t="str">
        <f t="shared" si="25"/>
        <v>PI750237</v>
      </c>
      <c r="P317" s="20" t="str">
        <f t="shared" si="30"/>
        <v>Not Found</v>
      </c>
      <c r="Q317" s="17"/>
      <c r="R317" s="29" t="str">
        <f t="shared" si="26"/>
        <v>Not Found</v>
      </c>
      <c r="S317" s="29" t="str">
        <f t="shared" si="27"/>
        <v>Not Found</v>
      </c>
    </row>
    <row r="318" spans="3:19" x14ac:dyDescent="0.25">
      <c r="C318" s="10"/>
      <c r="D318" s="14" t="s">
        <v>2021</v>
      </c>
      <c r="E318" s="4"/>
      <c r="F318" s="5">
        <v>0</v>
      </c>
      <c r="G318" s="7">
        <f t="shared" si="28"/>
        <v>0</v>
      </c>
      <c r="H318" s="6" t="str">
        <f t="shared" si="29"/>
        <v/>
      </c>
      <c r="I318" s="4"/>
      <c r="J318" s="15"/>
      <c r="K318" s="17"/>
      <c r="L318" s="17"/>
      <c r="M318" s="18"/>
      <c r="O318" s="20" t="str">
        <f t="shared" si="25"/>
        <v>PI751004</v>
      </c>
      <c r="P318" s="20" t="str">
        <f t="shared" si="30"/>
        <v>V7510_Overview  Display.xgml</v>
      </c>
      <c r="Q318" s="17"/>
      <c r="R318" s="29">
        <f t="shared" si="26"/>
        <v>128</v>
      </c>
      <c r="S318" s="29">
        <f t="shared" si="27"/>
        <v>319</v>
      </c>
    </row>
    <row r="319" spans="3:19" ht="30" x14ac:dyDescent="0.25">
      <c r="C319" s="10"/>
      <c r="D319" s="14" t="s">
        <v>2022</v>
      </c>
      <c r="E319" s="4"/>
      <c r="F319" s="5">
        <v>2</v>
      </c>
      <c r="G319" s="7">
        <f t="shared" si="28"/>
        <v>-2</v>
      </c>
      <c r="H319" s="6">
        <f t="shared" si="29"/>
        <v>-1</v>
      </c>
      <c r="I319" s="4"/>
      <c r="J319" s="15" t="s">
        <v>2182</v>
      </c>
      <c r="K319" s="17"/>
      <c r="L319" s="17"/>
      <c r="M319" s="18"/>
      <c r="O319" s="20" t="str">
        <f t="shared" si="25"/>
        <v>PI751015</v>
      </c>
      <c r="P319" s="20" t="str">
        <f t="shared" si="30"/>
        <v>V7510_Overview  Display.xgml</v>
      </c>
      <c r="Q319" s="17"/>
      <c r="R319" s="29">
        <f t="shared" si="26"/>
        <v>792</v>
      </c>
      <c r="S319" s="29">
        <f t="shared" si="27"/>
        <v>480</v>
      </c>
    </row>
    <row r="320" spans="3:19" ht="30" x14ac:dyDescent="0.25">
      <c r="C320" s="10"/>
      <c r="D320" s="14" t="s">
        <v>2023</v>
      </c>
      <c r="E320" s="4"/>
      <c r="F320" s="5">
        <v>2</v>
      </c>
      <c r="G320" s="7">
        <f t="shared" si="28"/>
        <v>-2</v>
      </c>
      <c r="H320" s="6">
        <f t="shared" si="29"/>
        <v>-1</v>
      </c>
      <c r="I320" s="4"/>
      <c r="J320" s="15" t="s">
        <v>2182</v>
      </c>
      <c r="K320" s="17"/>
      <c r="L320" s="17"/>
      <c r="M320" s="18"/>
      <c r="O320" s="20" t="str">
        <f t="shared" si="25"/>
        <v>PI752023</v>
      </c>
      <c r="P320" s="20" t="str">
        <f t="shared" si="30"/>
        <v>V7510_Overview  Display.xgml</v>
      </c>
      <c r="Q320" s="17"/>
      <c r="R320" s="29">
        <f t="shared" si="26"/>
        <v>800</v>
      </c>
      <c r="S320" s="29">
        <f t="shared" si="27"/>
        <v>744</v>
      </c>
    </row>
    <row r="321" spans="3:19" x14ac:dyDescent="0.25">
      <c r="C321" s="10"/>
      <c r="D321" s="14" t="s">
        <v>2024</v>
      </c>
      <c r="E321" s="4"/>
      <c r="F321" s="5">
        <v>0</v>
      </c>
      <c r="G321" s="7">
        <f t="shared" si="28"/>
        <v>0</v>
      </c>
      <c r="H321" s="6" t="str">
        <f t="shared" si="29"/>
        <v/>
      </c>
      <c r="I321" s="4"/>
      <c r="J321" s="15"/>
      <c r="K321" s="17"/>
      <c r="L321" s="17"/>
      <c r="M321" s="18"/>
      <c r="O321" s="20" t="str">
        <f t="shared" si="25"/>
        <v>PI760011</v>
      </c>
      <c r="P321" s="20" t="str">
        <f t="shared" si="30"/>
        <v>T7600_Overview_Display.xgml</v>
      </c>
      <c r="Q321" s="17"/>
      <c r="R321" s="29">
        <f t="shared" si="26"/>
        <v>20</v>
      </c>
      <c r="S321" s="29">
        <f t="shared" si="27"/>
        <v>647</v>
      </c>
    </row>
    <row r="322" spans="3:19" x14ac:dyDescent="0.25">
      <c r="C322" s="10"/>
      <c r="D322" s="14" t="s">
        <v>2025</v>
      </c>
      <c r="E322" s="4"/>
      <c r="F322" s="5">
        <v>0</v>
      </c>
      <c r="G322" s="7">
        <f t="shared" si="28"/>
        <v>0</v>
      </c>
      <c r="H322" s="6" t="str">
        <f t="shared" si="29"/>
        <v/>
      </c>
      <c r="I322" s="4"/>
      <c r="J322" s="15"/>
      <c r="K322" s="17"/>
      <c r="L322" s="17"/>
      <c r="M322" s="18"/>
      <c r="O322" s="20" t="str">
        <f t="shared" si="25"/>
        <v>PI760019</v>
      </c>
      <c r="P322" s="20" t="str">
        <f t="shared" si="30"/>
        <v>T7600_Overview_Display.xgml</v>
      </c>
      <c r="Q322" s="17"/>
      <c r="R322" s="29">
        <f t="shared" si="26"/>
        <v>458</v>
      </c>
      <c r="S322" s="29">
        <f t="shared" si="27"/>
        <v>539</v>
      </c>
    </row>
    <row r="323" spans="3:19" x14ac:dyDescent="0.25">
      <c r="C323" s="10"/>
      <c r="D323" s="14" t="s">
        <v>2026</v>
      </c>
      <c r="E323" s="4"/>
      <c r="F323" s="5">
        <v>2</v>
      </c>
      <c r="G323" s="7">
        <f t="shared" si="28"/>
        <v>-2</v>
      </c>
      <c r="H323" s="6">
        <f t="shared" si="29"/>
        <v>-1</v>
      </c>
      <c r="I323" s="4"/>
      <c r="J323" s="15"/>
      <c r="K323" s="17"/>
      <c r="L323" s="17"/>
      <c r="M323" s="18"/>
      <c r="O323" s="20" t="str">
        <f t="shared" si="25"/>
        <v>PI760045</v>
      </c>
      <c r="P323" s="20" t="str">
        <f t="shared" si="30"/>
        <v>Not Found</v>
      </c>
      <c r="Q323" s="17"/>
      <c r="R323" s="29" t="str">
        <f t="shared" si="26"/>
        <v>Not Found</v>
      </c>
      <c r="S323" s="29" t="str">
        <f t="shared" si="27"/>
        <v>Not Found</v>
      </c>
    </row>
    <row r="324" spans="3:19" x14ac:dyDescent="0.25">
      <c r="C324" s="10"/>
      <c r="D324" s="14" t="s">
        <v>2027</v>
      </c>
      <c r="E324" s="4"/>
      <c r="F324" s="5">
        <v>2</v>
      </c>
      <c r="G324" s="7">
        <f t="shared" si="28"/>
        <v>-2</v>
      </c>
      <c r="H324" s="6">
        <f t="shared" si="29"/>
        <v>-1</v>
      </c>
      <c r="I324" s="4"/>
      <c r="J324" s="15"/>
      <c r="K324" s="17"/>
      <c r="L324" s="17"/>
      <c r="M324" s="18"/>
      <c r="O324" s="20" t="str">
        <f t="shared" si="25"/>
        <v>PI760055</v>
      </c>
      <c r="P324" s="20" t="str">
        <f t="shared" si="30"/>
        <v>Not Found</v>
      </c>
      <c r="Q324" s="17"/>
      <c r="R324" s="29" t="str">
        <f t="shared" si="26"/>
        <v>Not Found</v>
      </c>
      <c r="S324" s="29" t="str">
        <f t="shared" si="27"/>
        <v>Not Found</v>
      </c>
    </row>
    <row r="325" spans="3:19" x14ac:dyDescent="0.25">
      <c r="C325" s="10"/>
      <c r="D325" s="14" t="s">
        <v>2028</v>
      </c>
      <c r="E325" s="4"/>
      <c r="F325" s="5">
        <v>2</v>
      </c>
      <c r="G325" s="7">
        <f t="shared" si="28"/>
        <v>-2</v>
      </c>
      <c r="H325" s="6">
        <f t="shared" si="29"/>
        <v>-1</v>
      </c>
      <c r="I325" s="4"/>
      <c r="J325" s="15"/>
      <c r="K325" s="17"/>
      <c r="L325" s="17"/>
      <c r="M325" s="18"/>
      <c r="O325" s="20" t="str">
        <f t="shared" si="25"/>
        <v>PI760123</v>
      </c>
      <c r="P325" s="20" t="str">
        <f t="shared" si="30"/>
        <v>Not Found</v>
      </c>
      <c r="Q325" s="17"/>
      <c r="R325" s="29" t="str">
        <f t="shared" si="26"/>
        <v>Not Found</v>
      </c>
      <c r="S325" s="29" t="str">
        <f t="shared" si="27"/>
        <v>Not Found</v>
      </c>
    </row>
    <row r="326" spans="3:19" x14ac:dyDescent="0.25">
      <c r="C326" s="10"/>
      <c r="D326" s="14" t="s">
        <v>2029</v>
      </c>
      <c r="E326" s="4"/>
      <c r="F326" s="5">
        <v>2</v>
      </c>
      <c r="G326" s="7">
        <f t="shared" si="28"/>
        <v>-2</v>
      </c>
      <c r="H326" s="6">
        <f t="shared" si="29"/>
        <v>-1</v>
      </c>
      <c r="I326" s="4"/>
      <c r="J326" s="15"/>
      <c r="K326" s="17"/>
      <c r="L326" s="17"/>
      <c r="M326" s="18"/>
      <c r="O326" s="20" t="str">
        <f t="shared" si="25"/>
        <v>PI760133</v>
      </c>
      <c r="P326" s="20" t="str">
        <f t="shared" si="30"/>
        <v>Not Found</v>
      </c>
      <c r="Q326" s="17"/>
      <c r="R326" s="29" t="str">
        <f t="shared" si="26"/>
        <v>Not Found</v>
      </c>
      <c r="S326" s="29" t="str">
        <f t="shared" si="27"/>
        <v>Not Found</v>
      </c>
    </row>
    <row r="327" spans="3:19" x14ac:dyDescent="0.25">
      <c r="C327" s="10"/>
      <c r="D327" s="14" t="s">
        <v>2030</v>
      </c>
      <c r="E327" s="4"/>
      <c r="F327" s="5">
        <v>0</v>
      </c>
      <c r="G327" s="7">
        <f t="shared" si="28"/>
        <v>0</v>
      </c>
      <c r="H327" s="6" t="str">
        <f t="shared" si="29"/>
        <v/>
      </c>
      <c r="I327" s="4"/>
      <c r="J327" s="15"/>
      <c r="K327" s="17"/>
      <c r="L327" s="17"/>
      <c r="M327" s="18"/>
      <c r="O327" s="20" t="str">
        <f t="shared" si="25"/>
        <v>PI760201</v>
      </c>
      <c r="P327" s="20" t="str">
        <f t="shared" si="30"/>
        <v>T7600_Overview_Display.xgml</v>
      </c>
      <c r="Q327" s="17"/>
      <c r="R327" s="29">
        <f t="shared" si="26"/>
        <v>544</v>
      </c>
      <c r="S327" s="29">
        <f t="shared" si="27"/>
        <v>30</v>
      </c>
    </row>
    <row r="328" spans="3:19" x14ac:dyDescent="0.25">
      <c r="C328" s="10"/>
      <c r="D328" s="14" t="s">
        <v>2031</v>
      </c>
      <c r="E328" s="4"/>
      <c r="F328" s="5">
        <v>0</v>
      </c>
      <c r="G328" s="7">
        <f t="shared" si="28"/>
        <v>0</v>
      </c>
      <c r="H328" s="6" t="str">
        <f t="shared" si="29"/>
        <v/>
      </c>
      <c r="I328" s="4"/>
      <c r="J328" s="15"/>
      <c r="K328" s="17"/>
      <c r="L328" s="17"/>
      <c r="M328" s="18"/>
      <c r="O328" s="20" t="str">
        <f t="shared" ref="O328:O391" si="31">+LEFT(D328,FIND("IO",D328,1)-1)</f>
        <v>PI760202</v>
      </c>
      <c r="P328" s="20" t="str">
        <f t="shared" si="30"/>
        <v>T7600_Overview_Display.xgml</v>
      </c>
      <c r="Q328" s="17"/>
      <c r="R328" s="29">
        <f t="shared" ref="R328:R391" si="32">+IF(P328="Not Found",P328,VALUE(FINDProp($P$2,$P328,$O328,"XPos")))</f>
        <v>704</v>
      </c>
      <c r="S328" s="29">
        <f t="shared" ref="S328:S391" si="33">+IF(P328="Not Found",P328,VALUE(FINDProp($P$2,$P328,$O328,"YPos")))</f>
        <v>30</v>
      </c>
    </row>
    <row r="329" spans="3:19" x14ac:dyDescent="0.25">
      <c r="C329" s="10"/>
      <c r="D329" s="14" t="s">
        <v>2032</v>
      </c>
      <c r="E329" s="4"/>
      <c r="F329" s="5">
        <v>2</v>
      </c>
      <c r="G329" s="7">
        <f t="shared" si="28"/>
        <v>-2</v>
      </c>
      <c r="H329" s="6">
        <f t="shared" si="29"/>
        <v>-1</v>
      </c>
      <c r="I329" s="4"/>
      <c r="J329" s="15"/>
      <c r="K329" s="17"/>
      <c r="L329" s="17"/>
      <c r="M329" s="18"/>
      <c r="O329" s="20" t="str">
        <f t="shared" si="31"/>
        <v>PI760227</v>
      </c>
      <c r="P329" s="20" t="str">
        <f t="shared" si="30"/>
        <v>Not Found</v>
      </c>
      <c r="Q329" s="17"/>
      <c r="R329" s="29" t="str">
        <f t="shared" si="32"/>
        <v>Not Found</v>
      </c>
      <c r="S329" s="29" t="str">
        <f t="shared" si="33"/>
        <v>Not Found</v>
      </c>
    </row>
    <row r="330" spans="3:19" x14ac:dyDescent="0.25">
      <c r="C330" s="10"/>
      <c r="D330" s="14" t="s">
        <v>2033</v>
      </c>
      <c r="E330" s="4"/>
      <c r="F330" s="5">
        <v>2</v>
      </c>
      <c r="G330" s="7">
        <f t="shared" ref="G330:G393" si="34">(E330-F330)</f>
        <v>-2</v>
      </c>
      <c r="H330" s="6">
        <f t="shared" ref="H330:H393" si="35">IF(F330&lt;&gt;0,(E330-F330)/F330,"")</f>
        <v>-1</v>
      </c>
      <c r="I330" s="4"/>
      <c r="J330" s="15"/>
      <c r="K330" s="17"/>
      <c r="L330" s="17"/>
      <c r="M330" s="18"/>
      <c r="O330" s="20" t="str">
        <f t="shared" si="31"/>
        <v>PI760237</v>
      </c>
      <c r="P330" s="20" t="str">
        <f t="shared" si="30"/>
        <v>Not Found</v>
      </c>
      <c r="Q330" s="17"/>
      <c r="R330" s="29" t="str">
        <f t="shared" si="32"/>
        <v>Not Found</v>
      </c>
      <c r="S330" s="29" t="str">
        <f t="shared" si="33"/>
        <v>Not Found</v>
      </c>
    </row>
    <row r="331" spans="3:19" x14ac:dyDescent="0.25">
      <c r="C331" s="10"/>
      <c r="D331" s="14" t="s">
        <v>2034</v>
      </c>
      <c r="E331" s="4"/>
      <c r="F331" s="5">
        <v>0</v>
      </c>
      <c r="G331" s="7">
        <f t="shared" si="34"/>
        <v>0</v>
      </c>
      <c r="H331" s="6" t="str">
        <f t="shared" si="35"/>
        <v/>
      </c>
      <c r="I331" s="4"/>
      <c r="J331" s="15"/>
      <c r="K331" s="17"/>
      <c r="L331" s="17"/>
      <c r="M331" s="18"/>
      <c r="O331" s="20" t="str">
        <f t="shared" si="31"/>
        <v>PI761004</v>
      </c>
      <c r="P331" s="20" t="str">
        <f t="shared" si="30"/>
        <v>V7610_Overview  Display.xgml</v>
      </c>
      <c r="Q331" s="17"/>
      <c r="R331" s="29">
        <f t="shared" si="32"/>
        <v>136</v>
      </c>
      <c r="S331" s="29">
        <f t="shared" si="33"/>
        <v>319</v>
      </c>
    </row>
    <row r="332" spans="3:19" ht="30" x14ac:dyDescent="0.25">
      <c r="C332" s="10"/>
      <c r="D332" s="14" t="s">
        <v>2035</v>
      </c>
      <c r="E332" s="4"/>
      <c r="F332" s="5">
        <v>2</v>
      </c>
      <c r="G332" s="7">
        <f t="shared" si="34"/>
        <v>-2</v>
      </c>
      <c r="H332" s="6">
        <f t="shared" si="35"/>
        <v>-1</v>
      </c>
      <c r="I332" s="4"/>
      <c r="J332" s="15" t="s">
        <v>2182</v>
      </c>
      <c r="K332" s="17"/>
      <c r="L332" s="17"/>
      <c r="M332" s="18"/>
      <c r="O332" s="20" t="str">
        <f t="shared" si="31"/>
        <v>PI761015</v>
      </c>
      <c r="P332" s="20" t="str">
        <f t="shared" si="30"/>
        <v>V7610_Overview  Display.xgml</v>
      </c>
      <c r="Q332" s="17"/>
      <c r="R332" s="29">
        <f t="shared" si="32"/>
        <v>799</v>
      </c>
      <c r="S332" s="29">
        <f t="shared" si="33"/>
        <v>480</v>
      </c>
    </row>
    <row r="333" spans="3:19" ht="30" x14ac:dyDescent="0.25">
      <c r="C333" s="10"/>
      <c r="D333" s="14" t="s">
        <v>2036</v>
      </c>
      <c r="E333" s="4"/>
      <c r="F333" s="5">
        <v>2</v>
      </c>
      <c r="G333" s="7">
        <f t="shared" si="34"/>
        <v>-2</v>
      </c>
      <c r="H333" s="6">
        <f t="shared" si="35"/>
        <v>-1</v>
      </c>
      <c r="I333" s="4"/>
      <c r="J333" s="15" t="s">
        <v>2182</v>
      </c>
      <c r="K333" s="17"/>
      <c r="L333" s="17"/>
      <c r="M333" s="18"/>
      <c r="O333" s="20" t="str">
        <f t="shared" si="31"/>
        <v>PI762018</v>
      </c>
      <c r="P333" s="20" t="str">
        <f t="shared" si="30"/>
        <v>V7610_Overview  Display.xgml</v>
      </c>
      <c r="Q333" s="17"/>
      <c r="R333" s="29">
        <f t="shared" si="32"/>
        <v>783</v>
      </c>
      <c r="S333" s="29">
        <f t="shared" si="33"/>
        <v>728</v>
      </c>
    </row>
    <row r="334" spans="3:19" x14ac:dyDescent="0.25">
      <c r="C334" s="10"/>
      <c r="D334" s="14" t="s">
        <v>2037</v>
      </c>
      <c r="E334" s="4"/>
      <c r="F334" s="5">
        <v>0</v>
      </c>
      <c r="G334" s="7">
        <f t="shared" si="34"/>
        <v>0</v>
      </c>
      <c r="H334" s="6" t="str">
        <f t="shared" si="35"/>
        <v/>
      </c>
      <c r="I334" s="4"/>
      <c r="J334" s="15"/>
      <c r="K334" s="17"/>
      <c r="L334" s="17"/>
      <c r="M334" s="18"/>
      <c r="O334" s="20" t="str">
        <f t="shared" si="31"/>
        <v>PI763004</v>
      </c>
      <c r="P334" s="20" t="str">
        <f t="shared" si="30"/>
        <v>V7630_Overview  Display.xgml</v>
      </c>
      <c r="Q334" s="17"/>
      <c r="R334" s="29">
        <f t="shared" si="32"/>
        <v>136</v>
      </c>
      <c r="S334" s="29">
        <f t="shared" si="33"/>
        <v>287</v>
      </c>
    </row>
    <row r="335" spans="3:19" x14ac:dyDescent="0.25">
      <c r="C335" s="10"/>
      <c r="D335" s="14" t="s">
        <v>2038</v>
      </c>
      <c r="E335" s="4"/>
      <c r="F335" s="5">
        <v>2</v>
      </c>
      <c r="G335" s="7">
        <f t="shared" si="34"/>
        <v>-2</v>
      </c>
      <c r="H335" s="6">
        <f t="shared" si="35"/>
        <v>-1</v>
      </c>
      <c r="I335" s="4"/>
      <c r="J335" s="15"/>
      <c r="K335" s="17"/>
      <c r="L335" s="17"/>
      <c r="M335" s="18"/>
      <c r="O335" s="20" t="str">
        <f t="shared" si="31"/>
        <v>PI763018</v>
      </c>
      <c r="P335" s="20" t="str">
        <f t="shared" si="30"/>
        <v>Not Found</v>
      </c>
      <c r="Q335" s="17"/>
      <c r="R335" s="29" t="str">
        <f t="shared" si="32"/>
        <v>Not Found</v>
      </c>
      <c r="S335" s="29" t="str">
        <f t="shared" si="33"/>
        <v>Not Found</v>
      </c>
    </row>
    <row r="336" spans="3:19" x14ac:dyDescent="0.25">
      <c r="C336" s="10"/>
      <c r="D336" s="14" t="s">
        <v>2039</v>
      </c>
      <c r="E336" s="4"/>
      <c r="F336" s="5">
        <v>0</v>
      </c>
      <c r="G336" s="7">
        <f t="shared" si="34"/>
        <v>0</v>
      </c>
      <c r="H336" s="6" t="str">
        <f t="shared" si="35"/>
        <v/>
      </c>
      <c r="I336" s="4"/>
      <c r="J336" s="15"/>
      <c r="K336" s="17"/>
      <c r="L336" s="17"/>
      <c r="M336" s="18"/>
      <c r="O336" s="20" t="str">
        <f t="shared" si="31"/>
        <v>PI764004</v>
      </c>
      <c r="P336" s="20" t="str">
        <f t="shared" si="30"/>
        <v>V7640_Overview Display.xgml</v>
      </c>
      <c r="Q336" s="17"/>
      <c r="R336" s="29">
        <f t="shared" si="32"/>
        <v>136</v>
      </c>
      <c r="S336" s="29">
        <f t="shared" si="33"/>
        <v>328</v>
      </c>
    </row>
    <row r="337" spans="3:19" x14ac:dyDescent="0.25">
      <c r="C337" s="10"/>
      <c r="D337" s="14" t="s">
        <v>2040</v>
      </c>
      <c r="E337" s="4"/>
      <c r="F337" s="5">
        <v>2</v>
      </c>
      <c r="G337" s="7">
        <f t="shared" si="34"/>
        <v>-2</v>
      </c>
      <c r="H337" s="6">
        <f t="shared" si="35"/>
        <v>-1</v>
      </c>
      <c r="I337" s="4"/>
      <c r="J337" s="15"/>
      <c r="K337" s="17"/>
      <c r="L337" s="17"/>
      <c r="M337" s="18"/>
      <c r="O337" s="20" t="str">
        <f t="shared" si="31"/>
        <v>PI764018</v>
      </c>
      <c r="P337" s="20" t="str">
        <f t="shared" si="30"/>
        <v>Not Found</v>
      </c>
      <c r="Q337" s="17"/>
      <c r="R337" s="29" t="str">
        <f t="shared" si="32"/>
        <v>Not Found</v>
      </c>
      <c r="S337" s="29" t="str">
        <f t="shared" si="33"/>
        <v>Not Found</v>
      </c>
    </row>
    <row r="338" spans="3:19" x14ac:dyDescent="0.25">
      <c r="C338" s="10"/>
      <c r="D338" s="14" t="s">
        <v>2041</v>
      </c>
      <c r="E338" s="4"/>
      <c r="F338" s="5">
        <v>0</v>
      </c>
      <c r="G338" s="7">
        <f t="shared" si="34"/>
        <v>0</v>
      </c>
      <c r="H338" s="6" t="str">
        <f t="shared" si="35"/>
        <v/>
      </c>
      <c r="I338" s="4"/>
      <c r="J338" s="15"/>
      <c r="K338" s="17"/>
      <c r="L338" s="17"/>
      <c r="M338" s="18"/>
      <c r="O338" s="20" t="str">
        <f t="shared" si="31"/>
        <v>PI790007</v>
      </c>
      <c r="P338" s="20" t="str">
        <f t="shared" si="30"/>
        <v>D7900_Overview  Display.xgml</v>
      </c>
      <c r="Q338" s="17"/>
      <c r="R338" s="29">
        <f t="shared" si="32"/>
        <v>752</v>
      </c>
      <c r="S338" s="29">
        <f t="shared" si="33"/>
        <v>363</v>
      </c>
    </row>
    <row r="339" spans="3:19" x14ac:dyDescent="0.25">
      <c r="C339" s="10"/>
      <c r="D339" s="14" t="s">
        <v>2042</v>
      </c>
      <c r="E339" s="4"/>
      <c r="F339" s="5">
        <v>0</v>
      </c>
      <c r="G339" s="7">
        <f t="shared" si="34"/>
        <v>0</v>
      </c>
      <c r="H339" s="6" t="str">
        <f t="shared" si="35"/>
        <v/>
      </c>
      <c r="I339" s="4"/>
      <c r="J339" s="15"/>
      <c r="K339" s="17"/>
      <c r="L339" s="17"/>
      <c r="M339" s="18"/>
      <c r="O339" s="20" t="str">
        <f t="shared" si="31"/>
        <v>PI790012</v>
      </c>
      <c r="P339" s="20" t="str">
        <f t="shared" si="30"/>
        <v>D7900_Overview  Display.xgml</v>
      </c>
      <c r="Q339" s="17"/>
      <c r="R339" s="29">
        <f t="shared" si="32"/>
        <v>824</v>
      </c>
      <c r="S339" s="29">
        <f t="shared" si="33"/>
        <v>292</v>
      </c>
    </row>
    <row r="340" spans="3:19" x14ac:dyDescent="0.25">
      <c r="C340" s="10"/>
      <c r="D340" s="14" t="s">
        <v>2043</v>
      </c>
      <c r="E340" s="4"/>
      <c r="F340" s="5">
        <v>0</v>
      </c>
      <c r="G340" s="7">
        <f t="shared" si="34"/>
        <v>0</v>
      </c>
      <c r="H340" s="6" t="str">
        <f t="shared" si="35"/>
        <v/>
      </c>
      <c r="I340" s="4"/>
      <c r="J340" s="15"/>
      <c r="K340" s="17"/>
      <c r="L340" s="17"/>
      <c r="M340" s="18"/>
      <c r="O340" s="20" t="str">
        <f t="shared" si="31"/>
        <v>PI791003</v>
      </c>
      <c r="P340" s="20" t="str">
        <f t="shared" si="30"/>
        <v>D7900_Overview  Display.xgml</v>
      </c>
      <c r="Q340" s="17"/>
      <c r="R340" s="29">
        <f t="shared" si="32"/>
        <v>224</v>
      </c>
      <c r="S340" s="29">
        <f t="shared" si="33"/>
        <v>105</v>
      </c>
    </row>
    <row r="341" spans="3:19" x14ac:dyDescent="0.25">
      <c r="C341" s="10"/>
      <c r="D341" s="14" t="s">
        <v>2044</v>
      </c>
      <c r="E341" s="4"/>
      <c r="F341" s="5">
        <v>0</v>
      </c>
      <c r="G341" s="7">
        <f t="shared" si="34"/>
        <v>0</v>
      </c>
      <c r="H341" s="6" t="str">
        <f t="shared" si="35"/>
        <v/>
      </c>
      <c r="I341" s="4"/>
      <c r="J341" s="15"/>
      <c r="K341" s="17"/>
      <c r="L341" s="17"/>
      <c r="M341" s="18"/>
      <c r="O341" s="20" t="str">
        <f t="shared" si="31"/>
        <v>PI791006</v>
      </c>
      <c r="P341" s="20" t="str">
        <f t="shared" si="30"/>
        <v>D7900_Overview  Display.xgml</v>
      </c>
      <c r="Q341" s="17"/>
      <c r="R341" s="29">
        <f t="shared" si="32"/>
        <v>685</v>
      </c>
      <c r="S341" s="29">
        <f t="shared" si="33"/>
        <v>105</v>
      </c>
    </row>
    <row r="342" spans="3:19" x14ac:dyDescent="0.25">
      <c r="C342" s="10"/>
      <c r="D342" s="14" t="s">
        <v>2045</v>
      </c>
      <c r="E342" s="4"/>
      <c r="F342" s="5">
        <v>0</v>
      </c>
      <c r="G342" s="7">
        <f t="shared" si="34"/>
        <v>0</v>
      </c>
      <c r="H342" s="6" t="str">
        <f t="shared" si="35"/>
        <v/>
      </c>
      <c r="I342" s="4"/>
      <c r="J342" s="15"/>
      <c r="K342" s="17"/>
      <c r="L342" s="17"/>
      <c r="M342" s="18"/>
      <c r="O342" s="20" t="str">
        <f t="shared" si="31"/>
        <v>PI792005</v>
      </c>
      <c r="P342" s="20" t="str">
        <f t="shared" si="30"/>
        <v>Not Found</v>
      </c>
      <c r="Q342" s="17"/>
      <c r="R342" s="29" t="str">
        <f t="shared" si="32"/>
        <v>Not Found</v>
      </c>
      <c r="S342" s="29" t="str">
        <f t="shared" si="33"/>
        <v>Not Found</v>
      </c>
    </row>
    <row r="343" spans="3:19" x14ac:dyDescent="0.25">
      <c r="C343" s="10"/>
      <c r="D343" s="14" t="s">
        <v>2046</v>
      </c>
      <c r="E343" s="4"/>
      <c r="F343" s="5">
        <v>0</v>
      </c>
      <c r="G343" s="7">
        <f t="shared" si="34"/>
        <v>0</v>
      </c>
      <c r="H343" s="6" t="str">
        <f t="shared" si="35"/>
        <v/>
      </c>
      <c r="I343" s="4"/>
      <c r="J343" s="15"/>
      <c r="K343" s="17"/>
      <c r="L343" s="17"/>
      <c r="M343" s="18"/>
      <c r="O343" s="20" t="str">
        <f t="shared" si="31"/>
        <v>PI792007</v>
      </c>
      <c r="P343" s="20" t="str">
        <f t="shared" si="30"/>
        <v>Not Found</v>
      </c>
      <c r="Q343" s="17"/>
      <c r="R343" s="29" t="str">
        <f t="shared" si="32"/>
        <v>Not Found</v>
      </c>
      <c r="S343" s="29" t="str">
        <f t="shared" si="33"/>
        <v>Not Found</v>
      </c>
    </row>
    <row r="344" spans="3:19" x14ac:dyDescent="0.25">
      <c r="C344" s="10"/>
      <c r="D344" s="14" t="s">
        <v>2047</v>
      </c>
      <c r="E344" s="4"/>
      <c r="F344" s="5">
        <v>2</v>
      </c>
      <c r="G344" s="7">
        <f t="shared" si="34"/>
        <v>-2</v>
      </c>
      <c r="H344" s="6">
        <f t="shared" si="35"/>
        <v>-1</v>
      </c>
      <c r="I344" s="4"/>
      <c r="J344" s="15"/>
      <c r="K344" s="17"/>
      <c r="L344" s="17"/>
      <c r="M344" s="18"/>
      <c r="O344" s="20" t="str">
        <f t="shared" si="31"/>
        <v>PI794005</v>
      </c>
      <c r="P344" s="20" t="str">
        <f t="shared" si="30"/>
        <v>Not Found</v>
      </c>
      <c r="Q344" s="17"/>
      <c r="R344" s="29" t="str">
        <f t="shared" si="32"/>
        <v>Not Found</v>
      </c>
      <c r="S344" s="29" t="str">
        <f t="shared" si="33"/>
        <v>Not Found</v>
      </c>
    </row>
    <row r="345" spans="3:19" x14ac:dyDescent="0.25">
      <c r="C345" s="10"/>
      <c r="D345" s="14" t="s">
        <v>2048</v>
      </c>
      <c r="E345" s="4"/>
      <c r="F345" s="5">
        <v>2</v>
      </c>
      <c r="G345" s="7">
        <f t="shared" si="34"/>
        <v>-2</v>
      </c>
      <c r="H345" s="6">
        <f t="shared" si="35"/>
        <v>-1</v>
      </c>
      <c r="I345" s="4"/>
      <c r="J345" s="15"/>
      <c r="K345" s="17"/>
      <c r="L345" s="17"/>
      <c r="M345" s="18"/>
      <c r="O345" s="20" t="str">
        <f t="shared" si="31"/>
        <v>PI794010</v>
      </c>
      <c r="P345" s="20" t="str">
        <f t="shared" si="30"/>
        <v>Not Found</v>
      </c>
      <c r="Q345" s="17"/>
      <c r="R345" s="29" t="str">
        <f t="shared" si="32"/>
        <v>Not Found</v>
      </c>
      <c r="S345" s="29" t="str">
        <f t="shared" si="33"/>
        <v>Not Found</v>
      </c>
    </row>
    <row r="346" spans="3:19" x14ac:dyDescent="0.25">
      <c r="C346" s="10"/>
      <c r="D346" s="14" t="s">
        <v>2049</v>
      </c>
      <c r="E346" s="4"/>
      <c r="F346" s="5">
        <v>2</v>
      </c>
      <c r="G346" s="7">
        <f t="shared" si="34"/>
        <v>-2</v>
      </c>
      <c r="H346" s="6">
        <f t="shared" si="35"/>
        <v>-1</v>
      </c>
      <c r="I346" s="4"/>
      <c r="J346" s="15"/>
      <c r="K346" s="17"/>
      <c r="L346" s="17"/>
      <c r="M346" s="18"/>
      <c r="O346" s="20" t="str">
        <f t="shared" si="31"/>
        <v>PI796003</v>
      </c>
      <c r="P346" s="20" t="str">
        <f t="shared" si="30"/>
        <v>Not Found</v>
      </c>
      <c r="Q346" s="17"/>
      <c r="R346" s="29" t="str">
        <f t="shared" si="32"/>
        <v>Not Found</v>
      </c>
      <c r="S346" s="29" t="str">
        <f t="shared" si="33"/>
        <v>Not Found</v>
      </c>
    </row>
    <row r="347" spans="3:19" x14ac:dyDescent="0.25">
      <c r="C347" s="10"/>
      <c r="D347" s="14" t="s">
        <v>2050</v>
      </c>
      <c r="E347" s="4"/>
      <c r="F347" s="5">
        <v>2</v>
      </c>
      <c r="G347" s="7">
        <f t="shared" si="34"/>
        <v>-2</v>
      </c>
      <c r="H347" s="6">
        <f t="shared" si="35"/>
        <v>-1</v>
      </c>
      <c r="I347" s="4"/>
      <c r="J347" s="15"/>
      <c r="K347" s="17"/>
      <c r="L347" s="17"/>
      <c r="M347" s="18"/>
      <c r="O347" s="20" t="str">
        <f t="shared" si="31"/>
        <v>PI796004</v>
      </c>
      <c r="P347" s="20" t="str">
        <f t="shared" si="30"/>
        <v>Not Found</v>
      </c>
      <c r="Q347" s="17"/>
      <c r="R347" s="29" t="str">
        <f t="shared" si="32"/>
        <v>Not Found</v>
      </c>
      <c r="S347" s="29" t="str">
        <f t="shared" si="33"/>
        <v>Not Found</v>
      </c>
    </row>
    <row r="348" spans="3:19" x14ac:dyDescent="0.25">
      <c r="C348" s="10"/>
      <c r="D348" s="14" t="s">
        <v>2051</v>
      </c>
      <c r="E348" s="4"/>
      <c r="F348" s="5">
        <v>0</v>
      </c>
      <c r="G348" s="7">
        <f t="shared" si="34"/>
        <v>0</v>
      </c>
      <c r="H348" s="6" t="str">
        <f t="shared" si="35"/>
        <v/>
      </c>
      <c r="I348" s="4"/>
      <c r="J348" s="15"/>
      <c r="K348" s="17"/>
      <c r="L348" s="17"/>
      <c r="M348" s="18"/>
      <c r="O348" s="20" t="str">
        <f t="shared" si="31"/>
        <v>PI799010</v>
      </c>
      <c r="P348" s="20" t="str">
        <f t="shared" si="30"/>
        <v>Not Found</v>
      </c>
      <c r="Q348" s="17"/>
      <c r="R348" s="29" t="str">
        <f t="shared" si="32"/>
        <v>Not Found</v>
      </c>
      <c r="S348" s="29" t="str">
        <f t="shared" si="33"/>
        <v>Not Found</v>
      </c>
    </row>
    <row r="349" spans="3:19" x14ac:dyDescent="0.25">
      <c r="C349" s="10"/>
      <c r="D349" s="14" t="s">
        <v>2052</v>
      </c>
      <c r="E349" s="4"/>
      <c r="F349" s="5">
        <v>0</v>
      </c>
      <c r="G349" s="7">
        <f t="shared" si="34"/>
        <v>0</v>
      </c>
      <c r="H349" s="6" t="str">
        <f t="shared" si="35"/>
        <v/>
      </c>
      <c r="I349" s="4"/>
      <c r="J349" s="15"/>
      <c r="K349" s="17"/>
      <c r="L349" s="17"/>
      <c r="M349" s="18"/>
      <c r="O349" s="20" t="str">
        <f t="shared" si="31"/>
        <v>TI700004</v>
      </c>
      <c r="P349" s="20" t="str">
        <f t="shared" ref="P349:P412" si="36">+FindinFile($P$2,$O349,"Name")</f>
        <v>REACTION_Graphic Display.xgml</v>
      </c>
      <c r="Q349" s="17"/>
      <c r="R349" s="29">
        <f t="shared" si="32"/>
        <v>118</v>
      </c>
      <c r="S349" s="29">
        <f t="shared" si="33"/>
        <v>530</v>
      </c>
    </row>
    <row r="350" spans="3:19" x14ac:dyDescent="0.25">
      <c r="C350" s="10"/>
      <c r="D350" s="14" t="s">
        <v>2053</v>
      </c>
      <c r="E350" s="4"/>
      <c r="F350" s="5">
        <v>0</v>
      </c>
      <c r="G350" s="7">
        <f t="shared" si="34"/>
        <v>0</v>
      </c>
      <c r="H350" s="6" t="str">
        <f t="shared" si="35"/>
        <v/>
      </c>
      <c r="I350" s="4"/>
      <c r="J350" s="15"/>
      <c r="K350" s="17"/>
      <c r="L350" s="17"/>
      <c r="M350" s="18"/>
      <c r="O350" s="20" t="str">
        <f t="shared" si="31"/>
        <v>TI701013</v>
      </c>
      <c r="P350" s="20" t="str">
        <f t="shared" si="36"/>
        <v>R7040-1_Overview Display.xgml</v>
      </c>
      <c r="Q350" s="17"/>
      <c r="R350" s="29">
        <f t="shared" si="32"/>
        <v>217</v>
      </c>
      <c r="S350" s="29">
        <f t="shared" si="33"/>
        <v>193</v>
      </c>
    </row>
    <row r="351" spans="3:19" x14ac:dyDescent="0.25">
      <c r="C351" s="10"/>
      <c r="D351" s="14" t="s">
        <v>2054</v>
      </c>
      <c r="E351" s="4"/>
      <c r="F351" s="5">
        <v>0</v>
      </c>
      <c r="G351" s="7">
        <f t="shared" si="34"/>
        <v>0</v>
      </c>
      <c r="H351" s="6" t="str">
        <f t="shared" si="35"/>
        <v/>
      </c>
      <c r="I351" s="4"/>
      <c r="J351" s="15"/>
      <c r="K351" s="17"/>
      <c r="L351" s="17"/>
      <c r="M351" s="18"/>
      <c r="O351" s="20" t="str">
        <f t="shared" si="31"/>
        <v>TI703014A_2oo3</v>
      </c>
      <c r="P351" s="20" t="str">
        <f t="shared" si="36"/>
        <v>Not Found</v>
      </c>
      <c r="Q351" s="17"/>
      <c r="R351" s="29" t="str">
        <f t="shared" si="32"/>
        <v>Not Found</v>
      </c>
      <c r="S351" s="29" t="str">
        <f t="shared" si="33"/>
        <v>Not Found</v>
      </c>
    </row>
    <row r="352" spans="3:19" x14ac:dyDescent="0.25">
      <c r="C352" s="10"/>
      <c r="D352" s="14" t="s">
        <v>2055</v>
      </c>
      <c r="E352" s="4"/>
      <c r="F352" s="5">
        <v>0</v>
      </c>
      <c r="G352" s="7">
        <f t="shared" si="34"/>
        <v>0</v>
      </c>
      <c r="H352" s="6" t="str">
        <f t="shared" si="35"/>
        <v/>
      </c>
      <c r="I352" s="4"/>
      <c r="J352" s="15"/>
      <c r="K352" s="17"/>
      <c r="L352" s="17"/>
      <c r="M352" s="18"/>
      <c r="O352" s="20" t="str">
        <f t="shared" si="31"/>
        <v>TI703014A_2oo3</v>
      </c>
      <c r="P352" s="20" t="str">
        <f t="shared" si="36"/>
        <v>Not Found</v>
      </c>
      <c r="Q352" s="17"/>
      <c r="R352" s="29" t="str">
        <f t="shared" si="32"/>
        <v>Not Found</v>
      </c>
      <c r="S352" s="29" t="str">
        <f t="shared" si="33"/>
        <v>Not Found</v>
      </c>
    </row>
    <row r="353" spans="3:19" x14ac:dyDescent="0.25">
      <c r="C353" s="10"/>
      <c r="D353" s="14" t="s">
        <v>2056</v>
      </c>
      <c r="E353" s="4"/>
      <c r="F353" s="5">
        <v>0</v>
      </c>
      <c r="G353" s="7">
        <f t="shared" si="34"/>
        <v>0</v>
      </c>
      <c r="H353" s="6" t="str">
        <f t="shared" si="35"/>
        <v/>
      </c>
      <c r="I353" s="4"/>
      <c r="J353" s="15"/>
      <c r="K353" s="17"/>
      <c r="L353" s="17"/>
      <c r="M353" s="18"/>
      <c r="O353" s="20" t="str">
        <f t="shared" si="31"/>
        <v>TI703014A_2oo3</v>
      </c>
      <c r="P353" s="20" t="str">
        <f t="shared" si="36"/>
        <v>Not Found</v>
      </c>
      <c r="Q353" s="17"/>
      <c r="R353" s="29" t="str">
        <f t="shared" si="32"/>
        <v>Not Found</v>
      </c>
      <c r="S353" s="29" t="str">
        <f t="shared" si="33"/>
        <v>Not Found</v>
      </c>
    </row>
    <row r="354" spans="3:19" x14ac:dyDescent="0.25">
      <c r="C354" s="10"/>
      <c r="D354" s="14" t="s">
        <v>2057</v>
      </c>
      <c r="E354" s="4"/>
      <c r="F354" s="5">
        <v>0</v>
      </c>
      <c r="G354" s="7">
        <f t="shared" si="34"/>
        <v>0</v>
      </c>
      <c r="H354" s="6" t="str">
        <f t="shared" si="35"/>
        <v/>
      </c>
      <c r="I354" s="4"/>
      <c r="J354" s="15"/>
      <c r="K354" s="17"/>
      <c r="L354" s="17"/>
      <c r="M354" s="18"/>
      <c r="O354" s="20" t="str">
        <f t="shared" si="31"/>
        <v>TI704001</v>
      </c>
      <c r="P354" s="20" t="str">
        <f t="shared" si="36"/>
        <v>R7040-2A_Overview Display.xgml</v>
      </c>
      <c r="Q354" s="17"/>
      <c r="R354" s="29">
        <f t="shared" si="32"/>
        <v>1024</v>
      </c>
      <c r="S354" s="29">
        <f t="shared" si="33"/>
        <v>344</v>
      </c>
    </row>
    <row r="355" spans="3:19" x14ac:dyDescent="0.25">
      <c r="C355" s="10"/>
      <c r="D355" s="14" t="s">
        <v>2058</v>
      </c>
      <c r="E355" s="4"/>
      <c r="F355" s="5">
        <v>0</v>
      </c>
      <c r="G355" s="7">
        <f t="shared" si="34"/>
        <v>0</v>
      </c>
      <c r="H355" s="6" t="str">
        <f t="shared" si="35"/>
        <v/>
      </c>
      <c r="I355" s="4"/>
      <c r="J355" s="15"/>
      <c r="K355" s="17"/>
      <c r="L355" s="17"/>
      <c r="M355" s="18"/>
      <c r="O355" s="20" t="str">
        <f t="shared" si="31"/>
        <v>TI704002</v>
      </c>
      <c r="P355" s="20" t="str">
        <f t="shared" si="36"/>
        <v>R7040-2A_Overview Display.xgml</v>
      </c>
      <c r="Q355" s="17"/>
      <c r="R355" s="29">
        <f t="shared" si="32"/>
        <v>1024</v>
      </c>
      <c r="S355" s="29">
        <f t="shared" si="33"/>
        <v>288</v>
      </c>
    </row>
    <row r="356" spans="3:19" x14ac:dyDescent="0.25">
      <c r="C356" s="10"/>
      <c r="D356" s="14" t="s">
        <v>2059</v>
      </c>
      <c r="E356" s="4"/>
      <c r="F356" s="5">
        <v>0</v>
      </c>
      <c r="G356" s="7">
        <f t="shared" si="34"/>
        <v>0</v>
      </c>
      <c r="H356" s="6" t="str">
        <f t="shared" si="35"/>
        <v/>
      </c>
      <c r="I356" s="4"/>
      <c r="J356" s="15"/>
      <c r="K356" s="17"/>
      <c r="L356" s="17"/>
      <c r="M356" s="18"/>
      <c r="O356" s="20" t="str">
        <f t="shared" si="31"/>
        <v>TI704003</v>
      </c>
      <c r="P356" s="20" t="str">
        <f t="shared" si="36"/>
        <v>R7040-2A_Overview Display.xgml</v>
      </c>
      <c r="Q356" s="17"/>
      <c r="R356" s="29">
        <f t="shared" si="32"/>
        <v>1024</v>
      </c>
      <c r="S356" s="29">
        <f t="shared" si="33"/>
        <v>232</v>
      </c>
    </row>
    <row r="357" spans="3:19" x14ac:dyDescent="0.25">
      <c r="C357" s="10"/>
      <c r="D357" s="14" t="s">
        <v>2060</v>
      </c>
      <c r="E357" s="4"/>
      <c r="F357" s="5">
        <v>0</v>
      </c>
      <c r="G357" s="7">
        <f t="shared" si="34"/>
        <v>0</v>
      </c>
      <c r="H357" s="6" t="str">
        <f t="shared" si="35"/>
        <v/>
      </c>
      <c r="I357" s="4"/>
      <c r="J357" s="15"/>
      <c r="K357" s="17"/>
      <c r="L357" s="17"/>
      <c r="M357" s="18"/>
      <c r="O357" s="20" t="str">
        <f t="shared" si="31"/>
        <v>TI704004</v>
      </c>
      <c r="P357" s="20" t="str">
        <f t="shared" si="36"/>
        <v>R7040-2A_Overview Display.xgml</v>
      </c>
      <c r="Q357" s="17"/>
      <c r="R357" s="29">
        <f t="shared" si="32"/>
        <v>1024</v>
      </c>
      <c r="S357" s="29">
        <f t="shared" si="33"/>
        <v>176</v>
      </c>
    </row>
    <row r="358" spans="3:19" x14ac:dyDescent="0.25">
      <c r="C358" s="10"/>
      <c r="D358" s="14" t="s">
        <v>2061</v>
      </c>
      <c r="E358" s="4"/>
      <c r="F358" s="5">
        <v>0</v>
      </c>
      <c r="G358" s="7">
        <f t="shared" si="34"/>
        <v>0</v>
      </c>
      <c r="H358" s="6" t="str">
        <f t="shared" si="35"/>
        <v/>
      </c>
      <c r="I358" s="4"/>
      <c r="J358" s="15"/>
      <c r="K358" s="17"/>
      <c r="L358" s="17"/>
      <c r="M358" s="18"/>
      <c r="O358" s="20" t="str">
        <f t="shared" si="31"/>
        <v>TI704005</v>
      </c>
      <c r="P358" s="20" t="str">
        <f t="shared" si="36"/>
        <v>R7040-2A_Overview Display.xgml</v>
      </c>
      <c r="Q358" s="17"/>
      <c r="R358" s="29">
        <f t="shared" si="32"/>
        <v>1024</v>
      </c>
      <c r="S358" s="29">
        <f t="shared" si="33"/>
        <v>136</v>
      </c>
    </row>
    <row r="359" spans="3:19" x14ac:dyDescent="0.25">
      <c r="C359" s="10"/>
      <c r="D359" s="14" t="s">
        <v>2062</v>
      </c>
      <c r="E359" s="4"/>
      <c r="F359" s="5">
        <v>0</v>
      </c>
      <c r="G359" s="7">
        <f t="shared" si="34"/>
        <v>0</v>
      </c>
      <c r="H359" s="6" t="str">
        <f t="shared" si="35"/>
        <v/>
      </c>
      <c r="I359" s="4"/>
      <c r="J359" s="15"/>
      <c r="K359" s="17"/>
      <c r="L359" s="17"/>
      <c r="M359" s="18"/>
      <c r="O359" s="20" t="str">
        <f t="shared" si="31"/>
        <v>TI704006</v>
      </c>
      <c r="P359" s="20" t="str">
        <f t="shared" si="36"/>
        <v>R7040-2A_Overview Display.xgml</v>
      </c>
      <c r="Q359" s="17"/>
      <c r="R359" s="29">
        <f t="shared" si="32"/>
        <v>1024</v>
      </c>
      <c r="S359" s="29">
        <f t="shared" si="33"/>
        <v>88</v>
      </c>
    </row>
    <row r="360" spans="3:19" x14ac:dyDescent="0.25">
      <c r="C360" s="10"/>
      <c r="D360" s="14" t="s">
        <v>2063</v>
      </c>
      <c r="E360" s="4"/>
      <c r="F360" s="5">
        <v>0</v>
      </c>
      <c r="G360" s="7">
        <f t="shared" si="34"/>
        <v>0</v>
      </c>
      <c r="H360" s="6" t="str">
        <f t="shared" si="35"/>
        <v/>
      </c>
      <c r="I360" s="4"/>
      <c r="J360" s="15"/>
      <c r="K360" s="17"/>
      <c r="L360" s="17"/>
      <c r="M360" s="18"/>
      <c r="O360" s="20" t="str">
        <f t="shared" si="31"/>
        <v>TI704007</v>
      </c>
      <c r="P360" s="20" t="str">
        <f t="shared" si="36"/>
        <v>REACTION_Graphic Display.xgml</v>
      </c>
      <c r="Q360" s="17"/>
      <c r="R360" s="29">
        <f t="shared" si="32"/>
        <v>417</v>
      </c>
      <c r="S360" s="29">
        <f t="shared" si="33"/>
        <v>299</v>
      </c>
    </row>
    <row r="361" spans="3:19" x14ac:dyDescent="0.25">
      <c r="C361" s="10"/>
      <c r="D361" s="14" t="s">
        <v>2064</v>
      </c>
      <c r="E361" s="4"/>
      <c r="F361" s="5">
        <v>0</v>
      </c>
      <c r="G361" s="7">
        <f t="shared" si="34"/>
        <v>0</v>
      </c>
      <c r="H361" s="6" t="str">
        <f t="shared" si="35"/>
        <v/>
      </c>
      <c r="I361" s="4"/>
      <c r="J361" s="15"/>
      <c r="K361" s="17"/>
      <c r="L361" s="17"/>
      <c r="M361" s="18"/>
      <c r="O361" s="20" t="str">
        <f t="shared" si="31"/>
        <v>TI705006</v>
      </c>
      <c r="P361" s="20" t="str">
        <f t="shared" si="36"/>
        <v>R7040-2A_Overview Display.xgml</v>
      </c>
      <c r="Q361" s="17"/>
      <c r="R361" s="29">
        <f t="shared" si="32"/>
        <v>973</v>
      </c>
      <c r="S361" s="29">
        <f t="shared" si="33"/>
        <v>582</v>
      </c>
    </row>
    <row r="362" spans="3:19" x14ac:dyDescent="0.25">
      <c r="C362" s="10"/>
      <c r="D362" s="14" t="s">
        <v>2065</v>
      </c>
      <c r="E362" s="4"/>
      <c r="F362" s="5">
        <v>0</v>
      </c>
      <c r="G362" s="7">
        <f t="shared" si="34"/>
        <v>0</v>
      </c>
      <c r="H362" s="6" t="str">
        <f t="shared" si="35"/>
        <v/>
      </c>
      <c r="I362" s="4"/>
      <c r="J362" s="15"/>
      <c r="K362" s="17"/>
      <c r="L362" s="17"/>
      <c r="M362" s="18"/>
      <c r="O362" s="20" t="str">
        <f t="shared" si="31"/>
        <v>TI720004</v>
      </c>
      <c r="P362" s="20" t="str">
        <f t="shared" si="36"/>
        <v>R7040-2B_Overview Display.xgml</v>
      </c>
      <c r="Q362" s="17"/>
      <c r="R362" s="29">
        <f t="shared" si="32"/>
        <v>188</v>
      </c>
      <c r="S362" s="29">
        <f t="shared" si="33"/>
        <v>217</v>
      </c>
    </row>
    <row r="363" spans="3:19" x14ac:dyDescent="0.25">
      <c r="C363" s="10"/>
      <c r="D363" s="14" t="s">
        <v>2066</v>
      </c>
      <c r="E363" s="4"/>
      <c r="F363" s="5">
        <v>0</v>
      </c>
      <c r="G363" s="7">
        <f t="shared" si="34"/>
        <v>0</v>
      </c>
      <c r="H363" s="6" t="str">
        <f t="shared" si="35"/>
        <v/>
      </c>
      <c r="I363" s="4"/>
      <c r="J363" s="15"/>
      <c r="K363" s="17"/>
      <c r="L363" s="17"/>
      <c r="M363" s="18"/>
      <c r="O363" s="20" t="str">
        <f t="shared" si="31"/>
        <v>TI720006</v>
      </c>
      <c r="P363" s="20" t="str">
        <f t="shared" si="36"/>
        <v>REACTION_Graphic Display.xgml</v>
      </c>
      <c r="Q363" s="17"/>
      <c r="R363" s="29">
        <f t="shared" si="32"/>
        <v>646</v>
      </c>
      <c r="S363" s="29">
        <f t="shared" si="33"/>
        <v>328</v>
      </c>
    </row>
    <row r="364" spans="3:19" x14ac:dyDescent="0.25">
      <c r="C364" s="10"/>
      <c r="D364" s="14" t="s">
        <v>2067</v>
      </c>
      <c r="E364" s="4"/>
      <c r="F364" s="5">
        <v>0</v>
      </c>
      <c r="G364" s="7">
        <f t="shared" si="34"/>
        <v>0</v>
      </c>
      <c r="H364" s="6" t="str">
        <f t="shared" si="35"/>
        <v/>
      </c>
      <c r="I364" s="4"/>
      <c r="J364" s="15"/>
      <c r="K364" s="17"/>
      <c r="L364" s="17"/>
      <c r="M364" s="18"/>
      <c r="O364" s="20" t="str">
        <f t="shared" si="31"/>
        <v>TI721004</v>
      </c>
      <c r="P364" s="20" t="str">
        <f t="shared" si="36"/>
        <v>R7040-2B_Overview Display.xgml</v>
      </c>
      <c r="Q364" s="17"/>
      <c r="R364" s="29">
        <f t="shared" si="32"/>
        <v>611</v>
      </c>
      <c r="S364" s="29">
        <f t="shared" si="33"/>
        <v>205</v>
      </c>
    </row>
    <row r="365" spans="3:19" x14ac:dyDescent="0.25">
      <c r="C365" s="10"/>
      <c r="D365" s="14" t="s">
        <v>2068</v>
      </c>
      <c r="E365" s="4"/>
      <c r="F365" s="5">
        <v>0</v>
      </c>
      <c r="G365" s="7">
        <f t="shared" si="34"/>
        <v>0</v>
      </c>
      <c r="H365" s="6" t="str">
        <f t="shared" si="35"/>
        <v/>
      </c>
      <c r="I365" s="4"/>
      <c r="J365" s="15"/>
      <c r="K365" s="17"/>
      <c r="L365" s="17"/>
      <c r="M365" s="18"/>
      <c r="O365" s="20" t="str">
        <f t="shared" si="31"/>
        <v>TI721006</v>
      </c>
      <c r="P365" s="20" t="str">
        <f t="shared" si="36"/>
        <v>REACTION_Graphic Display.xgml</v>
      </c>
      <c r="Q365" s="17"/>
      <c r="R365" s="29">
        <f t="shared" si="32"/>
        <v>874</v>
      </c>
      <c r="S365" s="29">
        <f t="shared" si="33"/>
        <v>328</v>
      </c>
    </row>
    <row r="366" spans="3:19" x14ac:dyDescent="0.25">
      <c r="C366" s="10"/>
      <c r="D366" s="14" t="s">
        <v>2069</v>
      </c>
      <c r="E366" s="4"/>
      <c r="F366" s="5">
        <v>0</v>
      </c>
      <c r="G366" s="7">
        <f t="shared" si="34"/>
        <v>0</v>
      </c>
      <c r="H366" s="6" t="str">
        <f t="shared" si="35"/>
        <v/>
      </c>
      <c r="I366" s="4"/>
      <c r="J366" s="15"/>
      <c r="K366" s="17"/>
      <c r="L366" s="17"/>
      <c r="M366" s="18"/>
      <c r="O366" s="20" t="str">
        <f t="shared" si="31"/>
        <v>TI722004</v>
      </c>
      <c r="P366" s="20" t="str">
        <f t="shared" si="36"/>
        <v>R7040-2B_Overview Display.xgml</v>
      </c>
      <c r="Q366" s="17"/>
      <c r="R366" s="29">
        <f t="shared" si="32"/>
        <v>979</v>
      </c>
      <c r="S366" s="29">
        <f t="shared" si="33"/>
        <v>246</v>
      </c>
    </row>
    <row r="367" spans="3:19" x14ac:dyDescent="0.25">
      <c r="C367" s="10"/>
      <c r="D367" s="14" t="s">
        <v>2070</v>
      </c>
      <c r="E367" s="4"/>
      <c r="F367" s="5">
        <v>0</v>
      </c>
      <c r="G367" s="7">
        <f t="shared" si="34"/>
        <v>0</v>
      </c>
      <c r="H367" s="6" t="str">
        <f t="shared" si="35"/>
        <v/>
      </c>
      <c r="I367" s="4"/>
      <c r="J367" s="15"/>
      <c r="K367" s="17"/>
      <c r="L367" s="17"/>
      <c r="M367" s="18"/>
      <c r="O367" s="20" t="str">
        <f t="shared" si="31"/>
        <v>TI722006</v>
      </c>
      <c r="P367" s="20" t="str">
        <f t="shared" si="36"/>
        <v>REACTION_Graphic Display.xgml</v>
      </c>
      <c r="Q367" s="17"/>
      <c r="R367" s="29">
        <f t="shared" si="32"/>
        <v>1109</v>
      </c>
      <c r="S367" s="29">
        <f t="shared" si="33"/>
        <v>328</v>
      </c>
    </row>
    <row r="368" spans="3:19" x14ac:dyDescent="0.25">
      <c r="C368" s="10"/>
      <c r="D368" s="14" t="s">
        <v>2071</v>
      </c>
      <c r="E368" s="4"/>
      <c r="F368" s="5">
        <v>0</v>
      </c>
      <c r="G368" s="7">
        <f t="shared" si="34"/>
        <v>0</v>
      </c>
      <c r="H368" s="6" t="str">
        <f t="shared" si="35"/>
        <v/>
      </c>
      <c r="I368" s="4"/>
      <c r="J368" s="15"/>
      <c r="K368" s="17"/>
      <c r="L368" s="17"/>
      <c r="M368" s="18"/>
      <c r="O368" s="20" t="str">
        <f t="shared" si="31"/>
        <v>TI722201</v>
      </c>
      <c r="P368" s="20" t="str">
        <f t="shared" si="36"/>
        <v>R7040-2B_Overview Display.xgml</v>
      </c>
      <c r="Q368" s="17"/>
      <c r="R368" s="29">
        <f t="shared" si="32"/>
        <v>932</v>
      </c>
      <c r="S368" s="29">
        <f t="shared" si="33"/>
        <v>173</v>
      </c>
    </row>
    <row r="369" spans="3:19" x14ac:dyDescent="0.25">
      <c r="C369" s="10"/>
      <c r="D369" s="14" t="s">
        <v>2072</v>
      </c>
      <c r="E369" s="4"/>
      <c r="F369" s="5">
        <v>0</v>
      </c>
      <c r="G369" s="7">
        <f t="shared" si="34"/>
        <v>0</v>
      </c>
      <c r="H369" s="6" t="str">
        <f t="shared" si="35"/>
        <v/>
      </c>
      <c r="I369" s="4"/>
      <c r="J369" s="15"/>
      <c r="K369" s="17"/>
      <c r="L369" s="17"/>
      <c r="M369" s="18"/>
      <c r="O369" s="20" t="str">
        <f t="shared" si="31"/>
        <v>TI730004</v>
      </c>
      <c r="P369" s="20" t="str">
        <f t="shared" si="36"/>
        <v>T7300_Overview_Display.xgml</v>
      </c>
      <c r="Q369" s="17"/>
      <c r="R369" s="29">
        <f t="shared" si="32"/>
        <v>43</v>
      </c>
      <c r="S369" s="29">
        <f t="shared" si="33"/>
        <v>424</v>
      </c>
    </row>
    <row r="370" spans="3:19" x14ac:dyDescent="0.25">
      <c r="C370" s="10"/>
      <c r="D370" s="14" t="s">
        <v>2073</v>
      </c>
      <c r="E370" s="4"/>
      <c r="F370" s="5">
        <v>0</v>
      </c>
      <c r="G370" s="7">
        <f t="shared" si="34"/>
        <v>0</v>
      </c>
      <c r="H370" s="6" t="str">
        <f t="shared" si="35"/>
        <v/>
      </c>
      <c r="I370" s="4"/>
      <c r="J370" s="15"/>
      <c r="K370" s="17"/>
      <c r="L370" s="17"/>
      <c r="M370" s="18"/>
      <c r="O370" s="20" t="str">
        <f t="shared" si="31"/>
        <v>TI730008</v>
      </c>
      <c r="P370" s="20" t="str">
        <f t="shared" si="36"/>
        <v>T7300_Overview_Display.xgml</v>
      </c>
      <c r="Q370" s="17"/>
      <c r="R370" s="29">
        <f t="shared" si="32"/>
        <v>43</v>
      </c>
      <c r="S370" s="29">
        <f t="shared" si="33"/>
        <v>738</v>
      </c>
    </row>
    <row r="371" spans="3:19" x14ac:dyDescent="0.25">
      <c r="C371" s="10"/>
      <c r="D371" s="14" t="s">
        <v>2074</v>
      </c>
      <c r="E371" s="4"/>
      <c r="F371" s="5">
        <v>0</v>
      </c>
      <c r="G371" s="7">
        <f t="shared" si="34"/>
        <v>0</v>
      </c>
      <c r="H371" s="6" t="str">
        <f t="shared" si="35"/>
        <v/>
      </c>
      <c r="I371" s="4"/>
      <c r="J371" s="15"/>
      <c r="K371" s="17"/>
      <c r="L371" s="17"/>
      <c r="M371" s="18"/>
      <c r="O371" s="20" t="str">
        <f t="shared" si="31"/>
        <v>TI730009</v>
      </c>
      <c r="P371" s="20" t="str">
        <f t="shared" si="36"/>
        <v>T7300_Overview_Display.xgml</v>
      </c>
      <c r="Q371" s="17"/>
      <c r="R371" s="29">
        <f t="shared" si="32"/>
        <v>43</v>
      </c>
      <c r="S371" s="29">
        <f t="shared" si="33"/>
        <v>528</v>
      </c>
    </row>
    <row r="372" spans="3:19" x14ac:dyDescent="0.25">
      <c r="C372" s="10"/>
      <c r="D372" s="14" t="s">
        <v>2075</v>
      </c>
      <c r="E372" s="4"/>
      <c r="F372" s="5">
        <v>0</v>
      </c>
      <c r="G372" s="7">
        <f t="shared" si="34"/>
        <v>0</v>
      </c>
      <c r="H372" s="6" t="str">
        <f t="shared" si="35"/>
        <v/>
      </c>
      <c r="I372" s="4"/>
      <c r="J372" s="15"/>
      <c r="K372" s="17"/>
      <c r="L372" s="17"/>
      <c r="M372" s="18"/>
      <c r="O372" s="20" t="str">
        <f t="shared" si="31"/>
        <v>TI730022</v>
      </c>
      <c r="P372" s="20" t="str">
        <f t="shared" si="36"/>
        <v>Not Found</v>
      </c>
      <c r="Q372" s="17"/>
      <c r="R372" s="29" t="str">
        <f t="shared" si="32"/>
        <v>Not Found</v>
      </c>
      <c r="S372" s="29" t="str">
        <f t="shared" si="33"/>
        <v>Not Found</v>
      </c>
    </row>
    <row r="373" spans="3:19" x14ac:dyDescent="0.25">
      <c r="C373" s="10"/>
      <c r="D373" s="14" t="s">
        <v>2076</v>
      </c>
      <c r="E373" s="4"/>
      <c r="F373" s="5">
        <v>0</v>
      </c>
      <c r="G373" s="7">
        <f t="shared" si="34"/>
        <v>0</v>
      </c>
      <c r="H373" s="6" t="str">
        <f t="shared" si="35"/>
        <v/>
      </c>
      <c r="I373" s="4"/>
      <c r="J373" s="15"/>
      <c r="K373" s="17"/>
      <c r="L373" s="17"/>
      <c r="M373" s="18"/>
      <c r="O373" s="20" t="str">
        <f t="shared" si="31"/>
        <v>TI730023</v>
      </c>
      <c r="P373" s="20" t="str">
        <f t="shared" si="36"/>
        <v>T7300_Overview_Display.xgml</v>
      </c>
      <c r="Q373" s="17"/>
      <c r="R373" s="29">
        <f t="shared" si="32"/>
        <v>43</v>
      </c>
      <c r="S373" s="29">
        <f t="shared" si="33"/>
        <v>477</v>
      </c>
    </row>
    <row r="374" spans="3:19" x14ac:dyDescent="0.25">
      <c r="C374" s="10"/>
      <c r="D374" s="14" t="s">
        <v>2077</v>
      </c>
      <c r="E374" s="4"/>
      <c r="F374" s="5">
        <v>0</v>
      </c>
      <c r="G374" s="7">
        <f t="shared" si="34"/>
        <v>0</v>
      </c>
      <c r="H374" s="6" t="str">
        <f t="shared" si="35"/>
        <v/>
      </c>
      <c r="I374" s="4"/>
      <c r="J374" s="15"/>
      <c r="K374" s="17"/>
      <c r="L374" s="17"/>
      <c r="M374" s="18"/>
      <c r="O374" s="20" t="str">
        <f t="shared" si="31"/>
        <v>TI730202</v>
      </c>
      <c r="P374" s="20" t="str">
        <f t="shared" si="36"/>
        <v>T7300_Overview_Display.xgml</v>
      </c>
      <c r="Q374" s="17"/>
      <c r="R374" s="29">
        <f t="shared" si="32"/>
        <v>1209</v>
      </c>
      <c r="S374" s="29">
        <f t="shared" si="33"/>
        <v>352</v>
      </c>
    </row>
    <row r="375" spans="3:19" x14ac:dyDescent="0.25">
      <c r="C375" s="10"/>
      <c r="D375" s="14" t="s">
        <v>2078</v>
      </c>
      <c r="E375" s="4"/>
      <c r="F375" s="5">
        <v>0</v>
      </c>
      <c r="G375" s="7">
        <f t="shared" si="34"/>
        <v>0</v>
      </c>
      <c r="H375" s="6" t="str">
        <f t="shared" si="35"/>
        <v/>
      </c>
      <c r="I375" s="4"/>
      <c r="J375" s="15"/>
      <c r="K375" s="17"/>
      <c r="L375" s="17"/>
      <c r="M375" s="18"/>
      <c r="O375" s="20" t="str">
        <f t="shared" si="31"/>
        <v>TI730413</v>
      </c>
      <c r="P375" s="20" t="str">
        <f t="shared" si="36"/>
        <v>V7304_Overview  Display.xgml</v>
      </c>
      <c r="Q375" s="17"/>
      <c r="R375" s="29">
        <f t="shared" si="32"/>
        <v>336</v>
      </c>
      <c r="S375" s="29">
        <f t="shared" si="33"/>
        <v>579</v>
      </c>
    </row>
    <row r="376" spans="3:19" x14ac:dyDescent="0.25">
      <c r="C376" s="10"/>
      <c r="D376" s="14" t="s">
        <v>2079</v>
      </c>
      <c r="E376" s="4"/>
      <c r="F376" s="5">
        <v>0</v>
      </c>
      <c r="G376" s="7">
        <f t="shared" si="34"/>
        <v>0</v>
      </c>
      <c r="H376" s="6" t="str">
        <f t="shared" si="35"/>
        <v/>
      </c>
      <c r="I376" s="4"/>
      <c r="J376" s="15"/>
      <c r="K376" s="17"/>
      <c r="L376" s="17"/>
      <c r="M376" s="18"/>
      <c r="O376" s="20" t="str">
        <f t="shared" si="31"/>
        <v>TI740008</v>
      </c>
      <c r="P376" s="20" t="str">
        <f t="shared" si="36"/>
        <v>T7400_Overview_Display.xgml</v>
      </c>
      <c r="Q376" s="17"/>
      <c r="R376" s="29">
        <f t="shared" si="32"/>
        <v>22</v>
      </c>
      <c r="S376" s="29">
        <f t="shared" si="33"/>
        <v>459</v>
      </c>
    </row>
    <row r="377" spans="3:19" x14ac:dyDescent="0.25">
      <c r="C377" s="10"/>
      <c r="D377" s="14" t="s">
        <v>2080</v>
      </c>
      <c r="E377" s="4"/>
      <c r="F377" s="5">
        <v>0</v>
      </c>
      <c r="G377" s="7">
        <f t="shared" si="34"/>
        <v>0</v>
      </c>
      <c r="H377" s="6" t="str">
        <f t="shared" si="35"/>
        <v/>
      </c>
      <c r="I377" s="4"/>
      <c r="J377" s="15"/>
      <c r="K377" s="17"/>
      <c r="L377" s="17"/>
      <c r="M377" s="18"/>
      <c r="O377" s="20" t="str">
        <f t="shared" si="31"/>
        <v>TI740009</v>
      </c>
      <c r="P377" s="20" t="str">
        <f t="shared" si="36"/>
        <v>T7400_Overview_Display.xgml</v>
      </c>
      <c r="Q377" s="17"/>
      <c r="R377" s="29">
        <f t="shared" si="32"/>
        <v>23</v>
      </c>
      <c r="S377" s="29">
        <f t="shared" si="33"/>
        <v>517</v>
      </c>
    </row>
    <row r="378" spans="3:19" x14ac:dyDescent="0.25">
      <c r="C378" s="10"/>
      <c r="D378" s="14" t="s">
        <v>2081</v>
      </c>
      <c r="E378" s="4"/>
      <c r="F378" s="5">
        <v>0</v>
      </c>
      <c r="G378" s="7">
        <f t="shared" si="34"/>
        <v>0</v>
      </c>
      <c r="H378" s="6" t="str">
        <f t="shared" si="35"/>
        <v/>
      </c>
      <c r="I378" s="4"/>
      <c r="J378" s="15"/>
      <c r="K378" s="17"/>
      <c r="L378" s="17"/>
      <c r="M378" s="18"/>
      <c r="O378" s="20" t="str">
        <f t="shared" si="31"/>
        <v>TI740010</v>
      </c>
      <c r="P378" s="20" t="str">
        <f t="shared" si="36"/>
        <v>T7400_Overview_Display.xgml</v>
      </c>
      <c r="Q378" s="17"/>
      <c r="R378" s="29">
        <f t="shared" si="32"/>
        <v>25</v>
      </c>
      <c r="S378" s="29">
        <f t="shared" si="33"/>
        <v>552</v>
      </c>
    </row>
    <row r="379" spans="3:19" x14ac:dyDescent="0.25">
      <c r="C379" s="10"/>
      <c r="D379" s="14" t="s">
        <v>2082</v>
      </c>
      <c r="E379" s="4"/>
      <c r="F379" s="5">
        <v>0</v>
      </c>
      <c r="G379" s="7">
        <f t="shared" si="34"/>
        <v>0</v>
      </c>
      <c r="H379" s="6" t="str">
        <f t="shared" si="35"/>
        <v/>
      </c>
      <c r="I379" s="4"/>
      <c r="J379" s="15"/>
      <c r="K379" s="17"/>
      <c r="L379" s="17"/>
      <c r="M379" s="18"/>
      <c r="O379" s="20" t="str">
        <f t="shared" si="31"/>
        <v>TI740013</v>
      </c>
      <c r="P379" s="20" t="str">
        <f t="shared" si="36"/>
        <v>T7400_Overview_Display.xgml</v>
      </c>
      <c r="Q379" s="17"/>
      <c r="R379" s="29">
        <f t="shared" si="32"/>
        <v>24</v>
      </c>
      <c r="S379" s="29">
        <f t="shared" si="33"/>
        <v>778</v>
      </c>
    </row>
    <row r="380" spans="3:19" x14ac:dyDescent="0.25">
      <c r="C380" s="10"/>
      <c r="D380" s="14" t="s">
        <v>2083</v>
      </c>
      <c r="E380" s="4"/>
      <c r="F380" s="5">
        <v>0</v>
      </c>
      <c r="G380" s="7">
        <f t="shared" si="34"/>
        <v>0</v>
      </c>
      <c r="H380" s="6" t="str">
        <f t="shared" si="35"/>
        <v/>
      </c>
      <c r="I380" s="4"/>
      <c r="J380" s="15"/>
      <c r="K380" s="17"/>
      <c r="L380" s="17"/>
      <c r="M380" s="18"/>
      <c r="O380" s="20" t="str">
        <f t="shared" si="31"/>
        <v>TI740110</v>
      </c>
      <c r="P380" s="20" t="str">
        <f t="shared" si="36"/>
        <v>T7400_Overview_Display.xgml</v>
      </c>
      <c r="Q380" s="17"/>
      <c r="R380" s="29">
        <f t="shared" si="32"/>
        <v>1328</v>
      </c>
      <c r="S380" s="29">
        <f t="shared" si="33"/>
        <v>561</v>
      </c>
    </row>
    <row r="381" spans="3:19" x14ac:dyDescent="0.25">
      <c r="C381" s="10"/>
      <c r="D381" s="14" t="s">
        <v>2084</v>
      </c>
      <c r="E381" s="4"/>
      <c r="F381" s="5">
        <v>0</v>
      </c>
      <c r="G381" s="7">
        <f t="shared" si="34"/>
        <v>0</v>
      </c>
      <c r="H381" s="6" t="str">
        <f t="shared" si="35"/>
        <v/>
      </c>
      <c r="I381" s="4"/>
      <c r="J381" s="15"/>
      <c r="K381" s="17"/>
      <c r="L381" s="17"/>
      <c r="M381" s="18"/>
      <c r="O381" s="20" t="str">
        <f t="shared" si="31"/>
        <v>TI740204</v>
      </c>
      <c r="P381" s="20" t="str">
        <f t="shared" si="36"/>
        <v>T7400_Overview_Display.xgml</v>
      </c>
      <c r="Q381" s="17"/>
      <c r="R381" s="29">
        <f t="shared" si="32"/>
        <v>1328</v>
      </c>
      <c r="S381" s="29">
        <f t="shared" si="33"/>
        <v>367</v>
      </c>
    </row>
    <row r="382" spans="3:19" x14ac:dyDescent="0.25">
      <c r="C382" s="10"/>
      <c r="D382" s="14" t="s">
        <v>2085</v>
      </c>
      <c r="E382" s="4"/>
      <c r="F382" s="5">
        <v>0</v>
      </c>
      <c r="G382" s="7">
        <f t="shared" si="34"/>
        <v>0</v>
      </c>
      <c r="H382" s="6" t="str">
        <f t="shared" si="35"/>
        <v/>
      </c>
      <c r="I382" s="4"/>
      <c r="J382" s="15"/>
      <c r="K382" s="17"/>
      <c r="L382" s="17"/>
      <c r="M382" s="18"/>
      <c r="O382" s="20" t="str">
        <f t="shared" si="31"/>
        <v>TI740220</v>
      </c>
      <c r="P382" s="20" t="str">
        <f t="shared" si="36"/>
        <v>T7400_Overview_Display.xgml</v>
      </c>
      <c r="Q382" s="17"/>
      <c r="R382" s="29">
        <f t="shared" si="32"/>
        <v>55</v>
      </c>
      <c r="S382" s="29">
        <f t="shared" si="33"/>
        <v>85</v>
      </c>
    </row>
    <row r="383" spans="3:19" x14ac:dyDescent="0.25">
      <c r="C383" s="10"/>
      <c r="D383" s="14" t="s">
        <v>2086</v>
      </c>
      <c r="E383" s="4"/>
      <c r="F383" s="5">
        <v>0</v>
      </c>
      <c r="G383" s="7">
        <f t="shared" si="34"/>
        <v>0</v>
      </c>
      <c r="H383" s="6" t="str">
        <f t="shared" si="35"/>
        <v/>
      </c>
      <c r="I383" s="4"/>
      <c r="J383" s="15"/>
      <c r="K383" s="17"/>
      <c r="L383" s="17"/>
      <c r="M383" s="18"/>
      <c r="O383" s="20" t="str">
        <f t="shared" si="31"/>
        <v>TI741009</v>
      </c>
      <c r="P383" s="20" t="str">
        <f t="shared" si="36"/>
        <v>V7410_Overview  Display.xgml</v>
      </c>
      <c r="Q383" s="17"/>
      <c r="R383" s="29">
        <f t="shared" si="32"/>
        <v>136</v>
      </c>
      <c r="S383" s="29">
        <f t="shared" si="33"/>
        <v>497</v>
      </c>
    </row>
    <row r="384" spans="3:19" x14ac:dyDescent="0.25">
      <c r="C384" s="10"/>
      <c r="D384" s="14" t="s">
        <v>2087</v>
      </c>
      <c r="E384" s="4"/>
      <c r="F384" s="5">
        <v>0</v>
      </c>
      <c r="G384" s="7">
        <f t="shared" si="34"/>
        <v>0</v>
      </c>
      <c r="H384" s="6" t="str">
        <f t="shared" si="35"/>
        <v/>
      </c>
      <c r="I384" s="4"/>
      <c r="J384" s="15"/>
      <c r="K384" s="17"/>
      <c r="L384" s="17"/>
      <c r="M384" s="18"/>
      <c r="O384" s="20" t="str">
        <f t="shared" si="31"/>
        <v>TI750008</v>
      </c>
      <c r="P384" s="20" t="str">
        <f t="shared" si="36"/>
        <v>T7500_Overview_Display.xgml</v>
      </c>
      <c r="Q384" s="17"/>
      <c r="R384" s="29">
        <f t="shared" si="32"/>
        <v>23</v>
      </c>
      <c r="S384" s="29">
        <f t="shared" si="33"/>
        <v>458</v>
      </c>
    </row>
    <row r="385" spans="3:19" x14ac:dyDescent="0.25">
      <c r="C385" s="10"/>
      <c r="D385" s="14" t="s">
        <v>2088</v>
      </c>
      <c r="E385" s="4"/>
      <c r="F385" s="5">
        <v>0</v>
      </c>
      <c r="G385" s="7">
        <f t="shared" si="34"/>
        <v>0</v>
      </c>
      <c r="H385" s="6" t="str">
        <f t="shared" si="35"/>
        <v/>
      </c>
      <c r="I385" s="4"/>
      <c r="J385" s="15"/>
      <c r="K385" s="17"/>
      <c r="L385" s="17"/>
      <c r="M385" s="18"/>
      <c r="O385" s="20" t="str">
        <f t="shared" si="31"/>
        <v>TI750009</v>
      </c>
      <c r="P385" s="20" t="str">
        <f t="shared" si="36"/>
        <v>T7500_Overview_Display.xgml</v>
      </c>
      <c r="Q385" s="17"/>
      <c r="R385" s="29">
        <f t="shared" si="32"/>
        <v>23</v>
      </c>
      <c r="S385" s="29">
        <f t="shared" si="33"/>
        <v>502</v>
      </c>
    </row>
    <row r="386" spans="3:19" x14ac:dyDescent="0.25">
      <c r="C386" s="10"/>
      <c r="D386" s="14" t="s">
        <v>2089</v>
      </c>
      <c r="E386" s="4"/>
      <c r="F386" s="5">
        <v>0</v>
      </c>
      <c r="G386" s="7">
        <f t="shared" si="34"/>
        <v>0</v>
      </c>
      <c r="H386" s="6" t="str">
        <f t="shared" si="35"/>
        <v/>
      </c>
      <c r="I386" s="4"/>
      <c r="J386" s="15"/>
      <c r="K386" s="17"/>
      <c r="L386" s="17"/>
      <c r="M386" s="18"/>
      <c r="O386" s="20" t="str">
        <f t="shared" si="31"/>
        <v>TI750010</v>
      </c>
      <c r="P386" s="20" t="str">
        <f t="shared" si="36"/>
        <v>T7500_Overview_Display.xgml</v>
      </c>
      <c r="Q386" s="17"/>
      <c r="R386" s="29">
        <f t="shared" si="32"/>
        <v>23</v>
      </c>
      <c r="S386" s="29">
        <f t="shared" si="33"/>
        <v>548</v>
      </c>
    </row>
    <row r="387" spans="3:19" x14ac:dyDescent="0.25">
      <c r="C387" s="10"/>
      <c r="D387" s="14" t="s">
        <v>2090</v>
      </c>
      <c r="E387" s="4"/>
      <c r="F387" s="5">
        <v>0</v>
      </c>
      <c r="G387" s="7">
        <f t="shared" si="34"/>
        <v>0</v>
      </c>
      <c r="H387" s="6" t="str">
        <f t="shared" si="35"/>
        <v/>
      </c>
      <c r="I387" s="4"/>
      <c r="J387" s="15"/>
      <c r="K387" s="17"/>
      <c r="L387" s="17"/>
      <c r="M387" s="18"/>
      <c r="O387" s="20" t="str">
        <f t="shared" si="31"/>
        <v>TI750013</v>
      </c>
      <c r="P387" s="20" t="str">
        <f t="shared" si="36"/>
        <v>T7500_Overview_Display.xgml</v>
      </c>
      <c r="Q387" s="17"/>
      <c r="R387" s="29">
        <f t="shared" si="32"/>
        <v>24</v>
      </c>
      <c r="S387" s="29">
        <f t="shared" si="33"/>
        <v>778</v>
      </c>
    </row>
    <row r="388" spans="3:19" x14ac:dyDescent="0.25">
      <c r="C388" s="10"/>
      <c r="D388" s="14" t="s">
        <v>2091</v>
      </c>
      <c r="E388" s="4"/>
      <c r="F388" s="5">
        <v>0</v>
      </c>
      <c r="G388" s="7">
        <f t="shared" si="34"/>
        <v>0</v>
      </c>
      <c r="H388" s="6" t="str">
        <f t="shared" si="35"/>
        <v/>
      </c>
      <c r="I388" s="4"/>
      <c r="J388" s="15"/>
      <c r="K388" s="17"/>
      <c r="L388" s="17"/>
      <c r="M388" s="18"/>
      <c r="O388" s="20" t="str">
        <f t="shared" si="31"/>
        <v>TI750110</v>
      </c>
      <c r="P388" s="20" t="str">
        <f t="shared" si="36"/>
        <v>T7500_Overview_Display.xgml</v>
      </c>
      <c r="Q388" s="17"/>
      <c r="R388" s="29">
        <f t="shared" si="32"/>
        <v>1296</v>
      </c>
      <c r="S388" s="29">
        <f t="shared" si="33"/>
        <v>545</v>
      </c>
    </row>
    <row r="389" spans="3:19" x14ac:dyDescent="0.25">
      <c r="C389" s="10"/>
      <c r="D389" s="14" t="s">
        <v>2092</v>
      </c>
      <c r="E389" s="4"/>
      <c r="F389" s="5">
        <v>0</v>
      </c>
      <c r="G389" s="7">
        <f t="shared" si="34"/>
        <v>0</v>
      </c>
      <c r="H389" s="6" t="str">
        <f t="shared" si="35"/>
        <v/>
      </c>
      <c r="I389" s="4"/>
      <c r="J389" s="15"/>
      <c r="K389" s="17"/>
      <c r="L389" s="17"/>
      <c r="M389" s="18"/>
      <c r="O389" s="20" t="str">
        <f t="shared" si="31"/>
        <v>TI750204</v>
      </c>
      <c r="P389" s="20" t="str">
        <f t="shared" si="36"/>
        <v>T7500_Overview_Display.xgml</v>
      </c>
      <c r="Q389" s="17"/>
      <c r="R389" s="29">
        <f t="shared" si="32"/>
        <v>1328</v>
      </c>
      <c r="S389" s="29">
        <f t="shared" si="33"/>
        <v>367</v>
      </c>
    </row>
    <row r="390" spans="3:19" x14ac:dyDescent="0.25">
      <c r="C390" s="10"/>
      <c r="D390" s="14" t="s">
        <v>2093</v>
      </c>
      <c r="E390" s="4"/>
      <c r="F390" s="5">
        <v>0</v>
      </c>
      <c r="G390" s="7">
        <f t="shared" si="34"/>
        <v>0</v>
      </c>
      <c r="H390" s="6" t="str">
        <f t="shared" si="35"/>
        <v/>
      </c>
      <c r="I390" s="4"/>
      <c r="J390" s="15"/>
      <c r="K390" s="17"/>
      <c r="L390" s="17"/>
      <c r="M390" s="18"/>
      <c r="O390" s="20" t="str">
        <f t="shared" si="31"/>
        <v>TI750220</v>
      </c>
      <c r="P390" s="20" t="str">
        <f t="shared" si="36"/>
        <v>T7500_Overview_Display.xgml</v>
      </c>
      <c r="Q390" s="17"/>
      <c r="R390" s="29">
        <f t="shared" si="32"/>
        <v>23</v>
      </c>
      <c r="S390" s="29">
        <f t="shared" si="33"/>
        <v>85</v>
      </c>
    </row>
    <row r="391" spans="3:19" x14ac:dyDescent="0.25">
      <c r="C391" s="10"/>
      <c r="D391" s="14" t="s">
        <v>2094</v>
      </c>
      <c r="E391" s="4"/>
      <c r="F391" s="5">
        <v>0</v>
      </c>
      <c r="G391" s="7">
        <f t="shared" si="34"/>
        <v>0</v>
      </c>
      <c r="H391" s="6" t="str">
        <f t="shared" si="35"/>
        <v/>
      </c>
      <c r="I391" s="4"/>
      <c r="J391" s="15"/>
      <c r="K391" s="17"/>
      <c r="L391" s="17"/>
      <c r="M391" s="18"/>
      <c r="O391" s="20" t="str">
        <f t="shared" si="31"/>
        <v>TI751009</v>
      </c>
      <c r="P391" s="20" t="str">
        <f t="shared" si="36"/>
        <v>V7510_Overview  Display.xgml</v>
      </c>
      <c r="Q391" s="17"/>
      <c r="R391" s="29">
        <f t="shared" si="32"/>
        <v>136</v>
      </c>
      <c r="S391" s="29">
        <f t="shared" si="33"/>
        <v>488</v>
      </c>
    </row>
    <row r="392" spans="3:19" x14ac:dyDescent="0.25">
      <c r="C392" s="10"/>
      <c r="D392" s="14" t="s">
        <v>2095</v>
      </c>
      <c r="E392" s="4"/>
      <c r="F392" s="5">
        <v>0</v>
      </c>
      <c r="G392" s="7">
        <f t="shared" si="34"/>
        <v>0</v>
      </c>
      <c r="H392" s="6" t="str">
        <f t="shared" si="35"/>
        <v/>
      </c>
      <c r="I392" s="4"/>
      <c r="J392" s="15"/>
      <c r="K392" s="17"/>
      <c r="L392" s="17"/>
      <c r="M392" s="18"/>
      <c r="O392" s="20" t="str">
        <f t="shared" ref="O392:O455" si="37">+LEFT(D392,FIND("IO",D392,1)-1)</f>
        <v>TI760008</v>
      </c>
      <c r="P392" s="20" t="str">
        <f t="shared" si="36"/>
        <v>T7600_Overview_Display.xgml</v>
      </c>
      <c r="Q392" s="17"/>
      <c r="R392" s="29">
        <f t="shared" ref="R392:R455" si="38">+IF(P392="Not Found",P392,VALUE(FINDProp($P$2,$P392,$O392,"XPos")))</f>
        <v>22</v>
      </c>
      <c r="S392" s="29">
        <f t="shared" ref="S392:S455" si="39">+IF(P392="Not Found",P392,VALUE(FINDProp($P$2,$P392,$O392,"YPos")))</f>
        <v>462</v>
      </c>
    </row>
    <row r="393" spans="3:19" x14ac:dyDescent="0.25">
      <c r="C393" s="10"/>
      <c r="D393" s="14" t="s">
        <v>2096</v>
      </c>
      <c r="E393" s="4"/>
      <c r="F393" s="5">
        <v>0</v>
      </c>
      <c r="G393" s="7">
        <f t="shared" si="34"/>
        <v>0</v>
      </c>
      <c r="H393" s="6" t="str">
        <f t="shared" si="35"/>
        <v/>
      </c>
      <c r="I393" s="4"/>
      <c r="J393" s="15"/>
      <c r="K393" s="17"/>
      <c r="L393" s="17"/>
      <c r="M393" s="18"/>
      <c r="O393" s="20" t="str">
        <f t="shared" si="37"/>
        <v>TI760009</v>
      </c>
      <c r="P393" s="20" t="str">
        <f t="shared" si="36"/>
        <v>T7600_Overview_Display.xgml</v>
      </c>
      <c r="Q393" s="17"/>
      <c r="R393" s="29">
        <f t="shared" si="38"/>
        <v>23</v>
      </c>
      <c r="S393" s="29">
        <f t="shared" si="39"/>
        <v>506</v>
      </c>
    </row>
    <row r="394" spans="3:19" x14ac:dyDescent="0.25">
      <c r="C394" s="10"/>
      <c r="D394" s="14" t="s">
        <v>2097</v>
      </c>
      <c r="E394" s="4"/>
      <c r="F394" s="5">
        <v>0</v>
      </c>
      <c r="G394" s="7">
        <f t="shared" ref="G394:G457" si="40">(E394-F394)</f>
        <v>0</v>
      </c>
      <c r="H394" s="6" t="str">
        <f t="shared" ref="H394:H457" si="41">IF(F394&lt;&gt;0,(E394-F394)/F394,"")</f>
        <v/>
      </c>
      <c r="I394" s="4"/>
      <c r="J394" s="15"/>
      <c r="K394" s="17"/>
      <c r="L394" s="17"/>
      <c r="M394" s="18"/>
      <c r="O394" s="20" t="str">
        <f t="shared" si="37"/>
        <v>TI760010</v>
      </c>
      <c r="P394" s="20" t="str">
        <f t="shared" si="36"/>
        <v>T7600_Overview_Display.xgml</v>
      </c>
      <c r="Q394" s="17"/>
      <c r="R394" s="29">
        <f t="shared" si="38"/>
        <v>24</v>
      </c>
      <c r="S394" s="29">
        <f t="shared" si="39"/>
        <v>554</v>
      </c>
    </row>
    <row r="395" spans="3:19" x14ac:dyDescent="0.25">
      <c r="C395" s="10"/>
      <c r="D395" s="14" t="s">
        <v>2098</v>
      </c>
      <c r="E395" s="4"/>
      <c r="F395" s="5">
        <v>0</v>
      </c>
      <c r="G395" s="7">
        <f t="shared" si="40"/>
        <v>0</v>
      </c>
      <c r="H395" s="6" t="str">
        <f t="shared" si="41"/>
        <v/>
      </c>
      <c r="I395" s="4"/>
      <c r="J395" s="15"/>
      <c r="K395" s="17"/>
      <c r="L395" s="17"/>
      <c r="M395" s="18"/>
      <c r="O395" s="20" t="str">
        <f t="shared" si="37"/>
        <v>TI760013</v>
      </c>
      <c r="P395" s="20" t="str">
        <f t="shared" si="36"/>
        <v>T7600_Overview_Display.xgml</v>
      </c>
      <c r="Q395" s="17"/>
      <c r="R395" s="29">
        <f t="shared" si="38"/>
        <v>24</v>
      </c>
      <c r="S395" s="29">
        <f t="shared" si="39"/>
        <v>778</v>
      </c>
    </row>
    <row r="396" spans="3:19" x14ac:dyDescent="0.25">
      <c r="C396" s="10"/>
      <c r="D396" s="14" t="s">
        <v>2099</v>
      </c>
      <c r="E396" s="4"/>
      <c r="F396" s="5">
        <v>0</v>
      </c>
      <c r="G396" s="7">
        <f t="shared" si="40"/>
        <v>0</v>
      </c>
      <c r="H396" s="6" t="str">
        <f t="shared" si="41"/>
        <v/>
      </c>
      <c r="I396" s="4"/>
      <c r="J396" s="15"/>
      <c r="K396" s="17"/>
      <c r="L396" s="17"/>
      <c r="M396" s="18"/>
      <c r="O396" s="20" t="str">
        <f t="shared" si="37"/>
        <v>TI760110</v>
      </c>
      <c r="P396" s="20" t="str">
        <f t="shared" si="36"/>
        <v>T7600_Overview_Display.xgml</v>
      </c>
      <c r="Q396" s="17"/>
      <c r="R396" s="29">
        <f t="shared" si="38"/>
        <v>1288</v>
      </c>
      <c r="S396" s="29">
        <f t="shared" si="39"/>
        <v>545</v>
      </c>
    </row>
    <row r="397" spans="3:19" x14ac:dyDescent="0.25">
      <c r="C397" s="10"/>
      <c r="D397" s="14" t="s">
        <v>2100</v>
      </c>
      <c r="E397" s="4"/>
      <c r="F397" s="5">
        <v>0</v>
      </c>
      <c r="G397" s="7">
        <f t="shared" si="40"/>
        <v>0</v>
      </c>
      <c r="H397" s="6" t="str">
        <f t="shared" si="41"/>
        <v/>
      </c>
      <c r="I397" s="4"/>
      <c r="J397" s="15"/>
      <c r="K397" s="17"/>
      <c r="L397" s="17"/>
      <c r="M397" s="18"/>
      <c r="O397" s="20" t="str">
        <f t="shared" si="37"/>
        <v>TI760204</v>
      </c>
      <c r="P397" s="20" t="str">
        <f t="shared" si="36"/>
        <v>T7600_Overview_Display.xgml</v>
      </c>
      <c r="Q397" s="17"/>
      <c r="R397" s="29">
        <f t="shared" si="38"/>
        <v>1328</v>
      </c>
      <c r="S397" s="29">
        <f t="shared" si="39"/>
        <v>367</v>
      </c>
    </row>
    <row r="398" spans="3:19" x14ac:dyDescent="0.25">
      <c r="C398" s="10"/>
      <c r="D398" s="14" t="s">
        <v>2101</v>
      </c>
      <c r="E398" s="4"/>
      <c r="F398" s="5">
        <v>0</v>
      </c>
      <c r="G398" s="7">
        <f t="shared" si="40"/>
        <v>0</v>
      </c>
      <c r="H398" s="6" t="str">
        <f t="shared" si="41"/>
        <v/>
      </c>
      <c r="I398" s="4"/>
      <c r="J398" s="15"/>
      <c r="K398" s="17"/>
      <c r="L398" s="17"/>
      <c r="M398" s="18"/>
      <c r="O398" s="20" t="str">
        <f t="shared" si="37"/>
        <v>TI760220</v>
      </c>
      <c r="P398" s="20" t="str">
        <f t="shared" si="36"/>
        <v>T7600_Overview_Display.xgml</v>
      </c>
      <c r="Q398" s="17"/>
      <c r="R398" s="29">
        <f t="shared" si="38"/>
        <v>23</v>
      </c>
      <c r="S398" s="29">
        <f t="shared" si="39"/>
        <v>85</v>
      </c>
    </row>
    <row r="399" spans="3:19" x14ac:dyDescent="0.25">
      <c r="C399" s="10"/>
      <c r="D399" s="14" t="s">
        <v>2102</v>
      </c>
      <c r="E399" s="4"/>
      <c r="F399" s="5">
        <v>0</v>
      </c>
      <c r="G399" s="7">
        <f t="shared" si="40"/>
        <v>0</v>
      </c>
      <c r="H399" s="6" t="str">
        <f t="shared" si="41"/>
        <v/>
      </c>
      <c r="I399" s="4"/>
      <c r="J399" s="15"/>
      <c r="K399" s="17"/>
      <c r="L399" s="17"/>
      <c r="M399" s="18"/>
      <c r="O399" s="20" t="str">
        <f t="shared" si="37"/>
        <v>TI761009</v>
      </c>
      <c r="P399" s="20" t="str">
        <f t="shared" si="36"/>
        <v>V7610_Overview  Display.xgml</v>
      </c>
      <c r="Q399" s="17"/>
      <c r="R399" s="29">
        <f t="shared" si="38"/>
        <v>136</v>
      </c>
      <c r="S399" s="29">
        <f t="shared" si="39"/>
        <v>504</v>
      </c>
    </row>
    <row r="400" spans="3:19" x14ac:dyDescent="0.25">
      <c r="C400" s="10"/>
      <c r="D400" s="14" t="s">
        <v>2103</v>
      </c>
      <c r="E400" s="4"/>
      <c r="F400" s="5">
        <v>0</v>
      </c>
      <c r="G400" s="7">
        <f t="shared" si="40"/>
        <v>0</v>
      </c>
      <c r="H400" s="6" t="str">
        <f t="shared" si="41"/>
        <v/>
      </c>
      <c r="I400" s="4"/>
      <c r="J400" s="15"/>
      <c r="K400" s="17"/>
      <c r="L400" s="17"/>
      <c r="M400" s="18"/>
      <c r="O400" s="20" t="str">
        <f t="shared" si="37"/>
        <v>TI763009</v>
      </c>
      <c r="P400" s="20" t="str">
        <f t="shared" si="36"/>
        <v>V7630_Overview  Display.xgml</v>
      </c>
      <c r="Q400" s="17"/>
      <c r="R400" s="29">
        <f t="shared" si="38"/>
        <v>136</v>
      </c>
      <c r="S400" s="29">
        <f t="shared" si="39"/>
        <v>465</v>
      </c>
    </row>
    <row r="401" spans="3:19" x14ac:dyDescent="0.25">
      <c r="C401" s="10"/>
      <c r="D401" s="14" t="s">
        <v>2104</v>
      </c>
      <c r="E401" s="4"/>
      <c r="F401" s="5">
        <v>0</v>
      </c>
      <c r="G401" s="7">
        <f t="shared" si="40"/>
        <v>0</v>
      </c>
      <c r="H401" s="6" t="str">
        <f t="shared" si="41"/>
        <v/>
      </c>
      <c r="I401" s="4"/>
      <c r="J401" s="15"/>
      <c r="K401" s="17"/>
      <c r="L401" s="17"/>
      <c r="M401" s="18"/>
      <c r="O401" s="20" t="str">
        <f t="shared" si="37"/>
        <v>TI764009</v>
      </c>
      <c r="P401" s="20" t="str">
        <f t="shared" si="36"/>
        <v>V7640_Overview Display.xgml</v>
      </c>
      <c r="Q401" s="17"/>
      <c r="R401" s="29">
        <f t="shared" si="38"/>
        <v>136</v>
      </c>
      <c r="S401" s="29">
        <f t="shared" si="39"/>
        <v>520</v>
      </c>
    </row>
    <row r="402" spans="3:19" x14ac:dyDescent="0.25">
      <c r="C402" s="10"/>
      <c r="D402" s="14" t="s">
        <v>2105</v>
      </c>
      <c r="E402" s="4"/>
      <c r="F402" s="5">
        <v>0</v>
      </c>
      <c r="G402" s="7">
        <f t="shared" si="40"/>
        <v>0</v>
      </c>
      <c r="H402" s="6" t="str">
        <f t="shared" si="41"/>
        <v/>
      </c>
      <c r="I402" s="4"/>
      <c r="J402" s="15"/>
      <c r="K402" s="17"/>
      <c r="L402" s="17"/>
      <c r="M402" s="18"/>
      <c r="O402" s="20" t="str">
        <f t="shared" si="37"/>
        <v>TI790005</v>
      </c>
      <c r="P402" s="20" t="str">
        <f t="shared" si="36"/>
        <v>R7040-2A_Overview Display.xgml</v>
      </c>
      <c r="Q402" s="17"/>
      <c r="R402" s="29">
        <f t="shared" si="38"/>
        <v>1117</v>
      </c>
      <c r="S402" s="29">
        <f t="shared" si="39"/>
        <v>718</v>
      </c>
    </row>
    <row r="403" spans="3:19" x14ac:dyDescent="0.25">
      <c r="C403" s="10"/>
      <c r="D403" s="14" t="s">
        <v>2106</v>
      </c>
      <c r="E403" s="4"/>
      <c r="F403" s="5">
        <v>0</v>
      </c>
      <c r="G403" s="7">
        <f t="shared" si="40"/>
        <v>0</v>
      </c>
      <c r="H403" s="6" t="str">
        <f t="shared" si="41"/>
        <v/>
      </c>
      <c r="I403" s="4"/>
      <c r="J403" s="15"/>
      <c r="K403" s="17"/>
      <c r="L403" s="17"/>
      <c r="M403" s="18"/>
      <c r="O403" s="20" t="str">
        <f t="shared" si="37"/>
        <v>TI791004</v>
      </c>
      <c r="P403" s="20" t="str">
        <f t="shared" si="36"/>
        <v>D7900_Overview  Display.xgml</v>
      </c>
      <c r="Q403" s="17"/>
      <c r="R403" s="29">
        <f t="shared" si="38"/>
        <v>357</v>
      </c>
      <c r="S403" s="29">
        <f t="shared" si="39"/>
        <v>105</v>
      </c>
    </row>
    <row r="404" spans="3:19" x14ac:dyDescent="0.25">
      <c r="C404" s="10"/>
      <c r="D404" s="14" t="s">
        <v>2107</v>
      </c>
      <c r="E404" s="4"/>
      <c r="F404" s="5">
        <v>0</v>
      </c>
      <c r="G404" s="7">
        <f t="shared" si="40"/>
        <v>0</v>
      </c>
      <c r="H404" s="6" t="str">
        <f t="shared" si="41"/>
        <v/>
      </c>
      <c r="I404" s="4"/>
      <c r="J404" s="15"/>
      <c r="K404" s="17"/>
      <c r="L404" s="17"/>
      <c r="M404" s="18"/>
      <c r="O404" s="20" t="str">
        <f t="shared" si="37"/>
        <v>TI791007</v>
      </c>
      <c r="P404" s="20" t="str">
        <f t="shared" si="36"/>
        <v>D7900_Overview  Display.xgml</v>
      </c>
      <c r="Q404" s="17"/>
      <c r="R404" s="29">
        <f t="shared" si="38"/>
        <v>819</v>
      </c>
      <c r="S404" s="29">
        <f t="shared" si="39"/>
        <v>105</v>
      </c>
    </row>
    <row r="405" spans="3:19" x14ac:dyDescent="0.25">
      <c r="C405" s="10"/>
      <c r="D405" s="14" t="s">
        <v>2108</v>
      </c>
      <c r="E405" s="4"/>
      <c r="F405" s="5">
        <v>0</v>
      </c>
      <c r="G405" s="7">
        <f t="shared" si="40"/>
        <v>0</v>
      </c>
      <c r="H405" s="6" t="str">
        <f t="shared" si="41"/>
        <v/>
      </c>
      <c r="I405" s="4"/>
      <c r="J405" s="15"/>
      <c r="K405" s="17"/>
      <c r="L405" s="17"/>
      <c r="M405" s="18"/>
      <c r="O405" s="20" t="str">
        <f t="shared" si="37"/>
        <v>TI793004</v>
      </c>
      <c r="P405" s="20" t="str">
        <f t="shared" si="36"/>
        <v>Not Found</v>
      </c>
      <c r="Q405" s="17"/>
      <c r="R405" s="29" t="str">
        <f t="shared" si="38"/>
        <v>Not Found</v>
      </c>
      <c r="S405" s="29" t="str">
        <f t="shared" si="39"/>
        <v>Not Found</v>
      </c>
    </row>
    <row r="406" spans="3:19" x14ac:dyDescent="0.25">
      <c r="C406" s="10"/>
      <c r="D406" s="14" t="s">
        <v>2109</v>
      </c>
      <c r="E406" s="4"/>
      <c r="F406" s="5">
        <v>0</v>
      </c>
      <c r="G406" s="7">
        <f t="shared" si="40"/>
        <v>0</v>
      </c>
      <c r="H406" s="6" t="str">
        <f t="shared" si="41"/>
        <v/>
      </c>
      <c r="I406" s="4"/>
      <c r="J406" s="15"/>
      <c r="K406" s="17"/>
      <c r="L406" s="17"/>
      <c r="M406" s="18"/>
      <c r="O406" s="20" t="str">
        <f t="shared" si="37"/>
        <v>TI799011</v>
      </c>
      <c r="P406" s="20" t="str">
        <f t="shared" si="36"/>
        <v>Not Found</v>
      </c>
      <c r="Q406" s="17"/>
      <c r="R406" s="29" t="str">
        <f t="shared" si="38"/>
        <v>Not Found</v>
      </c>
      <c r="S406" s="29" t="str">
        <f t="shared" si="39"/>
        <v>Not Found</v>
      </c>
    </row>
    <row r="407" spans="3:19" x14ac:dyDescent="0.25">
      <c r="C407" s="10"/>
      <c r="D407" s="14" t="s">
        <v>2110</v>
      </c>
      <c r="E407" s="4"/>
      <c r="F407" s="5">
        <v>0</v>
      </c>
      <c r="G407" s="7">
        <f t="shared" si="40"/>
        <v>0</v>
      </c>
      <c r="H407" s="6" t="str">
        <f t="shared" si="41"/>
        <v/>
      </c>
      <c r="I407" s="4"/>
      <c r="J407" s="15"/>
      <c r="K407" s="17"/>
      <c r="L407" s="17"/>
      <c r="M407" s="18"/>
      <c r="O407" s="20" t="str">
        <f t="shared" si="37"/>
        <v>TI799203</v>
      </c>
      <c r="P407" s="20" t="str">
        <f t="shared" si="36"/>
        <v>R7040-1_Overview Display.xgml</v>
      </c>
      <c r="Q407" s="17"/>
      <c r="R407" s="29">
        <f t="shared" si="38"/>
        <v>1008</v>
      </c>
      <c r="S407" s="29">
        <f t="shared" si="39"/>
        <v>336</v>
      </c>
    </row>
    <row r="408" spans="3:19" x14ac:dyDescent="0.25">
      <c r="C408" s="10"/>
      <c r="D408" s="14" t="s">
        <v>2111</v>
      </c>
      <c r="E408" s="4"/>
      <c r="F408" s="5">
        <v>2</v>
      </c>
      <c r="G408" s="7">
        <f t="shared" si="40"/>
        <v>-2</v>
      </c>
      <c r="H408" s="6">
        <f t="shared" si="41"/>
        <v>-1</v>
      </c>
      <c r="I408" s="4"/>
      <c r="J408" s="15"/>
      <c r="K408" s="17"/>
      <c r="L408" s="17"/>
      <c r="M408" s="18"/>
      <c r="O408" s="20" t="str">
        <f t="shared" si="37"/>
        <v>TI799640</v>
      </c>
      <c r="P408" s="20" t="str">
        <f t="shared" si="36"/>
        <v>Not Found</v>
      </c>
      <c r="Q408" s="17"/>
      <c r="R408" s="29" t="str">
        <f t="shared" si="38"/>
        <v>Not Found</v>
      </c>
      <c r="S408" s="29" t="str">
        <f t="shared" si="39"/>
        <v>Not Found</v>
      </c>
    </row>
    <row r="409" spans="3:19" x14ac:dyDescent="0.25">
      <c r="C409" s="10"/>
      <c r="D409" s="14" t="s">
        <v>2112</v>
      </c>
      <c r="E409" s="4"/>
      <c r="F409" s="5">
        <v>2</v>
      </c>
      <c r="G409" s="7">
        <f t="shared" si="40"/>
        <v>-2</v>
      </c>
      <c r="H409" s="6">
        <f t="shared" si="41"/>
        <v>-1</v>
      </c>
      <c r="I409" s="4"/>
      <c r="J409" s="15"/>
      <c r="K409" s="17"/>
      <c r="L409" s="17"/>
      <c r="M409" s="18"/>
      <c r="O409" s="20" t="str">
        <f t="shared" si="37"/>
        <v>TI799642</v>
      </c>
      <c r="P409" s="20" t="str">
        <f t="shared" si="36"/>
        <v>Not Found</v>
      </c>
      <c r="Q409" s="17"/>
      <c r="R409" s="29" t="str">
        <f t="shared" si="38"/>
        <v>Not Found</v>
      </c>
      <c r="S409" s="29" t="str">
        <f t="shared" si="39"/>
        <v>Not Found</v>
      </c>
    </row>
    <row r="410" spans="3:19" x14ac:dyDescent="0.25">
      <c r="C410" s="10"/>
      <c r="D410" s="14" t="s">
        <v>2113</v>
      </c>
      <c r="E410" s="4"/>
      <c r="F410" s="5">
        <v>2</v>
      </c>
      <c r="G410" s="7">
        <f t="shared" si="40"/>
        <v>-2</v>
      </c>
      <c r="H410" s="6">
        <f t="shared" si="41"/>
        <v>-1</v>
      </c>
      <c r="I410" s="4"/>
      <c r="J410" s="15"/>
      <c r="K410" s="17"/>
      <c r="L410" s="17"/>
      <c r="M410" s="18"/>
      <c r="O410" s="20" t="str">
        <f t="shared" si="37"/>
        <v>TI799643</v>
      </c>
      <c r="P410" s="20" t="str">
        <f t="shared" si="36"/>
        <v>Not Found</v>
      </c>
      <c r="Q410" s="17"/>
      <c r="R410" s="29" t="str">
        <f t="shared" si="38"/>
        <v>Not Found</v>
      </c>
      <c r="S410" s="29" t="str">
        <f t="shared" si="39"/>
        <v>Not Found</v>
      </c>
    </row>
    <row r="411" spans="3:19" x14ac:dyDescent="0.25">
      <c r="C411" s="10"/>
      <c r="D411" s="14" t="s">
        <v>2114</v>
      </c>
      <c r="E411" s="4"/>
      <c r="F411" s="5">
        <v>0</v>
      </c>
      <c r="G411" s="7">
        <f t="shared" si="40"/>
        <v>0</v>
      </c>
      <c r="H411" s="6" t="str">
        <f t="shared" si="41"/>
        <v/>
      </c>
      <c r="I411" s="4"/>
      <c r="J411" s="15"/>
      <c r="K411" s="17"/>
      <c r="L411" s="17"/>
      <c r="M411" s="18"/>
      <c r="O411" s="20" t="str">
        <f t="shared" si="37"/>
        <v>XI799009</v>
      </c>
      <c r="P411" s="20" t="str">
        <f t="shared" si="36"/>
        <v>Not Found</v>
      </c>
      <c r="Q411" s="17"/>
      <c r="R411" s="29" t="str">
        <f t="shared" si="38"/>
        <v>Not Found</v>
      </c>
      <c r="S411" s="29" t="str">
        <f t="shared" si="39"/>
        <v>Not Found</v>
      </c>
    </row>
    <row r="412" spans="3:19" x14ac:dyDescent="0.25">
      <c r="C412" s="10"/>
      <c r="D412" s="14" t="s">
        <v>2115</v>
      </c>
      <c r="E412" s="4"/>
      <c r="F412" s="5">
        <v>2</v>
      </c>
      <c r="G412" s="7">
        <f t="shared" si="40"/>
        <v>-2</v>
      </c>
      <c r="H412" s="6">
        <f t="shared" si="41"/>
        <v>-1</v>
      </c>
      <c r="I412" s="4"/>
      <c r="J412" s="15"/>
      <c r="K412" s="17"/>
      <c r="L412" s="17"/>
      <c r="M412" s="18"/>
      <c r="O412" s="20" t="str">
        <f t="shared" si="37"/>
        <v>AA740106A</v>
      </c>
      <c r="P412" s="20" t="str">
        <f t="shared" si="36"/>
        <v>Not Found</v>
      </c>
      <c r="Q412" s="17"/>
      <c r="R412" s="29" t="str">
        <f t="shared" si="38"/>
        <v>Not Found</v>
      </c>
      <c r="S412" s="29" t="str">
        <f t="shared" si="39"/>
        <v>Not Found</v>
      </c>
    </row>
    <row r="413" spans="3:19" x14ac:dyDescent="0.25">
      <c r="C413" s="10"/>
      <c r="D413" s="14" t="s">
        <v>2116</v>
      </c>
      <c r="E413" s="4"/>
      <c r="F413" s="5">
        <v>2</v>
      </c>
      <c r="G413" s="7">
        <f t="shared" si="40"/>
        <v>-2</v>
      </c>
      <c r="H413" s="6">
        <f t="shared" si="41"/>
        <v>-1</v>
      </c>
      <c r="I413" s="4"/>
      <c r="J413" s="15"/>
      <c r="K413" s="17"/>
      <c r="L413" s="17"/>
      <c r="M413" s="18"/>
      <c r="O413" s="20" t="str">
        <f t="shared" si="37"/>
        <v>AA740106B</v>
      </c>
      <c r="P413" s="20" t="str">
        <f t="shared" ref="P413:P470" si="42">+FindinFile($P$2,$O413,"Name")</f>
        <v>T7400_Overview_Display.xgml</v>
      </c>
      <c r="Q413" s="17"/>
      <c r="R413" s="29">
        <f t="shared" si="38"/>
        <v>1288</v>
      </c>
      <c r="S413" s="29">
        <f t="shared" si="39"/>
        <v>459</v>
      </c>
    </row>
    <row r="414" spans="3:19" x14ac:dyDescent="0.25">
      <c r="C414" s="10"/>
      <c r="D414" s="14" t="s">
        <v>2117</v>
      </c>
      <c r="E414" s="4"/>
      <c r="F414" s="5">
        <v>2</v>
      </c>
      <c r="G414" s="7">
        <f t="shared" si="40"/>
        <v>-2</v>
      </c>
      <c r="H414" s="6">
        <f t="shared" si="41"/>
        <v>-1</v>
      </c>
      <c r="I414" s="4"/>
      <c r="J414" s="15"/>
      <c r="K414" s="17"/>
      <c r="L414" s="17"/>
      <c r="M414" s="18"/>
      <c r="O414" s="20" t="str">
        <f t="shared" si="37"/>
        <v>AA740106C</v>
      </c>
      <c r="P414" s="20" t="str">
        <f t="shared" si="42"/>
        <v>Not Found</v>
      </c>
      <c r="Q414" s="17"/>
      <c r="R414" s="29" t="str">
        <f t="shared" si="38"/>
        <v>Not Found</v>
      </c>
      <c r="S414" s="29" t="str">
        <f t="shared" si="39"/>
        <v>Not Found</v>
      </c>
    </row>
    <row r="415" spans="3:19" x14ac:dyDescent="0.25">
      <c r="C415" s="10"/>
      <c r="D415" s="14" t="s">
        <v>2118</v>
      </c>
      <c r="E415" s="4"/>
      <c r="F415" s="5">
        <v>2</v>
      </c>
      <c r="G415" s="7">
        <f t="shared" si="40"/>
        <v>-2</v>
      </c>
      <c r="H415" s="6">
        <f t="shared" si="41"/>
        <v>-1</v>
      </c>
      <c r="I415" s="4"/>
      <c r="J415" s="15"/>
      <c r="K415" s="17"/>
      <c r="L415" s="17"/>
      <c r="M415" s="18"/>
      <c r="O415" s="20" t="str">
        <f t="shared" si="37"/>
        <v>AA740106D</v>
      </c>
      <c r="P415" s="20" t="str">
        <f t="shared" si="42"/>
        <v>Not Found</v>
      </c>
      <c r="Q415" s="17"/>
      <c r="R415" s="29" t="str">
        <f t="shared" si="38"/>
        <v>Not Found</v>
      </c>
      <c r="S415" s="29" t="str">
        <f t="shared" si="39"/>
        <v>Not Found</v>
      </c>
    </row>
    <row r="416" spans="3:19" x14ac:dyDescent="0.25">
      <c r="C416" s="10"/>
      <c r="D416" s="14" t="s">
        <v>2119</v>
      </c>
      <c r="E416" s="4"/>
      <c r="F416" s="5">
        <v>2</v>
      </c>
      <c r="G416" s="7">
        <f t="shared" si="40"/>
        <v>-2</v>
      </c>
      <c r="H416" s="6">
        <f t="shared" si="41"/>
        <v>-1</v>
      </c>
      <c r="I416" s="4"/>
      <c r="J416" s="15"/>
      <c r="K416" s="17"/>
      <c r="L416" s="17"/>
      <c r="M416" s="18"/>
      <c r="O416" s="20" t="str">
        <f t="shared" si="37"/>
        <v>AA750161A</v>
      </c>
      <c r="P416" s="20" t="str">
        <f t="shared" si="42"/>
        <v>T7500_Overview_Display.xgml</v>
      </c>
      <c r="Q416" s="17"/>
      <c r="R416" s="29">
        <f t="shared" si="38"/>
        <v>1144</v>
      </c>
      <c r="S416" s="29">
        <f t="shared" si="39"/>
        <v>432</v>
      </c>
    </row>
    <row r="417" spans="3:19" x14ac:dyDescent="0.25">
      <c r="C417" s="10"/>
      <c r="D417" s="14" t="s">
        <v>2120</v>
      </c>
      <c r="E417" s="4"/>
      <c r="F417" s="5">
        <v>2</v>
      </c>
      <c r="G417" s="7">
        <f t="shared" si="40"/>
        <v>-2</v>
      </c>
      <c r="H417" s="6">
        <f t="shared" si="41"/>
        <v>-1</v>
      </c>
      <c r="I417" s="4"/>
      <c r="J417" s="15"/>
      <c r="K417" s="17"/>
      <c r="L417" s="17"/>
      <c r="M417" s="18"/>
      <c r="O417" s="20" t="str">
        <f t="shared" si="37"/>
        <v>AA750161B</v>
      </c>
      <c r="P417" s="20" t="str">
        <f t="shared" si="42"/>
        <v>T7500_Overview_Display.xgml</v>
      </c>
      <c r="Q417" s="17"/>
      <c r="R417" s="29">
        <f t="shared" si="38"/>
        <v>1288</v>
      </c>
      <c r="S417" s="29">
        <f t="shared" si="39"/>
        <v>472</v>
      </c>
    </row>
    <row r="418" spans="3:19" x14ac:dyDescent="0.25">
      <c r="C418" s="10"/>
      <c r="D418" s="14" t="s">
        <v>2121</v>
      </c>
      <c r="E418" s="4"/>
      <c r="F418" s="5">
        <v>2</v>
      </c>
      <c r="G418" s="7">
        <f t="shared" si="40"/>
        <v>-2</v>
      </c>
      <c r="H418" s="6">
        <f t="shared" si="41"/>
        <v>-1</v>
      </c>
      <c r="I418" s="4"/>
      <c r="J418" s="15"/>
      <c r="K418" s="17"/>
      <c r="L418" s="17"/>
      <c r="M418" s="18"/>
      <c r="O418" s="20" t="str">
        <f t="shared" si="37"/>
        <v>AA750161C</v>
      </c>
      <c r="P418" s="20" t="str">
        <f t="shared" si="42"/>
        <v>Not Found</v>
      </c>
      <c r="Q418" s="17"/>
      <c r="R418" s="29" t="str">
        <f t="shared" si="38"/>
        <v>Not Found</v>
      </c>
      <c r="S418" s="29" t="str">
        <f t="shared" si="39"/>
        <v>Not Found</v>
      </c>
    </row>
    <row r="419" spans="3:19" x14ac:dyDescent="0.25">
      <c r="C419" s="10"/>
      <c r="D419" s="14" t="s">
        <v>2122</v>
      </c>
      <c r="E419" s="4"/>
      <c r="F419" s="5">
        <v>2</v>
      </c>
      <c r="G419" s="7">
        <f t="shared" si="40"/>
        <v>-2</v>
      </c>
      <c r="H419" s="6">
        <f t="shared" si="41"/>
        <v>-1</v>
      </c>
      <c r="I419" s="4"/>
      <c r="J419" s="15"/>
      <c r="K419" s="17"/>
      <c r="L419" s="17"/>
      <c r="M419" s="18"/>
      <c r="O419" s="20" t="str">
        <f t="shared" si="37"/>
        <v>AA750161D</v>
      </c>
      <c r="P419" s="20" t="str">
        <f t="shared" si="42"/>
        <v>Not Found</v>
      </c>
      <c r="Q419" s="17"/>
      <c r="R419" s="29" t="str">
        <f t="shared" si="38"/>
        <v>Not Found</v>
      </c>
      <c r="S419" s="29" t="str">
        <f t="shared" si="39"/>
        <v>Not Found</v>
      </c>
    </row>
    <row r="420" spans="3:19" x14ac:dyDescent="0.25">
      <c r="C420" s="10"/>
      <c r="D420" s="14" t="s">
        <v>2123</v>
      </c>
      <c r="E420" s="4"/>
      <c r="F420" s="5">
        <v>2</v>
      </c>
      <c r="G420" s="7">
        <f t="shared" si="40"/>
        <v>-2</v>
      </c>
      <c r="H420" s="6">
        <f t="shared" si="41"/>
        <v>-1</v>
      </c>
      <c r="I420" s="4"/>
      <c r="J420" s="15"/>
      <c r="K420" s="17"/>
      <c r="L420" s="17"/>
      <c r="M420" s="18"/>
      <c r="O420" s="20" t="str">
        <f t="shared" si="37"/>
        <v>AA760161A</v>
      </c>
      <c r="P420" s="20" t="str">
        <f t="shared" si="42"/>
        <v>Not Found</v>
      </c>
      <c r="Q420" s="17"/>
      <c r="R420" s="29" t="str">
        <f t="shared" si="38"/>
        <v>Not Found</v>
      </c>
      <c r="S420" s="29" t="str">
        <f t="shared" si="39"/>
        <v>Not Found</v>
      </c>
    </row>
    <row r="421" spans="3:19" x14ac:dyDescent="0.25">
      <c r="C421" s="10"/>
      <c r="D421" s="14" t="s">
        <v>2124</v>
      </c>
      <c r="E421" s="4"/>
      <c r="F421" s="5">
        <v>2</v>
      </c>
      <c r="G421" s="7">
        <f t="shared" si="40"/>
        <v>-2</v>
      </c>
      <c r="H421" s="6">
        <f t="shared" si="41"/>
        <v>-1</v>
      </c>
      <c r="I421" s="4"/>
      <c r="J421" s="15"/>
      <c r="K421" s="17"/>
      <c r="L421" s="17"/>
      <c r="M421" s="18"/>
      <c r="O421" s="20" t="str">
        <f t="shared" si="37"/>
        <v>AA760161B</v>
      </c>
      <c r="P421" s="20" t="str">
        <f t="shared" si="42"/>
        <v>T7600_Overview_Display.xgml</v>
      </c>
      <c r="Q421" s="17"/>
      <c r="R421" s="29">
        <f t="shared" si="38"/>
        <v>1344</v>
      </c>
      <c r="S421" s="29">
        <f t="shared" si="39"/>
        <v>464</v>
      </c>
    </row>
    <row r="422" spans="3:19" x14ac:dyDescent="0.25">
      <c r="C422" s="10"/>
      <c r="D422" s="14" t="s">
        <v>2125</v>
      </c>
      <c r="E422" s="4"/>
      <c r="F422" s="5">
        <v>2</v>
      </c>
      <c r="G422" s="7">
        <f t="shared" si="40"/>
        <v>-2</v>
      </c>
      <c r="H422" s="6">
        <f t="shared" si="41"/>
        <v>-1</v>
      </c>
      <c r="I422" s="4"/>
      <c r="J422" s="15"/>
      <c r="K422" s="17"/>
      <c r="L422" s="17"/>
      <c r="M422" s="18"/>
      <c r="O422" s="20" t="str">
        <f t="shared" si="37"/>
        <v>EA799604</v>
      </c>
      <c r="P422" s="20" t="str">
        <f t="shared" si="42"/>
        <v>Not Found</v>
      </c>
      <c r="Q422" s="17"/>
      <c r="R422" s="29" t="str">
        <f t="shared" si="38"/>
        <v>Not Found</v>
      </c>
      <c r="S422" s="29" t="str">
        <f t="shared" si="39"/>
        <v>Not Found</v>
      </c>
    </row>
    <row r="423" spans="3:19" x14ac:dyDescent="0.25">
      <c r="C423" s="10"/>
      <c r="D423" s="14" t="s">
        <v>2126</v>
      </c>
      <c r="E423" s="4"/>
      <c r="F423" s="5">
        <v>2</v>
      </c>
      <c r="G423" s="7">
        <f t="shared" si="40"/>
        <v>-2</v>
      </c>
      <c r="H423" s="6">
        <f t="shared" si="41"/>
        <v>-1</v>
      </c>
      <c r="I423" s="4"/>
      <c r="J423" s="15"/>
      <c r="K423" s="17"/>
      <c r="L423" s="17"/>
      <c r="M423" s="18"/>
      <c r="O423" s="20" t="str">
        <f t="shared" si="37"/>
        <v>EA799611</v>
      </c>
      <c r="P423" s="20" t="str">
        <f t="shared" si="42"/>
        <v>Not Found</v>
      </c>
      <c r="Q423" s="17"/>
      <c r="R423" s="29" t="str">
        <f t="shared" si="38"/>
        <v>Not Found</v>
      </c>
      <c r="S423" s="29" t="str">
        <f t="shared" si="39"/>
        <v>Not Found</v>
      </c>
    </row>
    <row r="424" spans="3:19" x14ac:dyDescent="0.25">
      <c r="C424" s="10"/>
      <c r="D424" s="14" t="s">
        <v>2127</v>
      </c>
      <c r="E424" s="4"/>
      <c r="F424" s="5">
        <v>2</v>
      </c>
      <c r="G424" s="7">
        <f t="shared" si="40"/>
        <v>-2</v>
      </c>
      <c r="H424" s="6">
        <f t="shared" si="41"/>
        <v>-1</v>
      </c>
      <c r="I424" s="4"/>
      <c r="J424" s="15"/>
      <c r="K424" s="17"/>
      <c r="L424" s="17"/>
      <c r="M424" s="18"/>
      <c r="O424" s="20" t="str">
        <f t="shared" si="37"/>
        <v>FAL790007</v>
      </c>
      <c r="P424" s="20" t="str">
        <f t="shared" si="42"/>
        <v>Not Found</v>
      </c>
      <c r="Q424" s="17"/>
      <c r="R424" s="29" t="str">
        <f t="shared" si="38"/>
        <v>Not Found</v>
      </c>
      <c r="S424" s="29" t="str">
        <f t="shared" si="39"/>
        <v>Not Found</v>
      </c>
    </row>
    <row r="425" spans="3:19" x14ac:dyDescent="0.25">
      <c r="C425" s="10"/>
      <c r="D425" s="14" t="s">
        <v>2128</v>
      </c>
      <c r="E425" s="4"/>
      <c r="F425" s="5">
        <v>2</v>
      </c>
      <c r="G425" s="7">
        <f t="shared" si="40"/>
        <v>-2</v>
      </c>
      <c r="H425" s="6">
        <f t="shared" si="41"/>
        <v>-1</v>
      </c>
      <c r="I425" s="4"/>
      <c r="J425" s="15"/>
      <c r="K425" s="17"/>
      <c r="L425" s="17"/>
      <c r="M425" s="18"/>
      <c r="O425" s="20" t="str">
        <f t="shared" si="37"/>
        <v>HS799645A</v>
      </c>
      <c r="P425" s="20" t="str">
        <f t="shared" si="42"/>
        <v>Not Found</v>
      </c>
      <c r="Q425" s="17"/>
      <c r="R425" s="29" t="str">
        <f t="shared" si="38"/>
        <v>Not Found</v>
      </c>
      <c r="S425" s="29" t="str">
        <f t="shared" si="39"/>
        <v>Not Found</v>
      </c>
    </row>
    <row r="426" spans="3:19" x14ac:dyDescent="0.25">
      <c r="C426" s="10"/>
      <c r="D426" s="14" t="s">
        <v>2129</v>
      </c>
      <c r="E426" s="4"/>
      <c r="F426" s="5">
        <v>2</v>
      </c>
      <c r="G426" s="7">
        <f t="shared" si="40"/>
        <v>-2</v>
      </c>
      <c r="H426" s="6">
        <f t="shared" si="41"/>
        <v>-1</v>
      </c>
      <c r="I426" s="4"/>
      <c r="J426" s="15"/>
      <c r="K426" s="17"/>
      <c r="L426" s="17"/>
      <c r="M426" s="18"/>
      <c r="O426" s="20" t="str">
        <f t="shared" si="37"/>
        <v>HS799645A</v>
      </c>
      <c r="P426" s="20" t="str">
        <f t="shared" si="42"/>
        <v>Not Found</v>
      </c>
      <c r="Q426" s="17"/>
      <c r="R426" s="29" t="str">
        <f t="shared" si="38"/>
        <v>Not Found</v>
      </c>
      <c r="S426" s="29" t="str">
        <f t="shared" si="39"/>
        <v>Not Found</v>
      </c>
    </row>
    <row r="427" spans="3:19" x14ac:dyDescent="0.25">
      <c r="C427" s="10"/>
      <c r="D427" s="14" t="s">
        <v>2130</v>
      </c>
      <c r="E427" s="4"/>
      <c r="F427" s="5">
        <v>2</v>
      </c>
      <c r="G427" s="7">
        <f t="shared" si="40"/>
        <v>-2</v>
      </c>
      <c r="H427" s="6">
        <f t="shared" si="41"/>
        <v>-1</v>
      </c>
      <c r="I427" s="4"/>
      <c r="J427" s="15"/>
      <c r="K427" s="17"/>
      <c r="L427" s="17"/>
      <c r="M427" s="18"/>
      <c r="O427" s="20" t="str">
        <f t="shared" si="37"/>
        <v>HS799645A</v>
      </c>
      <c r="P427" s="20" t="str">
        <f t="shared" si="42"/>
        <v>Not Found</v>
      </c>
      <c r="Q427" s="17"/>
      <c r="R427" s="29" t="str">
        <f t="shared" si="38"/>
        <v>Not Found</v>
      </c>
      <c r="S427" s="29" t="str">
        <f t="shared" si="39"/>
        <v>Not Found</v>
      </c>
    </row>
    <row r="428" spans="3:19" x14ac:dyDescent="0.25">
      <c r="C428" s="10"/>
      <c r="D428" s="14" t="s">
        <v>2131</v>
      </c>
      <c r="E428" s="4"/>
      <c r="F428" s="5">
        <v>2</v>
      </c>
      <c r="G428" s="7">
        <f t="shared" si="40"/>
        <v>-2</v>
      </c>
      <c r="H428" s="6">
        <f t="shared" si="41"/>
        <v>-1</v>
      </c>
      <c r="I428" s="4"/>
      <c r="J428" s="15"/>
      <c r="K428" s="17"/>
      <c r="L428" s="17"/>
      <c r="M428" s="18"/>
      <c r="O428" s="20" t="str">
        <f t="shared" si="37"/>
        <v>HS799645B</v>
      </c>
      <c r="P428" s="20" t="str">
        <f t="shared" si="42"/>
        <v>Not Found</v>
      </c>
      <c r="Q428" s="17"/>
      <c r="R428" s="29" t="str">
        <f t="shared" si="38"/>
        <v>Not Found</v>
      </c>
      <c r="S428" s="29" t="str">
        <f t="shared" si="39"/>
        <v>Not Found</v>
      </c>
    </row>
    <row r="429" spans="3:19" x14ac:dyDescent="0.25">
      <c r="C429" s="10"/>
      <c r="D429" s="14" t="s">
        <v>2132</v>
      </c>
      <c r="E429" s="4"/>
      <c r="F429" s="5">
        <v>2</v>
      </c>
      <c r="G429" s="7">
        <f t="shared" si="40"/>
        <v>-2</v>
      </c>
      <c r="H429" s="6">
        <f t="shared" si="41"/>
        <v>-1</v>
      </c>
      <c r="I429" s="4"/>
      <c r="J429" s="15"/>
      <c r="K429" s="17"/>
      <c r="L429" s="17"/>
      <c r="M429" s="18"/>
      <c r="O429" s="20" t="str">
        <f t="shared" si="37"/>
        <v>HS799646</v>
      </c>
      <c r="P429" s="20" t="str">
        <f t="shared" si="42"/>
        <v>Not Found</v>
      </c>
      <c r="Q429" s="17"/>
      <c r="R429" s="29" t="str">
        <f t="shared" si="38"/>
        <v>Not Found</v>
      </c>
      <c r="S429" s="29" t="str">
        <f t="shared" si="39"/>
        <v>Not Found</v>
      </c>
    </row>
    <row r="430" spans="3:19" x14ac:dyDescent="0.25">
      <c r="C430" s="10"/>
      <c r="D430" s="14" t="s">
        <v>2133</v>
      </c>
      <c r="E430" s="4"/>
      <c r="F430" s="5">
        <v>0</v>
      </c>
      <c r="G430" s="7">
        <f t="shared" si="40"/>
        <v>0</v>
      </c>
      <c r="H430" s="6" t="str">
        <f t="shared" si="41"/>
        <v/>
      </c>
      <c r="I430" s="4"/>
      <c r="J430" s="15"/>
      <c r="K430" s="17"/>
      <c r="L430" s="17"/>
      <c r="M430" s="18"/>
      <c r="O430" s="20" t="str">
        <f t="shared" si="37"/>
        <v>XA799013</v>
      </c>
      <c r="P430" s="20" t="str">
        <f t="shared" si="42"/>
        <v>Not Found</v>
      </c>
      <c r="Q430" s="17"/>
      <c r="R430" s="29" t="str">
        <f t="shared" si="38"/>
        <v>Not Found</v>
      </c>
      <c r="S430" s="29" t="str">
        <f t="shared" si="39"/>
        <v>Not Found</v>
      </c>
    </row>
    <row r="431" spans="3:19" x14ac:dyDescent="0.25">
      <c r="C431" s="10"/>
      <c r="D431" s="14" t="s">
        <v>2134</v>
      </c>
      <c r="E431" s="4"/>
      <c r="F431" s="5">
        <v>2</v>
      </c>
      <c r="G431" s="7">
        <f t="shared" si="40"/>
        <v>-2</v>
      </c>
      <c r="H431" s="6">
        <f t="shared" si="41"/>
        <v>-1</v>
      </c>
      <c r="I431" s="4"/>
      <c r="J431" s="15"/>
      <c r="K431" s="17"/>
      <c r="L431" s="17"/>
      <c r="M431" s="18"/>
      <c r="O431" s="20" t="str">
        <f t="shared" si="37"/>
        <v>XA799602</v>
      </c>
      <c r="P431" s="20" t="str">
        <f t="shared" si="42"/>
        <v>Not Found</v>
      </c>
      <c r="Q431" s="17"/>
      <c r="R431" s="29" t="str">
        <f t="shared" si="38"/>
        <v>Not Found</v>
      </c>
      <c r="S431" s="29" t="str">
        <f t="shared" si="39"/>
        <v>Not Found</v>
      </c>
    </row>
    <row r="432" spans="3:19" x14ac:dyDescent="0.25">
      <c r="C432" s="10"/>
      <c r="D432" s="14" t="s">
        <v>2135</v>
      </c>
      <c r="E432" s="4"/>
      <c r="F432" s="5">
        <v>2</v>
      </c>
      <c r="G432" s="7">
        <f t="shared" si="40"/>
        <v>-2</v>
      </c>
      <c r="H432" s="6">
        <f t="shared" si="41"/>
        <v>-1</v>
      </c>
      <c r="I432" s="4"/>
      <c r="J432" s="15"/>
      <c r="K432" s="17"/>
      <c r="L432" s="17"/>
      <c r="M432" s="18"/>
      <c r="O432" s="20" t="str">
        <f t="shared" si="37"/>
        <v>XA799605</v>
      </c>
      <c r="P432" s="20" t="str">
        <f t="shared" si="42"/>
        <v>Not Found</v>
      </c>
      <c r="Q432" s="17"/>
      <c r="R432" s="29" t="str">
        <f t="shared" si="38"/>
        <v>Not Found</v>
      </c>
      <c r="S432" s="29" t="str">
        <f t="shared" si="39"/>
        <v>Not Found</v>
      </c>
    </row>
    <row r="433" spans="3:19" x14ac:dyDescent="0.25">
      <c r="C433" s="10"/>
      <c r="D433" s="14" t="s">
        <v>2136</v>
      </c>
      <c r="E433" s="4"/>
      <c r="F433" s="5">
        <v>2</v>
      </c>
      <c r="G433" s="7">
        <f t="shared" si="40"/>
        <v>-2</v>
      </c>
      <c r="H433" s="6">
        <f t="shared" si="41"/>
        <v>-1</v>
      </c>
      <c r="I433" s="4"/>
      <c r="J433" s="15"/>
      <c r="K433" s="17"/>
      <c r="L433" s="17"/>
      <c r="M433" s="18"/>
      <c r="O433" s="20" t="str">
        <f t="shared" si="37"/>
        <v>XA799609</v>
      </c>
      <c r="P433" s="20" t="str">
        <f t="shared" si="42"/>
        <v>Not Found</v>
      </c>
      <c r="Q433" s="17"/>
      <c r="R433" s="29" t="str">
        <f t="shared" si="38"/>
        <v>Not Found</v>
      </c>
      <c r="S433" s="29" t="str">
        <f t="shared" si="39"/>
        <v>Not Found</v>
      </c>
    </row>
    <row r="434" spans="3:19" x14ac:dyDescent="0.25">
      <c r="C434" s="10"/>
      <c r="D434" s="14" t="s">
        <v>2137</v>
      </c>
      <c r="E434" s="4"/>
      <c r="F434" s="5">
        <v>2</v>
      </c>
      <c r="G434" s="7">
        <f t="shared" si="40"/>
        <v>-2</v>
      </c>
      <c r="H434" s="6">
        <f t="shared" si="41"/>
        <v>-1</v>
      </c>
      <c r="I434" s="4"/>
      <c r="J434" s="15"/>
      <c r="K434" s="17"/>
      <c r="L434" s="17"/>
      <c r="M434" s="18"/>
      <c r="O434" s="20" t="str">
        <f t="shared" si="37"/>
        <v>XA799612</v>
      </c>
      <c r="P434" s="20" t="str">
        <f t="shared" si="42"/>
        <v>Not Found</v>
      </c>
      <c r="Q434" s="17"/>
      <c r="R434" s="29" t="str">
        <f t="shared" si="38"/>
        <v>Not Found</v>
      </c>
      <c r="S434" s="29" t="str">
        <f t="shared" si="39"/>
        <v>Not Found</v>
      </c>
    </row>
    <row r="435" spans="3:19" x14ac:dyDescent="0.25">
      <c r="C435" s="10"/>
      <c r="D435" s="14" t="s">
        <v>2138</v>
      </c>
      <c r="E435" s="4"/>
      <c r="F435" s="5">
        <v>2</v>
      </c>
      <c r="G435" s="7">
        <f t="shared" si="40"/>
        <v>-2</v>
      </c>
      <c r="H435" s="6">
        <f t="shared" si="41"/>
        <v>-1</v>
      </c>
      <c r="I435" s="4"/>
      <c r="J435" s="15"/>
      <c r="K435" s="17"/>
      <c r="L435" s="17"/>
      <c r="M435" s="18"/>
      <c r="O435" s="20" t="str">
        <f t="shared" si="37"/>
        <v>XA799618</v>
      </c>
      <c r="P435" s="20" t="str">
        <f t="shared" si="42"/>
        <v>Not Found</v>
      </c>
      <c r="Q435" s="17"/>
      <c r="R435" s="29" t="str">
        <f t="shared" si="38"/>
        <v>Not Found</v>
      </c>
      <c r="S435" s="29" t="str">
        <f t="shared" si="39"/>
        <v>Not Found</v>
      </c>
    </row>
    <row r="436" spans="3:19" x14ac:dyDescent="0.25">
      <c r="C436" s="10"/>
      <c r="D436" s="14" t="s">
        <v>2139</v>
      </c>
      <c r="E436" s="4"/>
      <c r="F436" s="5">
        <v>2</v>
      </c>
      <c r="G436" s="7">
        <f t="shared" si="40"/>
        <v>-2</v>
      </c>
      <c r="H436" s="6">
        <f t="shared" si="41"/>
        <v>-1</v>
      </c>
      <c r="I436" s="4"/>
      <c r="J436" s="15"/>
      <c r="K436" s="17"/>
      <c r="L436" s="17"/>
      <c r="M436" s="18"/>
      <c r="O436" s="20" t="str">
        <f t="shared" si="37"/>
        <v>XA799619</v>
      </c>
      <c r="P436" s="20" t="str">
        <f t="shared" si="42"/>
        <v>Not Found</v>
      </c>
      <c r="Q436" s="17"/>
      <c r="R436" s="29" t="str">
        <f t="shared" si="38"/>
        <v>Not Found</v>
      </c>
      <c r="S436" s="29" t="str">
        <f t="shared" si="39"/>
        <v>Not Found</v>
      </c>
    </row>
    <row r="437" spans="3:19" x14ac:dyDescent="0.25">
      <c r="C437" s="10"/>
      <c r="D437" s="14" t="s">
        <v>2140</v>
      </c>
      <c r="E437" s="4"/>
      <c r="F437" s="5">
        <v>2</v>
      </c>
      <c r="G437" s="7">
        <f t="shared" si="40"/>
        <v>-2</v>
      </c>
      <c r="H437" s="6">
        <f t="shared" si="41"/>
        <v>-1</v>
      </c>
      <c r="I437" s="4"/>
      <c r="J437" s="15"/>
      <c r="K437" s="17"/>
      <c r="L437" s="17"/>
      <c r="M437" s="18"/>
      <c r="O437" s="20" t="str">
        <f t="shared" si="37"/>
        <v>XA799620</v>
      </c>
      <c r="P437" s="20" t="str">
        <f t="shared" si="42"/>
        <v>Not Found</v>
      </c>
      <c r="Q437" s="17"/>
      <c r="R437" s="29" t="str">
        <f t="shared" si="38"/>
        <v>Not Found</v>
      </c>
      <c r="S437" s="29" t="str">
        <f t="shared" si="39"/>
        <v>Not Found</v>
      </c>
    </row>
    <row r="438" spans="3:19" x14ac:dyDescent="0.25">
      <c r="C438" s="10"/>
      <c r="D438" s="14" t="s">
        <v>2141</v>
      </c>
      <c r="E438" s="4"/>
      <c r="F438" s="5">
        <v>2</v>
      </c>
      <c r="G438" s="7">
        <f t="shared" si="40"/>
        <v>-2</v>
      </c>
      <c r="H438" s="6">
        <f t="shared" si="41"/>
        <v>-1</v>
      </c>
      <c r="I438" s="4"/>
      <c r="J438" s="15"/>
      <c r="K438" s="17"/>
      <c r="L438" s="17"/>
      <c r="M438" s="18"/>
      <c r="O438" s="20" t="str">
        <f t="shared" si="37"/>
        <v>XA799621</v>
      </c>
      <c r="P438" s="20" t="str">
        <f t="shared" si="42"/>
        <v>Not Found</v>
      </c>
      <c r="Q438" s="17"/>
      <c r="R438" s="29" t="str">
        <f t="shared" si="38"/>
        <v>Not Found</v>
      </c>
      <c r="S438" s="29" t="str">
        <f t="shared" si="39"/>
        <v>Not Found</v>
      </c>
    </row>
    <row r="439" spans="3:19" x14ac:dyDescent="0.25">
      <c r="C439" s="10"/>
      <c r="D439" s="14" t="s">
        <v>2142</v>
      </c>
      <c r="E439" s="4"/>
      <c r="F439" s="5">
        <v>2</v>
      </c>
      <c r="G439" s="7">
        <f t="shared" si="40"/>
        <v>-2</v>
      </c>
      <c r="H439" s="6">
        <f t="shared" si="41"/>
        <v>-1</v>
      </c>
      <c r="I439" s="4"/>
      <c r="J439" s="15"/>
      <c r="K439" s="17"/>
      <c r="L439" s="17"/>
      <c r="M439" s="18"/>
      <c r="O439" s="20" t="str">
        <f t="shared" si="37"/>
        <v>XA799630</v>
      </c>
      <c r="P439" s="20" t="str">
        <f t="shared" si="42"/>
        <v>Not Found</v>
      </c>
      <c r="Q439" s="17"/>
      <c r="R439" s="29" t="str">
        <f t="shared" si="38"/>
        <v>Not Found</v>
      </c>
      <c r="S439" s="29" t="str">
        <f t="shared" si="39"/>
        <v>Not Found</v>
      </c>
    </row>
    <row r="440" spans="3:19" x14ac:dyDescent="0.25">
      <c r="C440" s="10"/>
      <c r="D440" s="14" t="s">
        <v>2143</v>
      </c>
      <c r="E440" s="4"/>
      <c r="F440" s="5">
        <v>2</v>
      </c>
      <c r="G440" s="7">
        <f t="shared" si="40"/>
        <v>-2</v>
      </c>
      <c r="H440" s="6">
        <f t="shared" si="41"/>
        <v>-1</v>
      </c>
      <c r="I440" s="4"/>
      <c r="J440" s="15"/>
      <c r="K440" s="17"/>
      <c r="L440" s="17"/>
      <c r="M440" s="18"/>
      <c r="O440" s="20" t="str">
        <f t="shared" si="37"/>
        <v>XA799631</v>
      </c>
      <c r="P440" s="20" t="str">
        <f t="shared" si="42"/>
        <v>Not Found</v>
      </c>
      <c r="Q440" s="17"/>
      <c r="R440" s="29" t="str">
        <f t="shared" si="38"/>
        <v>Not Found</v>
      </c>
      <c r="S440" s="29" t="str">
        <f t="shared" si="39"/>
        <v>Not Found</v>
      </c>
    </row>
    <row r="441" spans="3:19" x14ac:dyDescent="0.25">
      <c r="C441" s="10"/>
      <c r="D441" s="14" t="s">
        <v>2144</v>
      </c>
      <c r="E441" s="4"/>
      <c r="F441" s="5">
        <v>2</v>
      </c>
      <c r="G441" s="7">
        <f t="shared" si="40"/>
        <v>-2</v>
      </c>
      <c r="H441" s="6">
        <f t="shared" si="41"/>
        <v>-1</v>
      </c>
      <c r="I441" s="4"/>
      <c r="J441" s="15"/>
      <c r="K441" s="17"/>
      <c r="L441" s="17"/>
      <c r="M441" s="18"/>
      <c r="O441" s="20" t="str">
        <f t="shared" si="37"/>
        <v>XA799632</v>
      </c>
      <c r="P441" s="20" t="str">
        <f t="shared" si="42"/>
        <v>Not Found</v>
      </c>
      <c r="Q441" s="17"/>
      <c r="R441" s="29" t="str">
        <f t="shared" si="38"/>
        <v>Not Found</v>
      </c>
      <c r="S441" s="29" t="str">
        <f t="shared" si="39"/>
        <v>Not Found</v>
      </c>
    </row>
    <row r="442" spans="3:19" x14ac:dyDescent="0.25">
      <c r="C442" s="10"/>
      <c r="D442" s="14" t="s">
        <v>2145</v>
      </c>
      <c r="E442" s="4"/>
      <c r="F442" s="5">
        <v>2</v>
      </c>
      <c r="G442" s="7">
        <f t="shared" si="40"/>
        <v>-2</v>
      </c>
      <c r="H442" s="6">
        <f t="shared" si="41"/>
        <v>-1</v>
      </c>
      <c r="I442" s="4"/>
      <c r="J442" s="15"/>
      <c r="K442" s="17"/>
      <c r="L442" s="17"/>
      <c r="M442" s="18"/>
      <c r="O442" s="20" t="str">
        <f t="shared" si="37"/>
        <v>XA799633</v>
      </c>
      <c r="P442" s="20" t="str">
        <f t="shared" si="42"/>
        <v>Not Found</v>
      </c>
      <c r="Q442" s="17"/>
      <c r="R442" s="29" t="str">
        <f t="shared" si="38"/>
        <v>Not Found</v>
      </c>
      <c r="S442" s="29" t="str">
        <f t="shared" si="39"/>
        <v>Not Found</v>
      </c>
    </row>
    <row r="443" spans="3:19" x14ac:dyDescent="0.25">
      <c r="C443" s="10"/>
      <c r="D443" s="14" t="s">
        <v>2146</v>
      </c>
      <c r="E443" s="4"/>
      <c r="F443" s="5">
        <v>2</v>
      </c>
      <c r="G443" s="7">
        <f t="shared" si="40"/>
        <v>-2</v>
      </c>
      <c r="H443" s="6">
        <f t="shared" si="41"/>
        <v>-1</v>
      </c>
      <c r="I443" s="4"/>
      <c r="J443" s="15"/>
      <c r="K443" s="17"/>
      <c r="L443" s="17"/>
      <c r="M443" s="18"/>
      <c r="O443" s="20" t="str">
        <f t="shared" si="37"/>
        <v>XA799634</v>
      </c>
      <c r="P443" s="20" t="str">
        <f t="shared" si="42"/>
        <v>Not Found</v>
      </c>
      <c r="Q443" s="17"/>
      <c r="R443" s="29" t="str">
        <f t="shared" si="38"/>
        <v>Not Found</v>
      </c>
      <c r="S443" s="29" t="str">
        <f t="shared" si="39"/>
        <v>Not Found</v>
      </c>
    </row>
    <row r="444" spans="3:19" x14ac:dyDescent="0.25">
      <c r="C444" s="10"/>
      <c r="D444" s="14" t="s">
        <v>2147</v>
      </c>
      <c r="E444" s="4"/>
      <c r="F444" s="5">
        <v>2</v>
      </c>
      <c r="G444" s="7">
        <f t="shared" si="40"/>
        <v>-2</v>
      </c>
      <c r="H444" s="6">
        <f t="shared" si="41"/>
        <v>-1</v>
      </c>
      <c r="I444" s="4"/>
      <c r="J444" s="15"/>
      <c r="K444" s="17"/>
      <c r="L444" s="17"/>
      <c r="M444" s="18"/>
      <c r="O444" s="20" t="str">
        <f t="shared" si="37"/>
        <v>XA799635</v>
      </c>
      <c r="P444" s="20" t="str">
        <f t="shared" si="42"/>
        <v>Not Found</v>
      </c>
      <c r="Q444" s="17"/>
      <c r="R444" s="29" t="str">
        <f t="shared" si="38"/>
        <v>Not Found</v>
      </c>
      <c r="S444" s="29" t="str">
        <f t="shared" si="39"/>
        <v>Not Found</v>
      </c>
    </row>
    <row r="445" spans="3:19" x14ac:dyDescent="0.25">
      <c r="C445" s="10"/>
      <c r="D445" s="14" t="s">
        <v>2148</v>
      </c>
      <c r="E445" s="4"/>
      <c r="F445" s="5">
        <v>2</v>
      </c>
      <c r="G445" s="7">
        <f t="shared" si="40"/>
        <v>-2</v>
      </c>
      <c r="H445" s="6">
        <f t="shared" si="41"/>
        <v>-1</v>
      </c>
      <c r="I445" s="4"/>
      <c r="J445" s="15"/>
      <c r="K445" s="17"/>
      <c r="L445" s="17"/>
      <c r="M445" s="18"/>
      <c r="O445" s="20" t="str">
        <f t="shared" si="37"/>
        <v>XA799637</v>
      </c>
      <c r="P445" s="20" t="str">
        <f t="shared" si="42"/>
        <v>Not Found</v>
      </c>
      <c r="Q445" s="17"/>
      <c r="R445" s="29" t="str">
        <f t="shared" si="38"/>
        <v>Not Found</v>
      </c>
      <c r="S445" s="29" t="str">
        <f t="shared" si="39"/>
        <v>Not Found</v>
      </c>
    </row>
    <row r="446" spans="3:19" x14ac:dyDescent="0.25">
      <c r="C446" s="10"/>
      <c r="D446" s="14" t="s">
        <v>2149</v>
      </c>
      <c r="E446" s="4"/>
      <c r="F446" s="5">
        <v>2</v>
      </c>
      <c r="G446" s="7">
        <f t="shared" si="40"/>
        <v>-2</v>
      </c>
      <c r="H446" s="6">
        <f t="shared" si="41"/>
        <v>-1</v>
      </c>
      <c r="I446" s="4"/>
      <c r="J446" s="15"/>
      <c r="K446" s="17"/>
      <c r="L446" s="17"/>
      <c r="M446" s="18"/>
      <c r="O446" s="20" t="str">
        <f t="shared" si="37"/>
        <v>XA799643</v>
      </c>
      <c r="P446" s="20" t="str">
        <f t="shared" si="42"/>
        <v>Not Found</v>
      </c>
      <c r="Q446" s="17"/>
      <c r="R446" s="29" t="str">
        <f t="shared" si="38"/>
        <v>Not Found</v>
      </c>
      <c r="S446" s="29" t="str">
        <f t="shared" si="39"/>
        <v>Not Found</v>
      </c>
    </row>
    <row r="447" spans="3:19" x14ac:dyDescent="0.25">
      <c r="C447" s="10"/>
      <c r="D447" s="14" t="s">
        <v>2150</v>
      </c>
      <c r="E447" s="4"/>
      <c r="F447" s="5">
        <v>2</v>
      </c>
      <c r="G447" s="7">
        <f t="shared" si="40"/>
        <v>-2</v>
      </c>
      <c r="H447" s="6">
        <f t="shared" si="41"/>
        <v>-1</v>
      </c>
      <c r="I447" s="4"/>
      <c r="J447" s="15"/>
      <c r="K447" s="17"/>
      <c r="L447" s="17"/>
      <c r="M447" s="18"/>
      <c r="O447" s="20" t="str">
        <f t="shared" si="37"/>
        <v>XA799652</v>
      </c>
      <c r="P447" s="20" t="str">
        <f t="shared" si="42"/>
        <v>Not Found</v>
      </c>
      <c r="Q447" s="17"/>
      <c r="R447" s="29" t="str">
        <f t="shared" si="38"/>
        <v>Not Found</v>
      </c>
      <c r="S447" s="29" t="str">
        <f t="shared" si="39"/>
        <v>Not Found</v>
      </c>
    </row>
    <row r="448" spans="3:19" x14ac:dyDescent="0.25">
      <c r="C448" s="10"/>
      <c r="D448" s="14" t="s">
        <v>2151</v>
      </c>
      <c r="E448" s="4"/>
      <c r="F448" s="5">
        <v>2</v>
      </c>
      <c r="G448" s="7">
        <f t="shared" si="40"/>
        <v>-2</v>
      </c>
      <c r="H448" s="6">
        <f t="shared" si="41"/>
        <v>-1</v>
      </c>
      <c r="I448" s="4"/>
      <c r="J448" s="15"/>
      <c r="K448" s="17"/>
      <c r="L448" s="17"/>
      <c r="M448" s="18"/>
      <c r="O448" s="20" t="str">
        <f t="shared" si="37"/>
        <v>XA799653</v>
      </c>
      <c r="P448" s="20" t="str">
        <f t="shared" si="42"/>
        <v>Not Found</v>
      </c>
      <c r="Q448" s="17"/>
      <c r="R448" s="29" t="str">
        <f t="shared" si="38"/>
        <v>Not Found</v>
      </c>
      <c r="S448" s="29" t="str">
        <f t="shared" si="39"/>
        <v>Not Found</v>
      </c>
    </row>
    <row r="449" spans="3:19" x14ac:dyDescent="0.25">
      <c r="C449" s="10"/>
      <c r="D449" s="14" t="s">
        <v>2152</v>
      </c>
      <c r="E449" s="4"/>
      <c r="F449" s="5">
        <v>2</v>
      </c>
      <c r="G449" s="7">
        <f t="shared" si="40"/>
        <v>-2</v>
      </c>
      <c r="H449" s="6">
        <f t="shared" si="41"/>
        <v>-1</v>
      </c>
      <c r="I449" s="4"/>
      <c r="J449" s="15"/>
      <c r="K449" s="17"/>
      <c r="L449" s="17"/>
      <c r="M449" s="18"/>
      <c r="O449" s="20" t="str">
        <f t="shared" si="37"/>
        <v>XA799654</v>
      </c>
      <c r="P449" s="20" t="str">
        <f t="shared" si="42"/>
        <v>Not Found</v>
      </c>
      <c r="Q449" s="17"/>
      <c r="R449" s="29" t="str">
        <f t="shared" si="38"/>
        <v>Not Found</v>
      </c>
      <c r="S449" s="29" t="str">
        <f t="shared" si="39"/>
        <v>Not Found</v>
      </c>
    </row>
    <row r="450" spans="3:19" x14ac:dyDescent="0.25">
      <c r="C450" s="10"/>
      <c r="D450" s="14" t="s">
        <v>2153</v>
      </c>
      <c r="E450" s="4"/>
      <c r="F450" s="5">
        <v>2</v>
      </c>
      <c r="G450" s="7">
        <f t="shared" si="40"/>
        <v>-2</v>
      </c>
      <c r="H450" s="6">
        <f t="shared" si="41"/>
        <v>-1</v>
      </c>
      <c r="I450" s="4"/>
      <c r="J450" s="15"/>
      <c r="K450" s="17"/>
      <c r="L450" s="17"/>
      <c r="M450" s="18"/>
      <c r="O450" s="20" t="str">
        <f t="shared" si="37"/>
        <v>XA799655</v>
      </c>
      <c r="P450" s="20" t="str">
        <f t="shared" si="42"/>
        <v>Not Found</v>
      </c>
      <c r="Q450" s="17"/>
      <c r="R450" s="29" t="str">
        <f t="shared" si="38"/>
        <v>Not Found</v>
      </c>
      <c r="S450" s="29" t="str">
        <f t="shared" si="39"/>
        <v>Not Found</v>
      </c>
    </row>
    <row r="451" spans="3:19" x14ac:dyDescent="0.25">
      <c r="C451" s="10"/>
      <c r="D451" s="14" t="s">
        <v>2154</v>
      </c>
      <c r="E451" s="4"/>
      <c r="F451" s="5">
        <v>2</v>
      </c>
      <c r="G451" s="7">
        <f t="shared" si="40"/>
        <v>-2</v>
      </c>
      <c r="H451" s="6">
        <f t="shared" si="41"/>
        <v>-1</v>
      </c>
      <c r="I451" s="4"/>
      <c r="J451" s="15"/>
      <c r="K451" s="17"/>
      <c r="L451" s="17"/>
      <c r="M451" s="18"/>
      <c r="O451" s="20" t="str">
        <f t="shared" si="37"/>
        <v>XA799656</v>
      </c>
      <c r="P451" s="20" t="str">
        <f t="shared" si="42"/>
        <v>Not Found</v>
      </c>
      <c r="Q451" s="17"/>
      <c r="R451" s="29" t="str">
        <f t="shared" si="38"/>
        <v>Not Found</v>
      </c>
      <c r="S451" s="29" t="str">
        <f t="shared" si="39"/>
        <v>Not Found</v>
      </c>
    </row>
    <row r="452" spans="3:19" x14ac:dyDescent="0.25">
      <c r="C452" s="10"/>
      <c r="D452" s="14" t="s">
        <v>2155</v>
      </c>
      <c r="E452" s="4"/>
      <c r="F452" s="5">
        <v>2</v>
      </c>
      <c r="G452" s="7">
        <f t="shared" si="40"/>
        <v>-2</v>
      </c>
      <c r="H452" s="6">
        <f t="shared" si="41"/>
        <v>-1</v>
      </c>
      <c r="I452" s="4"/>
      <c r="J452" s="15"/>
      <c r="K452" s="17"/>
      <c r="L452" s="17"/>
      <c r="M452" s="18"/>
      <c r="O452" s="20" t="str">
        <f t="shared" si="37"/>
        <v>XA799657</v>
      </c>
      <c r="P452" s="20" t="str">
        <f t="shared" si="42"/>
        <v>Not Found</v>
      </c>
      <c r="Q452" s="17"/>
      <c r="R452" s="29" t="str">
        <f t="shared" si="38"/>
        <v>Not Found</v>
      </c>
      <c r="S452" s="29" t="str">
        <f t="shared" si="39"/>
        <v>Not Found</v>
      </c>
    </row>
    <row r="453" spans="3:19" x14ac:dyDescent="0.25">
      <c r="C453" s="10"/>
      <c r="D453" s="14" t="s">
        <v>2156</v>
      </c>
      <c r="E453" s="4"/>
      <c r="F453" s="5">
        <v>2</v>
      </c>
      <c r="G453" s="7">
        <f t="shared" si="40"/>
        <v>-2</v>
      </c>
      <c r="H453" s="6">
        <f t="shared" si="41"/>
        <v>-1</v>
      </c>
      <c r="I453" s="4"/>
      <c r="J453" s="15"/>
      <c r="K453" s="17"/>
      <c r="L453" s="17"/>
      <c r="M453" s="18"/>
      <c r="O453" s="20" t="str">
        <f t="shared" si="37"/>
        <v>ZA799616</v>
      </c>
      <c r="P453" s="20" t="str">
        <f t="shared" si="42"/>
        <v>Not Found</v>
      </c>
      <c r="Q453" s="17"/>
      <c r="R453" s="29" t="str">
        <f t="shared" si="38"/>
        <v>Not Found</v>
      </c>
      <c r="S453" s="29" t="str">
        <f t="shared" si="39"/>
        <v>Not Found</v>
      </c>
    </row>
    <row r="454" spans="3:19" x14ac:dyDescent="0.25">
      <c r="C454" s="10"/>
      <c r="D454" s="14" t="s">
        <v>2157</v>
      </c>
      <c r="E454" s="4"/>
      <c r="F454" s="5">
        <v>2</v>
      </c>
      <c r="G454" s="7">
        <f t="shared" si="40"/>
        <v>-2</v>
      </c>
      <c r="H454" s="6">
        <f t="shared" si="41"/>
        <v>-1</v>
      </c>
      <c r="I454" s="4"/>
      <c r="J454" s="15"/>
      <c r="K454" s="17"/>
      <c r="L454" s="17"/>
      <c r="M454" s="18"/>
      <c r="O454" s="20" t="str">
        <f t="shared" si="37"/>
        <v>ZA799617</v>
      </c>
      <c r="P454" s="20" t="str">
        <f t="shared" si="42"/>
        <v>Not Found</v>
      </c>
      <c r="Q454" s="17"/>
      <c r="R454" s="29" t="str">
        <f t="shared" si="38"/>
        <v>Not Found</v>
      </c>
      <c r="S454" s="29" t="str">
        <f t="shared" si="39"/>
        <v>Not Found</v>
      </c>
    </row>
    <row r="455" spans="3:19" x14ac:dyDescent="0.25">
      <c r="C455" s="10"/>
      <c r="D455" s="14" t="s">
        <v>2158</v>
      </c>
      <c r="E455" s="4"/>
      <c r="F455" s="5">
        <v>2</v>
      </c>
      <c r="G455" s="7">
        <f t="shared" si="40"/>
        <v>-2</v>
      </c>
      <c r="H455" s="6">
        <f t="shared" si="41"/>
        <v>-1</v>
      </c>
      <c r="I455" s="4"/>
      <c r="J455" s="15"/>
      <c r="K455" s="17"/>
      <c r="L455" s="17"/>
      <c r="M455" s="18"/>
      <c r="O455" s="20" t="str">
        <f t="shared" si="37"/>
        <v>ZI799101</v>
      </c>
      <c r="P455" s="20" t="str">
        <f t="shared" si="42"/>
        <v>Not Found</v>
      </c>
      <c r="Q455" s="17"/>
      <c r="R455" s="29" t="str">
        <f t="shared" si="38"/>
        <v>Not Found</v>
      </c>
      <c r="S455" s="29" t="str">
        <f t="shared" si="39"/>
        <v>Not Found</v>
      </c>
    </row>
    <row r="456" spans="3:19" x14ac:dyDescent="0.25">
      <c r="C456" s="10"/>
      <c r="D456" s="14" t="s">
        <v>2159</v>
      </c>
      <c r="E456" s="4"/>
      <c r="F456" s="5">
        <v>2</v>
      </c>
      <c r="G456" s="7">
        <f t="shared" si="40"/>
        <v>-2</v>
      </c>
      <c r="H456" s="6">
        <f t="shared" si="41"/>
        <v>-1</v>
      </c>
      <c r="I456" s="4"/>
      <c r="J456" s="15"/>
      <c r="K456" s="17"/>
      <c r="L456" s="17"/>
      <c r="M456" s="18"/>
      <c r="O456" s="20" t="str">
        <f t="shared" ref="O456:O470" si="43">+LEFT(D456,FIND("IO",D456,1)-1)</f>
        <v>ZI799103</v>
      </c>
      <c r="P456" s="20" t="str">
        <f t="shared" si="42"/>
        <v>Not Found</v>
      </c>
      <c r="Q456" s="17"/>
      <c r="R456" s="29" t="str">
        <f t="shared" ref="R456:R470" si="44">+IF(P456="Not Found",P456,VALUE(FINDProp($P$2,$P456,$O456,"XPos")))</f>
        <v>Not Found</v>
      </c>
      <c r="S456" s="29" t="str">
        <f t="shared" ref="S456:S470" si="45">+IF(P456="Not Found",P456,VALUE(FINDProp($P$2,$P456,$O456,"YPos")))</f>
        <v>Not Found</v>
      </c>
    </row>
    <row r="457" spans="3:19" x14ac:dyDescent="0.25">
      <c r="C457" s="10"/>
      <c r="D457" s="14" t="s">
        <v>2160</v>
      </c>
      <c r="E457" s="4"/>
      <c r="F457" s="5">
        <v>2</v>
      </c>
      <c r="G457" s="7">
        <f t="shared" si="40"/>
        <v>-2</v>
      </c>
      <c r="H457" s="6">
        <f t="shared" si="41"/>
        <v>-1</v>
      </c>
      <c r="I457" s="4"/>
      <c r="J457" s="15"/>
      <c r="K457" s="17"/>
      <c r="L457" s="17"/>
      <c r="M457" s="18"/>
      <c r="O457" s="20" t="str">
        <f t="shared" si="43"/>
        <v>ZI799105</v>
      </c>
      <c r="P457" s="20" t="str">
        <f t="shared" si="42"/>
        <v>Not Found</v>
      </c>
      <c r="Q457" s="17"/>
      <c r="R457" s="29" t="str">
        <f t="shared" si="44"/>
        <v>Not Found</v>
      </c>
      <c r="S457" s="29" t="str">
        <f t="shared" si="45"/>
        <v>Not Found</v>
      </c>
    </row>
    <row r="458" spans="3:19" x14ac:dyDescent="0.25">
      <c r="C458" s="10"/>
      <c r="D458" s="14" t="s">
        <v>2161</v>
      </c>
      <c r="E458" s="4"/>
      <c r="F458" s="5">
        <v>2</v>
      </c>
      <c r="G458" s="7">
        <f t="shared" ref="G458:G470" si="46">(E458-F458)</f>
        <v>-2</v>
      </c>
      <c r="H458" s="6">
        <f t="shared" ref="H458:H470" si="47">IF(F458&lt;&gt;0,(E458-F458)/F458,"")</f>
        <v>-1</v>
      </c>
      <c r="I458" s="4"/>
      <c r="J458" s="15"/>
      <c r="K458" s="17"/>
      <c r="L458" s="17"/>
      <c r="M458" s="18"/>
      <c r="O458" s="20" t="str">
        <f t="shared" si="43"/>
        <v>ZI799107</v>
      </c>
      <c r="P458" s="20" t="str">
        <f t="shared" si="42"/>
        <v>Not Found</v>
      </c>
      <c r="Q458" s="17"/>
      <c r="R458" s="29" t="str">
        <f t="shared" si="44"/>
        <v>Not Found</v>
      </c>
      <c r="S458" s="29" t="str">
        <f t="shared" si="45"/>
        <v>Not Found</v>
      </c>
    </row>
    <row r="459" spans="3:19" x14ac:dyDescent="0.25">
      <c r="C459" s="10"/>
      <c r="D459" s="14" t="s">
        <v>2162</v>
      </c>
      <c r="E459" s="4"/>
      <c r="F459" s="5">
        <v>2</v>
      </c>
      <c r="G459" s="7">
        <f t="shared" si="46"/>
        <v>-2</v>
      </c>
      <c r="H459" s="6">
        <f t="shared" si="47"/>
        <v>-1</v>
      </c>
      <c r="I459" s="4"/>
      <c r="J459" s="15"/>
      <c r="K459" s="17"/>
      <c r="L459" s="17"/>
      <c r="M459" s="18"/>
      <c r="O459" s="20" t="str">
        <f t="shared" si="43"/>
        <v>ZI799109</v>
      </c>
      <c r="P459" s="20" t="str">
        <f t="shared" si="42"/>
        <v>Not Found</v>
      </c>
      <c r="Q459" s="17"/>
      <c r="R459" s="29" t="str">
        <f t="shared" si="44"/>
        <v>Not Found</v>
      </c>
      <c r="S459" s="29" t="str">
        <f t="shared" si="45"/>
        <v>Not Found</v>
      </c>
    </row>
    <row r="460" spans="3:19" x14ac:dyDescent="0.25">
      <c r="C460" s="10"/>
      <c r="D460" s="14" t="s">
        <v>2163</v>
      </c>
      <c r="E460" s="4"/>
      <c r="F460" s="5">
        <v>2</v>
      </c>
      <c r="G460" s="7">
        <f t="shared" si="46"/>
        <v>-2</v>
      </c>
      <c r="H460" s="6">
        <f t="shared" si="47"/>
        <v>-1</v>
      </c>
      <c r="I460" s="4"/>
      <c r="J460" s="15"/>
      <c r="K460" s="17"/>
      <c r="L460" s="17"/>
      <c r="M460" s="18"/>
      <c r="O460" s="20" t="str">
        <f t="shared" si="43"/>
        <v>ZI799111</v>
      </c>
      <c r="P460" s="20" t="str">
        <f t="shared" si="42"/>
        <v>Not Found</v>
      </c>
      <c r="Q460" s="17"/>
      <c r="R460" s="29" t="str">
        <f t="shared" si="44"/>
        <v>Not Found</v>
      </c>
      <c r="S460" s="29" t="str">
        <f t="shared" si="45"/>
        <v>Not Found</v>
      </c>
    </row>
    <row r="461" spans="3:19" x14ac:dyDescent="0.25">
      <c r="C461" s="10"/>
      <c r="D461" s="14" t="s">
        <v>2164</v>
      </c>
      <c r="E461" s="4"/>
      <c r="F461" s="5">
        <v>2</v>
      </c>
      <c r="G461" s="7">
        <f t="shared" si="46"/>
        <v>-2</v>
      </c>
      <c r="H461" s="6">
        <f t="shared" si="47"/>
        <v>-1</v>
      </c>
      <c r="I461" s="4"/>
      <c r="J461" s="15"/>
      <c r="K461" s="17"/>
      <c r="L461" s="17"/>
      <c r="M461" s="18"/>
      <c r="O461" s="20" t="str">
        <f t="shared" si="43"/>
        <v>ZI799113</v>
      </c>
      <c r="P461" s="20" t="str">
        <f t="shared" si="42"/>
        <v>Not Found</v>
      </c>
      <c r="Q461" s="17"/>
      <c r="R461" s="29" t="str">
        <f t="shared" si="44"/>
        <v>Not Found</v>
      </c>
      <c r="S461" s="29" t="str">
        <f t="shared" si="45"/>
        <v>Not Found</v>
      </c>
    </row>
    <row r="462" spans="3:19" x14ac:dyDescent="0.25">
      <c r="C462" s="10"/>
      <c r="D462" s="14" t="s">
        <v>2165</v>
      </c>
      <c r="E462" s="4"/>
      <c r="F462" s="5">
        <v>2</v>
      </c>
      <c r="G462" s="7">
        <f t="shared" si="46"/>
        <v>-2</v>
      </c>
      <c r="H462" s="6">
        <f t="shared" si="47"/>
        <v>-1</v>
      </c>
      <c r="I462" s="4"/>
      <c r="J462" s="15"/>
      <c r="K462" s="17"/>
      <c r="L462" s="17"/>
      <c r="M462" s="18"/>
      <c r="O462" s="20" t="str">
        <f t="shared" si="43"/>
        <v>ZI799115</v>
      </c>
      <c r="P462" s="20" t="str">
        <f t="shared" si="42"/>
        <v>Not Found</v>
      </c>
      <c r="Q462" s="17"/>
      <c r="R462" s="29" t="str">
        <f t="shared" si="44"/>
        <v>Not Found</v>
      </c>
      <c r="S462" s="29" t="str">
        <f t="shared" si="45"/>
        <v>Not Found</v>
      </c>
    </row>
    <row r="463" spans="3:19" x14ac:dyDescent="0.25">
      <c r="C463" s="10"/>
      <c r="D463" s="14" t="s">
        <v>2166</v>
      </c>
      <c r="E463" s="4"/>
      <c r="F463" s="5">
        <v>2</v>
      </c>
      <c r="G463" s="7">
        <f t="shared" si="46"/>
        <v>-2</v>
      </c>
      <c r="H463" s="6">
        <f t="shared" si="47"/>
        <v>-1</v>
      </c>
      <c r="I463" s="4"/>
      <c r="J463" s="15"/>
      <c r="K463" s="17"/>
      <c r="L463" s="17"/>
      <c r="M463" s="18"/>
      <c r="O463" s="20" t="str">
        <f t="shared" si="43"/>
        <v>ZI799117</v>
      </c>
      <c r="P463" s="20" t="str">
        <f t="shared" si="42"/>
        <v>Not Found</v>
      </c>
      <c r="Q463" s="17"/>
      <c r="R463" s="29" t="str">
        <f t="shared" si="44"/>
        <v>Not Found</v>
      </c>
      <c r="S463" s="29" t="str">
        <f t="shared" si="45"/>
        <v>Not Found</v>
      </c>
    </row>
    <row r="464" spans="3:19" x14ac:dyDescent="0.25">
      <c r="C464" s="10"/>
      <c r="D464" s="14" t="s">
        <v>2167</v>
      </c>
      <c r="E464" s="4"/>
      <c r="F464" s="5">
        <v>2</v>
      </c>
      <c r="G464" s="7">
        <f t="shared" si="46"/>
        <v>-2</v>
      </c>
      <c r="H464" s="6">
        <f t="shared" si="47"/>
        <v>-1</v>
      </c>
      <c r="I464" s="4"/>
      <c r="J464" s="15"/>
      <c r="K464" s="17"/>
      <c r="L464" s="17"/>
      <c r="M464" s="18"/>
      <c r="O464" s="20" t="str">
        <f t="shared" si="43"/>
        <v>ZI799119</v>
      </c>
      <c r="P464" s="20" t="str">
        <f t="shared" si="42"/>
        <v>Not Found</v>
      </c>
      <c r="Q464" s="17"/>
      <c r="R464" s="29" t="str">
        <f t="shared" si="44"/>
        <v>Not Found</v>
      </c>
      <c r="S464" s="29" t="str">
        <f t="shared" si="45"/>
        <v>Not Found</v>
      </c>
    </row>
    <row r="465" spans="3:19" x14ac:dyDescent="0.25">
      <c r="C465" s="10"/>
      <c r="D465" s="14" t="s">
        <v>2168</v>
      </c>
      <c r="E465" s="4"/>
      <c r="F465" s="5">
        <v>2</v>
      </c>
      <c r="G465" s="7">
        <f t="shared" si="46"/>
        <v>-2</v>
      </c>
      <c r="H465" s="6">
        <f t="shared" si="47"/>
        <v>-1</v>
      </c>
      <c r="I465" s="4"/>
      <c r="J465" s="15"/>
      <c r="K465" s="17"/>
      <c r="L465" s="17"/>
      <c r="M465" s="18"/>
      <c r="O465" s="20" t="str">
        <f t="shared" si="43"/>
        <v>ZI799121</v>
      </c>
      <c r="P465" s="20" t="str">
        <f t="shared" si="42"/>
        <v>Not Found</v>
      </c>
      <c r="Q465" s="17"/>
      <c r="R465" s="29" t="str">
        <f t="shared" si="44"/>
        <v>Not Found</v>
      </c>
      <c r="S465" s="29" t="str">
        <f t="shared" si="45"/>
        <v>Not Found</v>
      </c>
    </row>
    <row r="466" spans="3:19" x14ac:dyDescent="0.25">
      <c r="C466" s="10"/>
      <c r="D466" s="14" t="s">
        <v>2169</v>
      </c>
      <c r="E466" s="4"/>
      <c r="F466" s="5">
        <v>2</v>
      </c>
      <c r="G466" s="7">
        <f t="shared" si="46"/>
        <v>-2</v>
      </c>
      <c r="H466" s="6">
        <f t="shared" si="47"/>
        <v>-1</v>
      </c>
      <c r="I466" s="4"/>
      <c r="J466" s="15"/>
      <c r="K466" s="17"/>
      <c r="L466" s="17"/>
      <c r="M466" s="18"/>
      <c r="O466" s="20" t="str">
        <f t="shared" si="43"/>
        <v>ZI799123</v>
      </c>
      <c r="P466" s="20" t="str">
        <f t="shared" si="42"/>
        <v>Not Found</v>
      </c>
      <c r="Q466" s="17"/>
      <c r="R466" s="29" t="str">
        <f t="shared" si="44"/>
        <v>Not Found</v>
      </c>
      <c r="S466" s="29" t="str">
        <f t="shared" si="45"/>
        <v>Not Found</v>
      </c>
    </row>
    <row r="467" spans="3:19" x14ac:dyDescent="0.25">
      <c r="C467" s="10"/>
      <c r="D467" s="14" t="s">
        <v>2170</v>
      </c>
      <c r="E467" s="4"/>
      <c r="F467" s="5">
        <v>2</v>
      </c>
      <c r="G467" s="7">
        <f t="shared" si="46"/>
        <v>-2</v>
      </c>
      <c r="H467" s="6">
        <f t="shared" si="47"/>
        <v>-1</v>
      </c>
      <c r="I467" s="4"/>
      <c r="J467" s="15"/>
      <c r="K467" s="17"/>
      <c r="L467" s="17"/>
      <c r="M467" s="18"/>
      <c r="O467" s="20" t="str">
        <f t="shared" si="43"/>
        <v>ZI799125</v>
      </c>
      <c r="P467" s="20" t="str">
        <f t="shared" si="42"/>
        <v>Not Found</v>
      </c>
      <c r="Q467" s="17"/>
      <c r="R467" s="29" t="str">
        <f t="shared" si="44"/>
        <v>Not Found</v>
      </c>
      <c r="S467" s="29" t="str">
        <f t="shared" si="45"/>
        <v>Not Found</v>
      </c>
    </row>
    <row r="468" spans="3:19" x14ac:dyDescent="0.25">
      <c r="C468" s="10"/>
      <c r="D468" s="14" t="s">
        <v>2171</v>
      </c>
      <c r="E468" s="4"/>
      <c r="F468" s="5">
        <v>2</v>
      </c>
      <c r="G468" s="7">
        <f t="shared" si="46"/>
        <v>-2</v>
      </c>
      <c r="H468" s="6">
        <f t="shared" si="47"/>
        <v>-1</v>
      </c>
      <c r="I468" s="4"/>
      <c r="J468" s="15"/>
      <c r="K468" s="17"/>
      <c r="L468" s="17"/>
      <c r="M468" s="18"/>
      <c r="O468" s="20" t="str">
        <f t="shared" si="43"/>
        <v>ZI799603</v>
      </c>
      <c r="P468" s="20" t="str">
        <f t="shared" si="42"/>
        <v>Not Found</v>
      </c>
      <c r="Q468" s="17"/>
      <c r="R468" s="29" t="str">
        <f t="shared" si="44"/>
        <v>Not Found</v>
      </c>
      <c r="S468" s="29" t="str">
        <f t="shared" si="45"/>
        <v>Not Found</v>
      </c>
    </row>
    <row r="469" spans="3:19" x14ac:dyDescent="0.25">
      <c r="C469" s="10"/>
      <c r="D469" s="14" t="s">
        <v>2172</v>
      </c>
      <c r="E469" s="4"/>
      <c r="F469" s="5">
        <v>2</v>
      </c>
      <c r="G469" s="7">
        <f t="shared" si="46"/>
        <v>-2</v>
      </c>
      <c r="H469" s="6">
        <f t="shared" si="47"/>
        <v>-1</v>
      </c>
      <c r="I469" s="4"/>
      <c r="J469" s="15"/>
      <c r="K469" s="17"/>
      <c r="L469" s="17"/>
      <c r="M469" s="18"/>
      <c r="O469" s="20" t="str">
        <f t="shared" si="43"/>
        <v>ZI799610</v>
      </c>
      <c r="P469" s="20" t="str">
        <f t="shared" si="42"/>
        <v>Not Found</v>
      </c>
      <c r="Q469" s="17"/>
      <c r="R469" s="29" t="str">
        <f t="shared" si="44"/>
        <v>Not Found</v>
      </c>
      <c r="S469" s="29" t="str">
        <f t="shared" si="45"/>
        <v>Not Found</v>
      </c>
    </row>
    <row r="470" spans="3:19" x14ac:dyDescent="0.25">
      <c r="C470" s="10"/>
      <c r="D470" s="14" t="s">
        <v>2173</v>
      </c>
      <c r="E470" s="4"/>
      <c r="F470" s="5">
        <v>2</v>
      </c>
      <c r="G470" s="7">
        <f t="shared" si="46"/>
        <v>-2</v>
      </c>
      <c r="H470" s="6">
        <f t="shared" si="47"/>
        <v>-1</v>
      </c>
      <c r="I470" s="4"/>
      <c r="J470" s="15"/>
      <c r="K470" s="17"/>
      <c r="L470" s="17"/>
      <c r="M470" s="18"/>
      <c r="O470" s="20" t="str">
        <f t="shared" si="43"/>
        <v>ZI799615</v>
      </c>
      <c r="P470" s="20" t="str">
        <f t="shared" si="42"/>
        <v>Not Found</v>
      </c>
      <c r="Q470" s="17"/>
      <c r="R470" s="29" t="str">
        <f t="shared" si="44"/>
        <v>Not Found</v>
      </c>
      <c r="S470" s="29" t="str">
        <f t="shared" si="45"/>
        <v>Not Found</v>
      </c>
    </row>
  </sheetData>
  <dataConsolidate link="1"/>
  <mergeCells count="15">
    <mergeCell ref="P5:P6"/>
    <mergeCell ref="Q5:Q6"/>
    <mergeCell ref="S5:S6"/>
    <mergeCell ref="R5:R6"/>
    <mergeCell ref="O5:O6"/>
    <mergeCell ref="L5:L6"/>
    <mergeCell ref="M5:M6"/>
    <mergeCell ref="G5:H5"/>
    <mergeCell ref="D5:D6"/>
    <mergeCell ref="C5:C6"/>
    <mergeCell ref="E5:E6"/>
    <mergeCell ref="F5:F6"/>
    <mergeCell ref="J5:J6"/>
    <mergeCell ref="K5:K6"/>
    <mergeCell ref="I5:I6"/>
  </mergeCells>
  <conditionalFormatting sqref="J5:M5">
    <cfRule type="cellIs" dxfId="15" priority="11" stopIfTrue="1" operator="equal">
      <formula>"NO"</formula>
    </cfRule>
  </conditionalFormatting>
  <conditionalFormatting sqref="H7:H470">
    <cfRule type="cellIs" dxfId="14" priority="6" stopIfTrue="1" operator="equal">
      <formula>0</formula>
    </cfRule>
  </conditionalFormatting>
  <conditionalFormatting sqref="P5:Q5">
    <cfRule type="cellIs" dxfId="13" priority="4" stopIfTrue="1" operator="equal">
      <formula>"NO"</formula>
    </cfRule>
  </conditionalFormatting>
  <conditionalFormatting sqref="R5">
    <cfRule type="cellIs" dxfId="12" priority="3" stopIfTrue="1" operator="equal">
      <formula>"NO"</formula>
    </cfRule>
  </conditionalFormatting>
  <conditionalFormatting sqref="S5">
    <cfRule type="cellIs" dxfId="11" priority="2" stopIfTrue="1" operator="equal">
      <formula>"NO"</formula>
    </cfRule>
  </conditionalFormatting>
  <conditionalFormatting sqref="O5">
    <cfRule type="cellIs" dxfId="10" priority="1" stopIfTrue="1" operator="equal">
      <formula>"NO"</formula>
    </cfRule>
  </conditionalFormatting>
  <hyperlinks>
    <hyperlink ref="P2" r:id="rId1" display="\\192.168.1.24\ProjectsOTS\INP-13-197_RSI-SADARA_OTS\14.IS_Graphics\Unit375\OnlyGraphicDisplay"/>
  </hyperlinks>
  <pageMargins left="0.7" right="0.7" top="0.75" bottom="0.75" header="0.3" footer="0.3"/>
  <pageSetup orientation="portrait" horizontalDpi="200" verticalDpi="200" r:id="rId2"/>
  <drawing r:id="rId3"/>
  <legacyDrawing r:id="rId4"/>
  <controls>
    <mc:AlternateContent xmlns:mc="http://schemas.openxmlformats.org/markup-compatibility/2006">
      <mc:Choice Requires="x14">
        <control shapeId="1025" r:id="rId5" name="_ActiveXWrapper1">
          <controlPr defaultSize="0" autoLine="0" r:id="rId6">
            <anchor moveWithCells="1">
              <from>
                <xdr:col>0</xdr:col>
                <xdr:colOff>142875</xdr:colOff>
                <xdr:row>4</xdr:row>
                <xdr:rowOff>0</xdr:rowOff>
              </from>
              <to>
                <xdr:col>0</xdr:col>
                <xdr:colOff>628650</xdr:colOff>
                <xdr:row>4</xdr:row>
                <xdr:rowOff>171450</xdr:rowOff>
              </to>
            </anchor>
          </controlPr>
        </control>
      </mc:Choice>
      <mc:Fallback>
        <control shapeId="1025" r:id="rId5" name="_ActiveXWrapper1"/>
      </mc:Fallback>
    </mc:AlternateContent>
    <mc:AlternateContent xmlns:mc="http://schemas.openxmlformats.org/markup-compatibility/2006">
      <mc:Choice Requires="x14">
        <control shapeId="1026" r:id="rId7" name="_ActiveXWrapper2">
          <controlPr defaultSize="0" autoLine="0" r:id="rId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485775</xdr:colOff>
                <xdr:row>4</xdr:row>
                <xdr:rowOff>180975</xdr:rowOff>
              </to>
            </anchor>
          </controlPr>
        </control>
      </mc:Choice>
      <mc:Fallback>
        <control shapeId="1026" r:id="rId7" name="_ActiveXWrapp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524"/>
  <sheetViews>
    <sheetView workbookViewId="0">
      <selection activeCell="D15" sqref="D15"/>
    </sheetView>
  </sheetViews>
  <sheetFormatPr defaultRowHeight="15" x14ac:dyDescent="0.25"/>
  <cols>
    <col min="1" max="1" width="3.42578125" customWidth="1"/>
    <col min="2" max="2" width="40.42578125" bestFit="1" customWidth="1"/>
    <col min="3" max="3" width="22.5703125" bestFit="1" customWidth="1"/>
    <col min="4" max="4" width="15.7109375" bestFit="1" customWidth="1"/>
  </cols>
  <sheetData>
    <row r="1" spans="2:4" x14ac:dyDescent="0.25">
      <c r="B1" t="s">
        <v>2179</v>
      </c>
      <c r="C1" t="s">
        <v>2174</v>
      </c>
      <c r="D1" t="s">
        <v>2180</v>
      </c>
    </row>
    <row r="2" spans="2:4" x14ac:dyDescent="0.25">
      <c r="B2" s="24" t="s">
        <v>824</v>
      </c>
      <c r="C2" s="24" t="s">
        <v>825</v>
      </c>
      <c r="D2" t="str">
        <f>+IF(OR(B2="Transmitters",B2="DI"),"IO","no")</f>
        <v>IO</v>
      </c>
    </row>
    <row r="3" spans="2:4" x14ac:dyDescent="0.25">
      <c r="B3" s="24" t="s">
        <v>824</v>
      </c>
      <c r="C3" s="24" t="s">
        <v>826</v>
      </c>
      <c r="D3" t="str">
        <f t="shared" ref="D3:D66" si="0">+IF(OR(B3="Transmitters",B3="DI"),"IO","no")</f>
        <v>IO</v>
      </c>
    </row>
    <row r="4" spans="2:4" x14ac:dyDescent="0.25">
      <c r="B4" s="24" t="s">
        <v>824</v>
      </c>
      <c r="C4" s="24" t="s">
        <v>827</v>
      </c>
      <c r="D4" t="str">
        <f t="shared" si="0"/>
        <v>IO</v>
      </c>
    </row>
    <row r="5" spans="2:4" x14ac:dyDescent="0.25">
      <c r="B5" s="24" t="s">
        <v>824</v>
      </c>
      <c r="C5" s="24" t="s">
        <v>828</v>
      </c>
      <c r="D5" t="str">
        <f t="shared" si="0"/>
        <v>IO</v>
      </c>
    </row>
    <row r="6" spans="2:4" x14ac:dyDescent="0.25">
      <c r="B6" s="24" t="s">
        <v>824</v>
      </c>
      <c r="C6" s="24" t="s">
        <v>829</v>
      </c>
      <c r="D6" t="str">
        <f t="shared" si="0"/>
        <v>IO</v>
      </c>
    </row>
    <row r="7" spans="2:4" x14ac:dyDescent="0.25">
      <c r="B7" s="24" t="s">
        <v>824</v>
      </c>
      <c r="C7" s="24" t="s">
        <v>830</v>
      </c>
      <c r="D7" t="str">
        <f t="shared" si="0"/>
        <v>IO</v>
      </c>
    </row>
    <row r="8" spans="2:4" x14ac:dyDescent="0.25">
      <c r="B8" s="24" t="s">
        <v>824</v>
      </c>
      <c r="C8" s="24" t="s">
        <v>831</v>
      </c>
      <c r="D8" t="str">
        <f t="shared" si="0"/>
        <v>IO</v>
      </c>
    </row>
    <row r="9" spans="2:4" x14ac:dyDescent="0.25">
      <c r="B9" s="24" t="s">
        <v>824</v>
      </c>
      <c r="C9" s="24" t="s">
        <v>832</v>
      </c>
      <c r="D9" t="str">
        <f t="shared" si="0"/>
        <v>IO</v>
      </c>
    </row>
    <row r="10" spans="2:4" x14ac:dyDescent="0.25">
      <c r="B10" s="24" t="s">
        <v>824</v>
      </c>
      <c r="C10" s="24" t="s">
        <v>833</v>
      </c>
      <c r="D10" t="str">
        <f t="shared" si="0"/>
        <v>IO</v>
      </c>
    </row>
    <row r="11" spans="2:4" x14ac:dyDescent="0.25">
      <c r="B11" s="24" t="s">
        <v>824</v>
      </c>
      <c r="C11" s="24" t="s">
        <v>834</v>
      </c>
      <c r="D11" t="str">
        <f t="shared" si="0"/>
        <v>IO</v>
      </c>
    </row>
    <row r="12" spans="2:4" x14ac:dyDescent="0.25">
      <c r="B12" s="24" t="s">
        <v>824</v>
      </c>
      <c r="C12" s="24" t="s">
        <v>835</v>
      </c>
      <c r="D12" t="str">
        <f t="shared" si="0"/>
        <v>IO</v>
      </c>
    </row>
    <row r="13" spans="2:4" x14ac:dyDescent="0.25">
      <c r="B13" s="24" t="s">
        <v>824</v>
      </c>
      <c r="C13" s="24" t="s">
        <v>836</v>
      </c>
      <c r="D13" t="str">
        <f t="shared" si="0"/>
        <v>IO</v>
      </c>
    </row>
    <row r="14" spans="2:4" x14ac:dyDescent="0.25">
      <c r="B14" s="24" t="s">
        <v>824</v>
      </c>
      <c r="C14" s="24" t="s">
        <v>837</v>
      </c>
      <c r="D14" t="str">
        <f t="shared" si="0"/>
        <v>IO</v>
      </c>
    </row>
    <row r="15" spans="2:4" x14ac:dyDescent="0.25">
      <c r="B15" s="24" t="s">
        <v>824</v>
      </c>
      <c r="C15" s="24" t="s">
        <v>838</v>
      </c>
      <c r="D15" t="str">
        <f t="shared" si="0"/>
        <v>IO</v>
      </c>
    </row>
    <row r="16" spans="2:4" x14ac:dyDescent="0.25">
      <c r="B16" s="24" t="s">
        <v>839</v>
      </c>
      <c r="C16" s="24" t="s">
        <v>840</v>
      </c>
      <c r="D16" t="str">
        <f t="shared" si="0"/>
        <v>no</v>
      </c>
    </row>
    <row r="17" spans="2:4" x14ac:dyDescent="0.25">
      <c r="B17" s="24" t="s">
        <v>841</v>
      </c>
      <c r="C17" s="24" t="s">
        <v>842</v>
      </c>
      <c r="D17" t="str">
        <f t="shared" si="0"/>
        <v>no</v>
      </c>
    </row>
    <row r="18" spans="2:4" x14ac:dyDescent="0.25">
      <c r="B18" s="24" t="s">
        <v>843</v>
      </c>
      <c r="C18" s="24" t="s">
        <v>844</v>
      </c>
      <c r="D18" t="str">
        <f t="shared" si="0"/>
        <v>no</v>
      </c>
    </row>
    <row r="19" spans="2:4" x14ac:dyDescent="0.25">
      <c r="B19" s="24" t="s">
        <v>845</v>
      </c>
      <c r="C19" s="24" t="s">
        <v>846</v>
      </c>
      <c r="D19" t="str">
        <f t="shared" si="0"/>
        <v>no</v>
      </c>
    </row>
    <row r="20" spans="2:4" x14ac:dyDescent="0.25">
      <c r="B20" s="24" t="s">
        <v>847</v>
      </c>
      <c r="C20" s="24" t="s">
        <v>848</v>
      </c>
      <c r="D20" t="str">
        <f t="shared" si="0"/>
        <v>no</v>
      </c>
    </row>
    <row r="21" spans="2:4" x14ac:dyDescent="0.25">
      <c r="B21" s="24" t="s">
        <v>849</v>
      </c>
      <c r="C21" s="24" t="s">
        <v>850</v>
      </c>
      <c r="D21" t="str">
        <f t="shared" si="0"/>
        <v>no</v>
      </c>
    </row>
    <row r="22" spans="2:4" x14ac:dyDescent="0.25">
      <c r="B22" s="24" t="s">
        <v>824</v>
      </c>
      <c r="C22" s="24" t="s">
        <v>851</v>
      </c>
      <c r="D22" t="str">
        <f t="shared" si="0"/>
        <v>IO</v>
      </c>
    </row>
    <row r="23" spans="2:4" x14ac:dyDescent="0.25">
      <c r="B23" s="24" t="s">
        <v>824</v>
      </c>
      <c r="C23" s="24" t="s">
        <v>852</v>
      </c>
      <c r="D23" t="str">
        <f t="shared" si="0"/>
        <v>IO</v>
      </c>
    </row>
    <row r="24" spans="2:4" x14ac:dyDescent="0.25">
      <c r="B24" s="24" t="s">
        <v>853</v>
      </c>
      <c r="C24" s="24" t="s">
        <v>854</v>
      </c>
      <c r="D24" t="str">
        <f t="shared" si="0"/>
        <v>no</v>
      </c>
    </row>
    <row r="25" spans="2:4" x14ac:dyDescent="0.25">
      <c r="B25" s="24" t="s">
        <v>853</v>
      </c>
      <c r="C25" s="24" t="s">
        <v>855</v>
      </c>
      <c r="D25" t="str">
        <f t="shared" si="0"/>
        <v>no</v>
      </c>
    </row>
    <row r="26" spans="2:4" x14ac:dyDescent="0.25">
      <c r="B26" s="24" t="s">
        <v>824</v>
      </c>
      <c r="C26" s="24" t="s">
        <v>856</v>
      </c>
      <c r="D26" t="str">
        <f t="shared" si="0"/>
        <v>IO</v>
      </c>
    </row>
    <row r="27" spans="2:4" x14ac:dyDescent="0.25">
      <c r="B27" s="24" t="s">
        <v>824</v>
      </c>
      <c r="C27" s="24" t="s">
        <v>857</v>
      </c>
      <c r="D27" t="str">
        <f t="shared" si="0"/>
        <v>IO</v>
      </c>
    </row>
    <row r="28" spans="2:4" x14ac:dyDescent="0.25">
      <c r="B28" s="24" t="s">
        <v>858</v>
      </c>
      <c r="C28" s="24" t="s">
        <v>859</v>
      </c>
      <c r="D28" t="str">
        <f t="shared" si="0"/>
        <v>no</v>
      </c>
    </row>
    <row r="29" spans="2:4" x14ac:dyDescent="0.25">
      <c r="B29" s="24" t="s">
        <v>860</v>
      </c>
      <c r="C29" s="24" t="s">
        <v>861</v>
      </c>
      <c r="D29" t="str">
        <f t="shared" si="0"/>
        <v>no</v>
      </c>
    </row>
    <row r="30" spans="2:4" x14ac:dyDescent="0.25">
      <c r="B30" s="24" t="s">
        <v>862</v>
      </c>
      <c r="C30" s="24" t="s">
        <v>863</v>
      </c>
      <c r="D30" t="str">
        <f t="shared" si="0"/>
        <v>no</v>
      </c>
    </row>
    <row r="31" spans="2:4" x14ac:dyDescent="0.25">
      <c r="B31" s="24" t="s">
        <v>864</v>
      </c>
      <c r="C31" s="24" t="s">
        <v>865</v>
      </c>
      <c r="D31" t="str">
        <f t="shared" si="0"/>
        <v>no</v>
      </c>
    </row>
    <row r="32" spans="2:4" x14ac:dyDescent="0.25">
      <c r="B32" s="24" t="s">
        <v>853</v>
      </c>
      <c r="C32" s="24" t="s">
        <v>866</v>
      </c>
      <c r="D32" t="str">
        <f t="shared" si="0"/>
        <v>no</v>
      </c>
    </row>
    <row r="33" spans="2:4" x14ac:dyDescent="0.25">
      <c r="B33" s="24" t="s">
        <v>853</v>
      </c>
      <c r="C33" s="24" t="s">
        <v>867</v>
      </c>
      <c r="D33" t="str">
        <f t="shared" si="0"/>
        <v>no</v>
      </c>
    </row>
    <row r="34" spans="2:4" x14ac:dyDescent="0.25">
      <c r="B34" s="24" t="s">
        <v>853</v>
      </c>
      <c r="C34" s="24" t="s">
        <v>868</v>
      </c>
      <c r="D34" t="str">
        <f t="shared" si="0"/>
        <v>no</v>
      </c>
    </row>
    <row r="35" spans="2:4" x14ac:dyDescent="0.25">
      <c r="B35" s="24" t="s">
        <v>869</v>
      </c>
      <c r="C35" s="24" t="s">
        <v>870</v>
      </c>
      <c r="D35" t="str">
        <f t="shared" si="0"/>
        <v>no</v>
      </c>
    </row>
    <row r="36" spans="2:4" x14ac:dyDescent="0.25">
      <c r="B36" s="24" t="s">
        <v>869</v>
      </c>
      <c r="C36" s="24" t="s">
        <v>871</v>
      </c>
      <c r="D36" t="str">
        <f t="shared" si="0"/>
        <v>no</v>
      </c>
    </row>
    <row r="37" spans="2:4" x14ac:dyDescent="0.25">
      <c r="B37" s="24" t="s">
        <v>843</v>
      </c>
      <c r="C37" s="24" t="s">
        <v>872</v>
      </c>
      <c r="D37" t="str">
        <f t="shared" si="0"/>
        <v>no</v>
      </c>
    </row>
    <row r="38" spans="2:4" x14ac:dyDescent="0.25">
      <c r="B38" s="24" t="s">
        <v>864</v>
      </c>
      <c r="C38" s="24" t="s">
        <v>873</v>
      </c>
      <c r="D38" t="str">
        <f t="shared" si="0"/>
        <v>no</v>
      </c>
    </row>
    <row r="39" spans="2:4" x14ac:dyDescent="0.25">
      <c r="B39" s="24" t="s">
        <v>849</v>
      </c>
      <c r="C39" s="24" t="s">
        <v>874</v>
      </c>
      <c r="D39" t="str">
        <f t="shared" si="0"/>
        <v>no</v>
      </c>
    </row>
    <row r="40" spans="2:4" x14ac:dyDescent="0.25">
      <c r="B40" s="24" t="s">
        <v>849</v>
      </c>
      <c r="C40" s="24" t="s">
        <v>875</v>
      </c>
      <c r="D40" t="str">
        <f t="shared" si="0"/>
        <v>no</v>
      </c>
    </row>
    <row r="41" spans="2:4" x14ac:dyDescent="0.25">
      <c r="B41" s="24" t="s">
        <v>849</v>
      </c>
      <c r="C41" s="24" t="s">
        <v>876</v>
      </c>
      <c r="D41" t="str">
        <f t="shared" si="0"/>
        <v>no</v>
      </c>
    </row>
    <row r="42" spans="2:4" x14ac:dyDescent="0.25">
      <c r="B42" s="24" t="s">
        <v>841</v>
      </c>
      <c r="C42" s="24" t="s">
        <v>877</v>
      </c>
      <c r="D42" t="str">
        <f t="shared" si="0"/>
        <v>no</v>
      </c>
    </row>
    <row r="43" spans="2:4" x14ac:dyDescent="0.25">
      <c r="B43" s="24" t="s">
        <v>841</v>
      </c>
      <c r="C43" s="24" t="s">
        <v>878</v>
      </c>
      <c r="D43" t="str">
        <f t="shared" si="0"/>
        <v>no</v>
      </c>
    </row>
    <row r="44" spans="2:4" x14ac:dyDescent="0.25">
      <c r="B44" s="24" t="s">
        <v>841</v>
      </c>
      <c r="C44" s="24" t="s">
        <v>879</v>
      </c>
      <c r="D44" t="str">
        <f t="shared" si="0"/>
        <v>no</v>
      </c>
    </row>
    <row r="45" spans="2:4" x14ac:dyDescent="0.25">
      <c r="B45" s="24" t="s">
        <v>839</v>
      </c>
      <c r="C45" s="24" t="s">
        <v>880</v>
      </c>
      <c r="D45" t="str">
        <f t="shared" si="0"/>
        <v>no</v>
      </c>
    </row>
    <row r="46" spans="2:4" x14ac:dyDescent="0.25">
      <c r="B46" s="24" t="s">
        <v>839</v>
      </c>
      <c r="C46" s="24" t="s">
        <v>881</v>
      </c>
      <c r="D46" t="str">
        <f t="shared" si="0"/>
        <v>no</v>
      </c>
    </row>
    <row r="47" spans="2:4" x14ac:dyDescent="0.25">
      <c r="B47" s="24" t="s">
        <v>882</v>
      </c>
      <c r="C47" s="24" t="s">
        <v>883</v>
      </c>
      <c r="D47" t="str">
        <f t="shared" si="0"/>
        <v>no</v>
      </c>
    </row>
    <row r="48" spans="2:4" x14ac:dyDescent="0.25">
      <c r="B48" s="24" t="s">
        <v>882</v>
      </c>
      <c r="C48" s="24" t="s">
        <v>884</v>
      </c>
      <c r="D48" t="str">
        <f t="shared" si="0"/>
        <v>no</v>
      </c>
    </row>
    <row r="49" spans="2:4" x14ac:dyDescent="0.25">
      <c r="B49" s="24" t="s">
        <v>885</v>
      </c>
      <c r="C49" s="24" t="s">
        <v>886</v>
      </c>
      <c r="D49" t="str">
        <f t="shared" si="0"/>
        <v>no</v>
      </c>
    </row>
    <row r="50" spans="2:4" x14ac:dyDescent="0.25">
      <c r="B50" s="24" t="s">
        <v>887</v>
      </c>
      <c r="C50" s="24" t="s">
        <v>888</v>
      </c>
      <c r="D50" t="str">
        <f t="shared" si="0"/>
        <v>no</v>
      </c>
    </row>
    <row r="51" spans="2:4" x14ac:dyDescent="0.25">
      <c r="B51" s="24" t="s">
        <v>887</v>
      </c>
      <c r="C51" s="24" t="s">
        <v>889</v>
      </c>
      <c r="D51" t="str">
        <f t="shared" si="0"/>
        <v>no</v>
      </c>
    </row>
    <row r="52" spans="2:4" x14ac:dyDescent="0.25">
      <c r="B52" s="24" t="s">
        <v>890</v>
      </c>
      <c r="C52" s="24" t="s">
        <v>891</v>
      </c>
      <c r="D52" t="str">
        <f t="shared" si="0"/>
        <v>no</v>
      </c>
    </row>
    <row r="53" spans="2:4" x14ac:dyDescent="0.25">
      <c r="B53" s="24" t="s">
        <v>892</v>
      </c>
      <c r="C53" s="24" t="s">
        <v>893</v>
      </c>
      <c r="D53" t="str">
        <f t="shared" si="0"/>
        <v>no</v>
      </c>
    </row>
    <row r="54" spans="2:4" x14ac:dyDescent="0.25">
      <c r="B54" s="24" t="s">
        <v>892</v>
      </c>
      <c r="C54" s="24" t="s">
        <v>894</v>
      </c>
      <c r="D54" t="str">
        <f t="shared" si="0"/>
        <v>no</v>
      </c>
    </row>
    <row r="55" spans="2:4" x14ac:dyDescent="0.25">
      <c r="B55" s="24" t="s">
        <v>895</v>
      </c>
      <c r="C55" s="24" t="s">
        <v>896</v>
      </c>
      <c r="D55" t="str">
        <f t="shared" si="0"/>
        <v>no</v>
      </c>
    </row>
    <row r="56" spans="2:4" x14ac:dyDescent="0.25">
      <c r="B56" s="24" t="s">
        <v>895</v>
      </c>
      <c r="C56" s="24" t="s">
        <v>897</v>
      </c>
      <c r="D56" t="str">
        <f t="shared" si="0"/>
        <v>no</v>
      </c>
    </row>
    <row r="57" spans="2:4" x14ac:dyDescent="0.25">
      <c r="B57" s="24" t="s">
        <v>898</v>
      </c>
      <c r="C57" s="24" t="s">
        <v>899</v>
      </c>
      <c r="D57" t="str">
        <f t="shared" si="0"/>
        <v>no</v>
      </c>
    </row>
    <row r="58" spans="2:4" x14ac:dyDescent="0.25">
      <c r="B58" s="24" t="s">
        <v>900</v>
      </c>
      <c r="C58" s="24" t="s">
        <v>901</v>
      </c>
      <c r="D58" t="str">
        <f t="shared" si="0"/>
        <v>no</v>
      </c>
    </row>
    <row r="59" spans="2:4" x14ac:dyDescent="0.25">
      <c r="B59" s="24" t="s">
        <v>887</v>
      </c>
      <c r="C59" s="24" t="s">
        <v>902</v>
      </c>
      <c r="D59" t="str">
        <f t="shared" si="0"/>
        <v>no</v>
      </c>
    </row>
    <row r="60" spans="2:4" x14ac:dyDescent="0.25">
      <c r="B60" s="24" t="s">
        <v>900</v>
      </c>
      <c r="C60" s="24" t="s">
        <v>903</v>
      </c>
      <c r="D60" t="str">
        <f t="shared" si="0"/>
        <v>no</v>
      </c>
    </row>
    <row r="61" spans="2:4" x14ac:dyDescent="0.25">
      <c r="B61" s="24" t="s">
        <v>904</v>
      </c>
      <c r="C61" s="24" t="s">
        <v>905</v>
      </c>
      <c r="D61" t="str">
        <f t="shared" si="0"/>
        <v>no</v>
      </c>
    </row>
    <row r="62" spans="2:4" x14ac:dyDescent="0.25">
      <c r="B62" s="24" t="s">
        <v>900</v>
      </c>
      <c r="C62" s="24" t="s">
        <v>906</v>
      </c>
      <c r="D62" t="str">
        <f t="shared" si="0"/>
        <v>no</v>
      </c>
    </row>
    <row r="63" spans="2:4" x14ac:dyDescent="0.25">
      <c r="B63" s="24" t="s">
        <v>898</v>
      </c>
      <c r="C63" s="24" t="s">
        <v>907</v>
      </c>
      <c r="D63" t="str">
        <f t="shared" si="0"/>
        <v>no</v>
      </c>
    </row>
    <row r="64" spans="2:4" x14ac:dyDescent="0.25">
      <c r="B64" s="24" t="s">
        <v>908</v>
      </c>
      <c r="C64" s="24" t="s">
        <v>909</v>
      </c>
      <c r="D64" t="str">
        <f t="shared" si="0"/>
        <v>no</v>
      </c>
    </row>
    <row r="65" spans="2:4" x14ac:dyDescent="0.25">
      <c r="B65" s="24" t="s">
        <v>910</v>
      </c>
      <c r="C65" s="24" t="s">
        <v>911</v>
      </c>
      <c r="D65" t="str">
        <f t="shared" si="0"/>
        <v>no</v>
      </c>
    </row>
    <row r="66" spans="2:4" x14ac:dyDescent="0.25">
      <c r="B66" s="24" t="s">
        <v>910</v>
      </c>
      <c r="C66" s="24" t="s">
        <v>912</v>
      </c>
      <c r="D66" t="str">
        <f t="shared" si="0"/>
        <v>no</v>
      </c>
    </row>
    <row r="67" spans="2:4" x14ac:dyDescent="0.25">
      <c r="B67" s="24" t="s">
        <v>910</v>
      </c>
      <c r="C67" s="24" t="s">
        <v>913</v>
      </c>
      <c r="D67" t="str">
        <f t="shared" ref="D67:D130" si="1">+IF(OR(B67="Transmitters",B67="DI"),"IO","no")</f>
        <v>no</v>
      </c>
    </row>
    <row r="68" spans="2:4" x14ac:dyDescent="0.25">
      <c r="B68" s="24" t="s">
        <v>914</v>
      </c>
      <c r="C68" s="24" t="s">
        <v>915</v>
      </c>
      <c r="D68" t="str">
        <f t="shared" si="1"/>
        <v>no</v>
      </c>
    </row>
    <row r="69" spans="2:4" x14ac:dyDescent="0.25">
      <c r="B69" s="24" t="s">
        <v>916</v>
      </c>
      <c r="C69" s="24" t="s">
        <v>917</v>
      </c>
      <c r="D69" t="str">
        <f t="shared" si="1"/>
        <v>no</v>
      </c>
    </row>
    <row r="70" spans="2:4" x14ac:dyDescent="0.25">
      <c r="B70" s="24" t="s">
        <v>918</v>
      </c>
      <c r="C70" s="24" t="s">
        <v>919</v>
      </c>
      <c r="D70" t="str">
        <f t="shared" si="1"/>
        <v>no</v>
      </c>
    </row>
    <row r="71" spans="2:4" x14ac:dyDescent="0.25">
      <c r="B71" s="24" t="s">
        <v>920</v>
      </c>
      <c r="C71" s="24" t="s">
        <v>921</v>
      </c>
      <c r="D71" t="str">
        <f t="shared" si="1"/>
        <v>no</v>
      </c>
    </row>
    <row r="72" spans="2:4" x14ac:dyDescent="0.25">
      <c r="B72" s="24" t="s">
        <v>922</v>
      </c>
      <c r="C72" s="24" t="s">
        <v>923</v>
      </c>
      <c r="D72" t="str">
        <f t="shared" si="1"/>
        <v>no</v>
      </c>
    </row>
    <row r="73" spans="2:4" x14ac:dyDescent="0.25">
      <c r="B73" s="24" t="s">
        <v>920</v>
      </c>
      <c r="C73" s="24" t="s">
        <v>924</v>
      </c>
      <c r="D73" t="str">
        <f t="shared" si="1"/>
        <v>no</v>
      </c>
    </row>
    <row r="74" spans="2:4" x14ac:dyDescent="0.25">
      <c r="B74" s="24" t="s">
        <v>925</v>
      </c>
      <c r="C74" s="24" t="s">
        <v>926</v>
      </c>
      <c r="D74" t="str">
        <f t="shared" si="1"/>
        <v>no</v>
      </c>
    </row>
    <row r="75" spans="2:4" x14ac:dyDescent="0.25">
      <c r="B75" s="24" t="s">
        <v>920</v>
      </c>
      <c r="C75" s="24" t="s">
        <v>927</v>
      </c>
      <c r="D75" t="str">
        <f t="shared" si="1"/>
        <v>no</v>
      </c>
    </row>
    <row r="76" spans="2:4" x14ac:dyDescent="0.25">
      <c r="B76" s="24" t="s">
        <v>928</v>
      </c>
      <c r="C76" s="24" t="s">
        <v>929</v>
      </c>
      <c r="D76" t="str">
        <f t="shared" si="1"/>
        <v>no</v>
      </c>
    </row>
    <row r="77" spans="2:4" x14ac:dyDescent="0.25">
      <c r="B77" s="24" t="s">
        <v>930</v>
      </c>
      <c r="C77" s="24" t="s">
        <v>931</v>
      </c>
      <c r="D77" t="str">
        <f t="shared" si="1"/>
        <v>no</v>
      </c>
    </row>
    <row r="78" spans="2:4" x14ac:dyDescent="0.25">
      <c r="B78" s="24" t="s">
        <v>930</v>
      </c>
      <c r="C78" s="24" t="s">
        <v>932</v>
      </c>
      <c r="D78" t="str">
        <f t="shared" si="1"/>
        <v>no</v>
      </c>
    </row>
    <row r="79" spans="2:4" x14ac:dyDescent="0.25">
      <c r="B79" s="24" t="s">
        <v>930</v>
      </c>
      <c r="C79" s="24" t="s">
        <v>933</v>
      </c>
      <c r="D79" t="str">
        <f t="shared" si="1"/>
        <v>no</v>
      </c>
    </row>
    <row r="80" spans="2:4" x14ac:dyDescent="0.25">
      <c r="B80" s="24" t="s">
        <v>934</v>
      </c>
      <c r="C80" s="24" t="s">
        <v>935</v>
      </c>
      <c r="D80" t="str">
        <f t="shared" si="1"/>
        <v>no</v>
      </c>
    </row>
    <row r="81" spans="2:4" x14ac:dyDescent="0.25">
      <c r="B81" s="24" t="s">
        <v>916</v>
      </c>
      <c r="C81" s="24" t="s">
        <v>936</v>
      </c>
      <c r="D81" t="str">
        <f t="shared" si="1"/>
        <v>no</v>
      </c>
    </row>
    <row r="82" spans="2:4" x14ac:dyDescent="0.25">
      <c r="B82" s="24" t="s">
        <v>845</v>
      </c>
      <c r="C82" s="24" t="s">
        <v>937</v>
      </c>
      <c r="D82" t="str">
        <f t="shared" si="1"/>
        <v>no</v>
      </c>
    </row>
    <row r="83" spans="2:4" x14ac:dyDescent="0.25">
      <c r="B83" s="24" t="s">
        <v>922</v>
      </c>
      <c r="C83" s="24" t="s">
        <v>938</v>
      </c>
      <c r="D83" t="str">
        <f t="shared" si="1"/>
        <v>no</v>
      </c>
    </row>
    <row r="84" spans="2:4" x14ac:dyDescent="0.25">
      <c r="B84" s="24" t="s">
        <v>939</v>
      </c>
      <c r="C84" s="24" t="s">
        <v>940</v>
      </c>
      <c r="D84" t="str">
        <f t="shared" si="1"/>
        <v>no</v>
      </c>
    </row>
    <row r="85" spans="2:4" x14ac:dyDescent="0.25">
      <c r="B85" s="24" t="s">
        <v>922</v>
      </c>
      <c r="C85" s="24" t="s">
        <v>941</v>
      </c>
      <c r="D85" t="str">
        <f t="shared" si="1"/>
        <v>no</v>
      </c>
    </row>
    <row r="86" spans="2:4" x14ac:dyDescent="0.25">
      <c r="B86" s="24" t="s">
        <v>942</v>
      </c>
      <c r="C86" s="24" t="s">
        <v>943</v>
      </c>
      <c r="D86" t="str">
        <f t="shared" si="1"/>
        <v>no</v>
      </c>
    </row>
    <row r="87" spans="2:4" x14ac:dyDescent="0.25">
      <c r="B87" s="24" t="s">
        <v>942</v>
      </c>
      <c r="C87" s="24" t="s">
        <v>944</v>
      </c>
      <c r="D87" t="str">
        <f t="shared" si="1"/>
        <v>no</v>
      </c>
    </row>
    <row r="88" spans="2:4" x14ac:dyDescent="0.25">
      <c r="B88" s="24" t="s">
        <v>945</v>
      </c>
      <c r="C88" s="24" t="s">
        <v>946</v>
      </c>
      <c r="D88" t="str">
        <f t="shared" si="1"/>
        <v>no</v>
      </c>
    </row>
    <row r="89" spans="2:4" x14ac:dyDescent="0.25">
      <c r="B89" s="24" t="s">
        <v>945</v>
      </c>
      <c r="C89" s="24" t="s">
        <v>947</v>
      </c>
      <c r="D89" t="str">
        <f t="shared" si="1"/>
        <v>no</v>
      </c>
    </row>
    <row r="90" spans="2:4" x14ac:dyDescent="0.25">
      <c r="B90" s="24" t="s">
        <v>945</v>
      </c>
      <c r="C90" s="24" t="s">
        <v>948</v>
      </c>
      <c r="D90" t="str">
        <f t="shared" si="1"/>
        <v>no</v>
      </c>
    </row>
    <row r="91" spans="2:4" x14ac:dyDescent="0.25">
      <c r="B91" s="24" t="s">
        <v>945</v>
      </c>
      <c r="C91" s="24" t="s">
        <v>949</v>
      </c>
      <c r="D91" t="str">
        <f t="shared" si="1"/>
        <v>no</v>
      </c>
    </row>
    <row r="92" spans="2:4" x14ac:dyDescent="0.25">
      <c r="B92" s="24" t="s">
        <v>950</v>
      </c>
      <c r="C92" s="24" t="s">
        <v>951</v>
      </c>
      <c r="D92" t="str">
        <f t="shared" si="1"/>
        <v>no</v>
      </c>
    </row>
    <row r="93" spans="2:4" x14ac:dyDescent="0.25">
      <c r="B93" s="24" t="s">
        <v>950</v>
      </c>
      <c r="C93" s="24" t="s">
        <v>952</v>
      </c>
      <c r="D93" t="str">
        <f t="shared" si="1"/>
        <v>no</v>
      </c>
    </row>
    <row r="94" spans="2:4" x14ac:dyDescent="0.25">
      <c r="B94" s="24" t="s">
        <v>953</v>
      </c>
      <c r="C94" s="24" t="s">
        <v>954</v>
      </c>
      <c r="D94" t="str">
        <f t="shared" si="1"/>
        <v>no</v>
      </c>
    </row>
    <row r="95" spans="2:4" x14ac:dyDescent="0.25">
      <c r="B95" s="24" t="s">
        <v>853</v>
      </c>
      <c r="C95" s="24" t="s">
        <v>955</v>
      </c>
      <c r="D95" t="str">
        <f t="shared" si="1"/>
        <v>no</v>
      </c>
    </row>
    <row r="96" spans="2:4" x14ac:dyDescent="0.25">
      <c r="B96" s="24" t="s">
        <v>956</v>
      </c>
      <c r="C96" s="24" t="s">
        <v>957</v>
      </c>
      <c r="D96" t="str">
        <f t="shared" si="1"/>
        <v>no</v>
      </c>
    </row>
    <row r="97" spans="2:4" x14ac:dyDescent="0.25">
      <c r="B97" s="24" t="s">
        <v>956</v>
      </c>
      <c r="C97" s="24" t="s">
        <v>958</v>
      </c>
      <c r="D97" t="str">
        <f t="shared" si="1"/>
        <v>no</v>
      </c>
    </row>
    <row r="98" spans="2:4" x14ac:dyDescent="0.25">
      <c r="B98" s="24" t="s">
        <v>853</v>
      </c>
      <c r="C98" s="24" t="s">
        <v>959</v>
      </c>
      <c r="D98" t="str">
        <f t="shared" si="1"/>
        <v>no</v>
      </c>
    </row>
    <row r="99" spans="2:4" x14ac:dyDescent="0.25">
      <c r="B99" s="24" t="s">
        <v>960</v>
      </c>
      <c r="C99" s="24" t="s">
        <v>961</v>
      </c>
      <c r="D99" t="str">
        <f t="shared" si="1"/>
        <v>no</v>
      </c>
    </row>
    <row r="100" spans="2:4" x14ac:dyDescent="0.25">
      <c r="B100" s="24" t="s">
        <v>962</v>
      </c>
      <c r="C100" s="24" t="s">
        <v>963</v>
      </c>
      <c r="D100" t="str">
        <f t="shared" si="1"/>
        <v>no</v>
      </c>
    </row>
    <row r="101" spans="2:4" x14ac:dyDescent="0.25">
      <c r="B101" s="24" t="s">
        <v>964</v>
      </c>
      <c r="C101" s="24" t="s">
        <v>965</v>
      </c>
      <c r="D101" t="str">
        <f t="shared" si="1"/>
        <v>no</v>
      </c>
    </row>
    <row r="102" spans="2:4" x14ac:dyDescent="0.25">
      <c r="B102" s="24" t="s">
        <v>962</v>
      </c>
      <c r="C102" s="24" t="s">
        <v>966</v>
      </c>
      <c r="D102" t="str">
        <f t="shared" si="1"/>
        <v>no</v>
      </c>
    </row>
    <row r="103" spans="2:4" x14ac:dyDescent="0.25">
      <c r="B103" s="24" t="s">
        <v>967</v>
      </c>
      <c r="C103" s="24" t="s">
        <v>968</v>
      </c>
      <c r="D103" t="str">
        <f t="shared" si="1"/>
        <v>no</v>
      </c>
    </row>
    <row r="104" spans="2:4" x14ac:dyDescent="0.25">
      <c r="B104" s="24" t="s">
        <v>824</v>
      </c>
      <c r="C104" s="24" t="s">
        <v>969</v>
      </c>
      <c r="D104" t="str">
        <f t="shared" si="1"/>
        <v>IO</v>
      </c>
    </row>
    <row r="105" spans="2:4" x14ac:dyDescent="0.25">
      <c r="B105" s="24" t="s">
        <v>824</v>
      </c>
      <c r="C105" s="24" t="s">
        <v>970</v>
      </c>
      <c r="D105" t="str">
        <f t="shared" si="1"/>
        <v>IO</v>
      </c>
    </row>
    <row r="106" spans="2:4" x14ac:dyDescent="0.25">
      <c r="B106" s="24" t="s">
        <v>824</v>
      </c>
      <c r="C106" s="24" t="s">
        <v>971</v>
      </c>
      <c r="D106" t="str">
        <f t="shared" si="1"/>
        <v>IO</v>
      </c>
    </row>
    <row r="107" spans="2:4" x14ac:dyDescent="0.25">
      <c r="B107" s="24" t="s">
        <v>824</v>
      </c>
      <c r="C107" s="24" t="s">
        <v>972</v>
      </c>
      <c r="D107" t="str">
        <f t="shared" si="1"/>
        <v>IO</v>
      </c>
    </row>
    <row r="108" spans="2:4" x14ac:dyDescent="0.25">
      <c r="B108" s="24" t="s">
        <v>824</v>
      </c>
      <c r="C108" s="24" t="s">
        <v>973</v>
      </c>
      <c r="D108" t="str">
        <f t="shared" si="1"/>
        <v>IO</v>
      </c>
    </row>
    <row r="109" spans="2:4" x14ac:dyDescent="0.25">
      <c r="B109" s="24" t="s">
        <v>974</v>
      </c>
      <c r="C109" s="24" t="s">
        <v>975</v>
      </c>
      <c r="D109" t="str">
        <f t="shared" si="1"/>
        <v>no</v>
      </c>
    </row>
    <row r="110" spans="2:4" x14ac:dyDescent="0.25">
      <c r="B110" s="24" t="s">
        <v>960</v>
      </c>
      <c r="C110" s="24" t="s">
        <v>976</v>
      </c>
      <c r="D110" t="str">
        <f t="shared" si="1"/>
        <v>no</v>
      </c>
    </row>
    <row r="111" spans="2:4" x14ac:dyDescent="0.25">
      <c r="B111" s="24" t="s">
        <v>960</v>
      </c>
      <c r="C111" s="24" t="s">
        <v>977</v>
      </c>
      <c r="D111" t="str">
        <f t="shared" si="1"/>
        <v>no</v>
      </c>
    </row>
    <row r="112" spans="2:4" x14ac:dyDescent="0.25">
      <c r="B112" s="24" t="s">
        <v>960</v>
      </c>
      <c r="C112" s="24" t="s">
        <v>978</v>
      </c>
      <c r="D112" t="str">
        <f t="shared" si="1"/>
        <v>no</v>
      </c>
    </row>
    <row r="113" spans="2:4" x14ac:dyDescent="0.25">
      <c r="B113" s="24" t="s">
        <v>960</v>
      </c>
      <c r="C113" s="24" t="s">
        <v>979</v>
      </c>
      <c r="D113" t="str">
        <f t="shared" si="1"/>
        <v>no</v>
      </c>
    </row>
    <row r="114" spans="2:4" x14ac:dyDescent="0.25">
      <c r="B114" s="24" t="s">
        <v>860</v>
      </c>
      <c r="C114" s="24" t="s">
        <v>980</v>
      </c>
      <c r="D114" t="str">
        <f t="shared" si="1"/>
        <v>no</v>
      </c>
    </row>
    <row r="115" spans="2:4" x14ac:dyDescent="0.25">
      <c r="B115" s="24" t="s">
        <v>860</v>
      </c>
      <c r="C115" s="24" t="s">
        <v>981</v>
      </c>
      <c r="D115" t="str">
        <f t="shared" si="1"/>
        <v>no</v>
      </c>
    </row>
    <row r="116" spans="2:4" x14ac:dyDescent="0.25">
      <c r="B116" s="24" t="s">
        <v>860</v>
      </c>
      <c r="C116" s="24" t="s">
        <v>982</v>
      </c>
      <c r="D116" t="str">
        <f t="shared" si="1"/>
        <v>no</v>
      </c>
    </row>
    <row r="117" spans="2:4" x14ac:dyDescent="0.25">
      <c r="B117" s="24" t="s">
        <v>860</v>
      </c>
      <c r="C117" s="24" t="s">
        <v>983</v>
      </c>
      <c r="D117" t="str">
        <f t="shared" si="1"/>
        <v>no</v>
      </c>
    </row>
    <row r="118" spans="2:4" x14ac:dyDescent="0.25">
      <c r="B118" s="24" t="s">
        <v>862</v>
      </c>
      <c r="C118" s="24" t="s">
        <v>984</v>
      </c>
      <c r="D118" t="str">
        <f t="shared" si="1"/>
        <v>no</v>
      </c>
    </row>
    <row r="119" spans="2:4" x14ac:dyDescent="0.25">
      <c r="B119" s="24" t="s">
        <v>862</v>
      </c>
      <c r="C119" s="24" t="s">
        <v>985</v>
      </c>
      <c r="D119" t="str">
        <f t="shared" si="1"/>
        <v>no</v>
      </c>
    </row>
    <row r="120" spans="2:4" x14ac:dyDescent="0.25">
      <c r="B120" s="24" t="s">
        <v>986</v>
      </c>
      <c r="C120" s="24" t="s">
        <v>987</v>
      </c>
      <c r="D120" t="str">
        <f t="shared" si="1"/>
        <v>no</v>
      </c>
    </row>
    <row r="121" spans="2:4" x14ac:dyDescent="0.25">
      <c r="B121" s="24" t="s">
        <v>986</v>
      </c>
      <c r="C121" s="24" t="s">
        <v>988</v>
      </c>
      <c r="D121" t="str">
        <f t="shared" si="1"/>
        <v>no</v>
      </c>
    </row>
    <row r="122" spans="2:4" x14ac:dyDescent="0.25">
      <c r="B122" s="24" t="s">
        <v>882</v>
      </c>
      <c r="C122" s="24" t="s">
        <v>989</v>
      </c>
      <c r="D122" t="str">
        <f t="shared" si="1"/>
        <v>no</v>
      </c>
    </row>
    <row r="123" spans="2:4" x14ac:dyDescent="0.25">
      <c r="B123" s="24" t="s">
        <v>882</v>
      </c>
      <c r="C123" s="24" t="s">
        <v>990</v>
      </c>
      <c r="D123" t="str">
        <f t="shared" si="1"/>
        <v>no</v>
      </c>
    </row>
    <row r="124" spans="2:4" x14ac:dyDescent="0.25">
      <c r="B124" s="24" t="s">
        <v>890</v>
      </c>
      <c r="C124" s="24" t="s">
        <v>991</v>
      </c>
      <c r="D124" t="str">
        <f t="shared" si="1"/>
        <v>no</v>
      </c>
    </row>
    <row r="125" spans="2:4" x14ac:dyDescent="0.25">
      <c r="B125" s="24" t="s">
        <v>890</v>
      </c>
      <c r="C125" s="24" t="s">
        <v>992</v>
      </c>
      <c r="D125" t="str">
        <f t="shared" si="1"/>
        <v>no</v>
      </c>
    </row>
    <row r="126" spans="2:4" x14ac:dyDescent="0.25">
      <c r="B126" s="24" t="s">
        <v>892</v>
      </c>
      <c r="C126" s="24" t="s">
        <v>993</v>
      </c>
      <c r="D126" t="str">
        <f t="shared" si="1"/>
        <v>no</v>
      </c>
    </row>
    <row r="127" spans="2:4" x14ac:dyDescent="0.25">
      <c r="B127" s="24" t="s">
        <v>892</v>
      </c>
      <c r="C127" s="24" t="s">
        <v>994</v>
      </c>
      <c r="D127" t="str">
        <f t="shared" si="1"/>
        <v>no</v>
      </c>
    </row>
    <row r="128" spans="2:4" x14ac:dyDescent="0.25">
      <c r="B128" s="24" t="s">
        <v>895</v>
      </c>
      <c r="C128" s="24" t="s">
        <v>995</v>
      </c>
      <c r="D128" t="str">
        <f t="shared" si="1"/>
        <v>no</v>
      </c>
    </row>
    <row r="129" spans="2:4" x14ac:dyDescent="0.25">
      <c r="B129" s="24" t="s">
        <v>895</v>
      </c>
      <c r="C129" s="24" t="s">
        <v>996</v>
      </c>
      <c r="D129" t="str">
        <f t="shared" si="1"/>
        <v>no</v>
      </c>
    </row>
    <row r="130" spans="2:4" x14ac:dyDescent="0.25">
      <c r="B130" s="24" t="s">
        <v>904</v>
      </c>
      <c r="C130" s="24" t="s">
        <v>997</v>
      </c>
      <c r="D130" t="str">
        <f t="shared" si="1"/>
        <v>no</v>
      </c>
    </row>
    <row r="131" spans="2:4" x14ac:dyDescent="0.25">
      <c r="B131" s="24" t="s">
        <v>904</v>
      </c>
      <c r="C131" s="24" t="s">
        <v>998</v>
      </c>
      <c r="D131" t="str">
        <f t="shared" ref="D131:D194" si="2">+IF(OR(B131="Transmitters",B131="DI"),"IO","no")</f>
        <v>no</v>
      </c>
    </row>
    <row r="132" spans="2:4" x14ac:dyDescent="0.25">
      <c r="B132" s="24" t="s">
        <v>908</v>
      </c>
      <c r="C132" s="24" t="s">
        <v>999</v>
      </c>
      <c r="D132" t="str">
        <f t="shared" si="2"/>
        <v>no</v>
      </c>
    </row>
    <row r="133" spans="2:4" x14ac:dyDescent="0.25">
      <c r="B133" s="24" t="s">
        <v>908</v>
      </c>
      <c r="C133" s="24" t="s">
        <v>1000</v>
      </c>
      <c r="D133" t="str">
        <f t="shared" si="2"/>
        <v>no</v>
      </c>
    </row>
    <row r="134" spans="2:4" x14ac:dyDescent="0.25">
      <c r="B134" s="24" t="s">
        <v>910</v>
      </c>
      <c r="C134" s="24" t="s">
        <v>1001</v>
      </c>
      <c r="D134" t="str">
        <f t="shared" si="2"/>
        <v>no</v>
      </c>
    </row>
    <row r="135" spans="2:4" x14ac:dyDescent="0.25">
      <c r="B135" s="24" t="s">
        <v>910</v>
      </c>
      <c r="C135" s="24" t="s">
        <v>1002</v>
      </c>
      <c r="D135" t="str">
        <f t="shared" si="2"/>
        <v>no</v>
      </c>
    </row>
    <row r="136" spans="2:4" x14ac:dyDescent="0.25">
      <c r="B136" s="24" t="s">
        <v>1003</v>
      </c>
      <c r="C136" s="24" t="s">
        <v>1004</v>
      </c>
      <c r="D136" t="str">
        <f t="shared" si="2"/>
        <v>no</v>
      </c>
    </row>
    <row r="137" spans="2:4" x14ac:dyDescent="0.25">
      <c r="B137" s="24" t="s">
        <v>914</v>
      </c>
      <c r="C137" s="24" t="s">
        <v>1005</v>
      </c>
      <c r="D137" t="str">
        <f t="shared" si="2"/>
        <v>no</v>
      </c>
    </row>
    <row r="138" spans="2:4" x14ac:dyDescent="0.25">
      <c r="B138" s="24" t="s">
        <v>925</v>
      </c>
      <c r="C138" s="24" t="s">
        <v>1006</v>
      </c>
      <c r="D138" t="str">
        <f t="shared" si="2"/>
        <v>no</v>
      </c>
    </row>
    <row r="139" spans="2:4" x14ac:dyDescent="0.25">
      <c r="B139" s="24" t="s">
        <v>925</v>
      </c>
      <c r="C139" s="24" t="s">
        <v>1007</v>
      </c>
      <c r="D139" t="str">
        <f t="shared" si="2"/>
        <v>no</v>
      </c>
    </row>
    <row r="140" spans="2:4" x14ac:dyDescent="0.25">
      <c r="B140" s="24" t="s">
        <v>928</v>
      </c>
      <c r="C140" s="24" t="s">
        <v>1008</v>
      </c>
      <c r="D140" t="str">
        <f t="shared" si="2"/>
        <v>no</v>
      </c>
    </row>
    <row r="141" spans="2:4" x14ac:dyDescent="0.25">
      <c r="B141" s="24" t="s">
        <v>928</v>
      </c>
      <c r="C141" s="24" t="s">
        <v>1009</v>
      </c>
      <c r="D141" t="str">
        <f t="shared" si="2"/>
        <v>no</v>
      </c>
    </row>
    <row r="142" spans="2:4" x14ac:dyDescent="0.25">
      <c r="B142" s="24" t="s">
        <v>930</v>
      </c>
      <c r="C142" s="24" t="s">
        <v>1010</v>
      </c>
      <c r="D142" t="str">
        <f t="shared" si="2"/>
        <v>no</v>
      </c>
    </row>
    <row r="143" spans="2:4" x14ac:dyDescent="0.25">
      <c r="B143" s="24" t="s">
        <v>930</v>
      </c>
      <c r="C143" s="24" t="s">
        <v>1011</v>
      </c>
      <c r="D143" t="str">
        <f t="shared" si="2"/>
        <v>no</v>
      </c>
    </row>
    <row r="144" spans="2:4" x14ac:dyDescent="0.25">
      <c r="B144" s="24" t="s">
        <v>1012</v>
      </c>
      <c r="C144" s="24" t="s">
        <v>1013</v>
      </c>
      <c r="D144" t="str">
        <f t="shared" si="2"/>
        <v>no</v>
      </c>
    </row>
    <row r="145" spans="2:4" x14ac:dyDescent="0.25">
      <c r="B145" s="24" t="s">
        <v>934</v>
      </c>
      <c r="C145" s="24" t="s">
        <v>1014</v>
      </c>
      <c r="D145" t="str">
        <f t="shared" si="2"/>
        <v>no</v>
      </c>
    </row>
    <row r="146" spans="2:4" x14ac:dyDescent="0.25">
      <c r="B146" s="24" t="s">
        <v>939</v>
      </c>
      <c r="C146" s="24" t="s">
        <v>1015</v>
      </c>
      <c r="D146" t="str">
        <f t="shared" si="2"/>
        <v>no</v>
      </c>
    </row>
    <row r="147" spans="2:4" x14ac:dyDescent="0.25">
      <c r="B147" s="24" t="s">
        <v>939</v>
      </c>
      <c r="C147" s="24" t="s">
        <v>1016</v>
      </c>
      <c r="D147" t="str">
        <f t="shared" si="2"/>
        <v>no</v>
      </c>
    </row>
    <row r="148" spans="2:4" x14ac:dyDescent="0.25">
      <c r="B148" s="24" t="s">
        <v>942</v>
      </c>
      <c r="C148" s="24" t="s">
        <v>1017</v>
      </c>
      <c r="D148" t="str">
        <f t="shared" si="2"/>
        <v>no</v>
      </c>
    </row>
    <row r="149" spans="2:4" x14ac:dyDescent="0.25">
      <c r="B149" s="24" t="s">
        <v>942</v>
      </c>
      <c r="C149" s="24" t="s">
        <v>1018</v>
      </c>
      <c r="D149" t="str">
        <f t="shared" si="2"/>
        <v>no</v>
      </c>
    </row>
    <row r="150" spans="2:4" x14ac:dyDescent="0.25">
      <c r="B150" s="24" t="s">
        <v>945</v>
      </c>
      <c r="C150" s="24" t="s">
        <v>1019</v>
      </c>
      <c r="D150" t="str">
        <f t="shared" si="2"/>
        <v>no</v>
      </c>
    </row>
    <row r="151" spans="2:4" x14ac:dyDescent="0.25">
      <c r="B151" s="24" t="s">
        <v>945</v>
      </c>
      <c r="C151" s="24" t="s">
        <v>1020</v>
      </c>
      <c r="D151" t="str">
        <f t="shared" si="2"/>
        <v>no</v>
      </c>
    </row>
    <row r="152" spans="2:4" x14ac:dyDescent="0.25">
      <c r="B152" s="24" t="s">
        <v>1021</v>
      </c>
      <c r="C152" s="24" t="s">
        <v>1022</v>
      </c>
      <c r="D152" t="str">
        <f t="shared" si="2"/>
        <v>no</v>
      </c>
    </row>
    <row r="153" spans="2:4" x14ac:dyDescent="0.25">
      <c r="B153" s="24" t="s">
        <v>950</v>
      </c>
      <c r="C153" s="24" t="s">
        <v>1023</v>
      </c>
      <c r="D153" t="str">
        <f t="shared" si="2"/>
        <v>no</v>
      </c>
    </row>
    <row r="154" spans="2:4" x14ac:dyDescent="0.25">
      <c r="B154" s="24" t="s">
        <v>953</v>
      </c>
      <c r="C154" s="24" t="s">
        <v>1024</v>
      </c>
      <c r="D154" t="str">
        <f t="shared" si="2"/>
        <v>no</v>
      </c>
    </row>
    <row r="155" spans="2:4" x14ac:dyDescent="0.25">
      <c r="B155" s="24" t="s">
        <v>956</v>
      </c>
      <c r="C155" s="24" t="s">
        <v>1025</v>
      </c>
      <c r="D155" t="str">
        <f t="shared" si="2"/>
        <v>no</v>
      </c>
    </row>
    <row r="156" spans="2:4" x14ac:dyDescent="0.25">
      <c r="B156" s="24" t="s">
        <v>1026</v>
      </c>
      <c r="C156" s="24" t="s">
        <v>1027</v>
      </c>
      <c r="D156" t="str">
        <f t="shared" si="2"/>
        <v>no</v>
      </c>
    </row>
    <row r="157" spans="2:4" x14ac:dyDescent="0.25">
      <c r="B157" s="24" t="s">
        <v>964</v>
      </c>
      <c r="C157" s="24" t="s">
        <v>1028</v>
      </c>
      <c r="D157" t="str">
        <f t="shared" si="2"/>
        <v>no</v>
      </c>
    </row>
    <row r="158" spans="2:4" x14ac:dyDescent="0.25">
      <c r="B158" s="24" t="s">
        <v>964</v>
      </c>
      <c r="C158" s="24" t="s">
        <v>1029</v>
      </c>
      <c r="D158" t="str">
        <f t="shared" si="2"/>
        <v>no</v>
      </c>
    </row>
    <row r="159" spans="2:4" x14ac:dyDescent="0.25">
      <c r="B159" s="24" t="s">
        <v>1030</v>
      </c>
      <c r="C159" s="24" t="s">
        <v>1031</v>
      </c>
      <c r="D159" t="str">
        <f t="shared" si="2"/>
        <v>no</v>
      </c>
    </row>
    <row r="160" spans="2:4" x14ac:dyDescent="0.25">
      <c r="B160" s="24" t="s">
        <v>1030</v>
      </c>
      <c r="C160" s="24" t="s">
        <v>1032</v>
      </c>
      <c r="D160" t="str">
        <f t="shared" si="2"/>
        <v>no</v>
      </c>
    </row>
    <row r="161" spans="2:4" x14ac:dyDescent="0.25">
      <c r="B161" s="24" t="s">
        <v>847</v>
      </c>
      <c r="C161" s="24" t="s">
        <v>1033</v>
      </c>
      <c r="D161" t="str">
        <f t="shared" si="2"/>
        <v>no</v>
      </c>
    </row>
    <row r="162" spans="2:4" x14ac:dyDescent="0.25">
      <c r="B162" s="24" t="s">
        <v>847</v>
      </c>
      <c r="C162" s="24" t="s">
        <v>1034</v>
      </c>
      <c r="D162" t="str">
        <f t="shared" si="2"/>
        <v>no</v>
      </c>
    </row>
    <row r="163" spans="2:4" x14ac:dyDescent="0.25">
      <c r="B163" s="24" t="s">
        <v>858</v>
      </c>
      <c r="C163" s="24" t="s">
        <v>1035</v>
      </c>
      <c r="D163" t="str">
        <f t="shared" si="2"/>
        <v>no</v>
      </c>
    </row>
    <row r="164" spans="2:4" x14ac:dyDescent="0.25">
      <c r="B164" s="24" t="s">
        <v>862</v>
      </c>
      <c r="C164" s="24" t="s">
        <v>1036</v>
      </c>
      <c r="D164" t="str">
        <f t="shared" si="2"/>
        <v>no</v>
      </c>
    </row>
    <row r="165" spans="2:4" x14ac:dyDescent="0.25">
      <c r="B165" s="24" t="s">
        <v>849</v>
      </c>
      <c r="C165" s="24" t="s">
        <v>1037</v>
      </c>
      <c r="D165" t="str">
        <f t="shared" si="2"/>
        <v>no</v>
      </c>
    </row>
    <row r="166" spans="2:4" x14ac:dyDescent="0.25">
      <c r="B166" s="24" t="s">
        <v>849</v>
      </c>
      <c r="C166" s="24" t="s">
        <v>1038</v>
      </c>
      <c r="D166" t="str">
        <f t="shared" si="2"/>
        <v>no</v>
      </c>
    </row>
    <row r="167" spans="2:4" x14ac:dyDescent="0.25">
      <c r="B167" s="24" t="s">
        <v>841</v>
      </c>
      <c r="C167" s="24" t="s">
        <v>1039</v>
      </c>
      <c r="D167" t="str">
        <f t="shared" si="2"/>
        <v>no</v>
      </c>
    </row>
    <row r="168" spans="2:4" x14ac:dyDescent="0.25">
      <c r="B168" s="24" t="s">
        <v>841</v>
      </c>
      <c r="C168" s="24" t="s">
        <v>1040</v>
      </c>
      <c r="D168" t="str">
        <f t="shared" si="2"/>
        <v>no</v>
      </c>
    </row>
    <row r="169" spans="2:4" x14ac:dyDescent="0.25">
      <c r="B169" s="24" t="s">
        <v>839</v>
      </c>
      <c r="C169" s="24" t="s">
        <v>1041</v>
      </c>
      <c r="D169" t="str">
        <f t="shared" si="2"/>
        <v>no</v>
      </c>
    </row>
    <row r="170" spans="2:4" x14ac:dyDescent="0.25">
      <c r="B170" s="24" t="s">
        <v>839</v>
      </c>
      <c r="C170" s="24" t="s">
        <v>1042</v>
      </c>
      <c r="D170" t="str">
        <f t="shared" si="2"/>
        <v>no</v>
      </c>
    </row>
    <row r="171" spans="2:4" x14ac:dyDescent="0.25">
      <c r="B171" s="24" t="s">
        <v>824</v>
      </c>
      <c r="C171" s="24" t="s">
        <v>1043</v>
      </c>
      <c r="D171" t="str">
        <f t="shared" si="2"/>
        <v>IO</v>
      </c>
    </row>
    <row r="172" spans="2:4" x14ac:dyDescent="0.25">
      <c r="B172" s="24" t="s">
        <v>824</v>
      </c>
      <c r="C172" s="24" t="s">
        <v>1044</v>
      </c>
      <c r="D172" t="str">
        <f t="shared" si="2"/>
        <v>IO</v>
      </c>
    </row>
    <row r="173" spans="2:4" x14ac:dyDescent="0.25">
      <c r="B173" s="24" t="s">
        <v>882</v>
      </c>
      <c r="C173" s="24" t="s">
        <v>1045</v>
      </c>
      <c r="D173" t="str">
        <f t="shared" si="2"/>
        <v>no</v>
      </c>
    </row>
    <row r="174" spans="2:4" x14ac:dyDescent="0.25">
      <c r="B174" s="24" t="s">
        <v>887</v>
      </c>
      <c r="C174" s="24" t="s">
        <v>1046</v>
      </c>
      <c r="D174" t="str">
        <f t="shared" si="2"/>
        <v>no</v>
      </c>
    </row>
    <row r="175" spans="2:4" x14ac:dyDescent="0.25">
      <c r="B175" s="24" t="s">
        <v>887</v>
      </c>
      <c r="C175" s="24" t="s">
        <v>1047</v>
      </c>
      <c r="D175" t="str">
        <f t="shared" si="2"/>
        <v>no</v>
      </c>
    </row>
    <row r="176" spans="2:4" x14ac:dyDescent="0.25">
      <c r="B176" s="24" t="s">
        <v>824</v>
      </c>
      <c r="C176" s="24" t="s">
        <v>1048</v>
      </c>
      <c r="D176" t="str">
        <f t="shared" si="2"/>
        <v>IO</v>
      </c>
    </row>
    <row r="177" spans="2:4" x14ac:dyDescent="0.25">
      <c r="B177" s="24" t="s">
        <v>824</v>
      </c>
      <c r="C177" s="24" t="s">
        <v>1049</v>
      </c>
      <c r="D177" t="str">
        <f t="shared" si="2"/>
        <v>IO</v>
      </c>
    </row>
    <row r="178" spans="2:4" x14ac:dyDescent="0.25">
      <c r="B178" s="24" t="s">
        <v>892</v>
      </c>
      <c r="C178" s="24" t="s">
        <v>1050</v>
      </c>
      <c r="D178" t="str">
        <f t="shared" si="2"/>
        <v>no</v>
      </c>
    </row>
    <row r="179" spans="2:4" x14ac:dyDescent="0.25">
      <c r="B179" s="24" t="s">
        <v>895</v>
      </c>
      <c r="C179" s="24" t="s">
        <v>1051</v>
      </c>
      <c r="D179" t="str">
        <f t="shared" si="2"/>
        <v>no</v>
      </c>
    </row>
    <row r="180" spans="2:4" x14ac:dyDescent="0.25">
      <c r="B180" s="24" t="s">
        <v>895</v>
      </c>
      <c r="C180" s="24" t="s">
        <v>1052</v>
      </c>
      <c r="D180" t="str">
        <f t="shared" si="2"/>
        <v>no</v>
      </c>
    </row>
    <row r="181" spans="2:4" x14ac:dyDescent="0.25">
      <c r="B181" s="24" t="s">
        <v>824</v>
      </c>
      <c r="C181" s="24" t="s">
        <v>1053</v>
      </c>
      <c r="D181" t="str">
        <f t="shared" si="2"/>
        <v>IO</v>
      </c>
    </row>
    <row r="182" spans="2:4" x14ac:dyDescent="0.25">
      <c r="B182" s="24" t="s">
        <v>824</v>
      </c>
      <c r="C182" s="24" t="s">
        <v>1054</v>
      </c>
      <c r="D182" t="str">
        <f t="shared" si="2"/>
        <v>IO</v>
      </c>
    </row>
    <row r="183" spans="2:4" x14ac:dyDescent="0.25">
      <c r="B183" s="24" t="s">
        <v>900</v>
      </c>
      <c r="C183" s="24" t="s">
        <v>1055</v>
      </c>
      <c r="D183" t="str">
        <f t="shared" si="2"/>
        <v>no</v>
      </c>
    </row>
    <row r="184" spans="2:4" x14ac:dyDescent="0.25">
      <c r="B184" s="24" t="s">
        <v>900</v>
      </c>
      <c r="C184" s="24" t="s">
        <v>1056</v>
      </c>
      <c r="D184" t="str">
        <f t="shared" si="2"/>
        <v>no</v>
      </c>
    </row>
    <row r="185" spans="2:4" x14ac:dyDescent="0.25">
      <c r="B185" s="24" t="s">
        <v>824</v>
      </c>
      <c r="C185" s="24" t="s">
        <v>1057</v>
      </c>
      <c r="D185" t="str">
        <f t="shared" si="2"/>
        <v>IO</v>
      </c>
    </row>
    <row r="186" spans="2:4" x14ac:dyDescent="0.25">
      <c r="B186" s="24" t="s">
        <v>908</v>
      </c>
      <c r="C186" s="24" t="s">
        <v>1058</v>
      </c>
      <c r="D186" t="str">
        <f t="shared" si="2"/>
        <v>no</v>
      </c>
    </row>
    <row r="187" spans="2:4" x14ac:dyDescent="0.25">
      <c r="B187" s="24" t="s">
        <v>824</v>
      </c>
      <c r="C187" s="24" t="s">
        <v>1059</v>
      </c>
      <c r="D187" t="str">
        <f t="shared" si="2"/>
        <v>IO</v>
      </c>
    </row>
    <row r="188" spans="2:4" x14ac:dyDescent="0.25">
      <c r="B188" s="24" t="s">
        <v>824</v>
      </c>
      <c r="C188" s="24" t="s">
        <v>1060</v>
      </c>
      <c r="D188" t="str">
        <f t="shared" si="2"/>
        <v>IO</v>
      </c>
    </row>
    <row r="189" spans="2:4" x14ac:dyDescent="0.25">
      <c r="B189" s="24" t="s">
        <v>910</v>
      </c>
      <c r="C189" s="24" t="s">
        <v>1061</v>
      </c>
      <c r="D189" t="str">
        <f t="shared" si="2"/>
        <v>no</v>
      </c>
    </row>
    <row r="190" spans="2:4" x14ac:dyDescent="0.25">
      <c r="B190" s="24" t="s">
        <v>824</v>
      </c>
      <c r="C190" s="24" t="s">
        <v>1062</v>
      </c>
      <c r="D190" t="str">
        <f t="shared" si="2"/>
        <v>IO</v>
      </c>
    </row>
    <row r="191" spans="2:4" x14ac:dyDescent="0.25">
      <c r="B191" s="24" t="s">
        <v>824</v>
      </c>
      <c r="C191" s="24" t="s">
        <v>1063</v>
      </c>
      <c r="D191" t="str">
        <f t="shared" si="2"/>
        <v>IO</v>
      </c>
    </row>
    <row r="192" spans="2:4" x14ac:dyDescent="0.25">
      <c r="B192" s="24" t="s">
        <v>1003</v>
      </c>
      <c r="C192" s="24" t="s">
        <v>1064</v>
      </c>
      <c r="D192" t="str">
        <f t="shared" si="2"/>
        <v>no</v>
      </c>
    </row>
    <row r="193" spans="2:4" x14ac:dyDescent="0.25">
      <c r="B193" s="24" t="s">
        <v>1003</v>
      </c>
      <c r="C193" s="24" t="s">
        <v>1065</v>
      </c>
      <c r="D193" t="str">
        <f t="shared" si="2"/>
        <v>no</v>
      </c>
    </row>
    <row r="194" spans="2:4" x14ac:dyDescent="0.25">
      <c r="B194" s="24" t="s">
        <v>824</v>
      </c>
      <c r="C194" s="24" t="s">
        <v>1066</v>
      </c>
      <c r="D194" t="str">
        <f t="shared" si="2"/>
        <v>IO</v>
      </c>
    </row>
    <row r="195" spans="2:4" x14ac:dyDescent="0.25">
      <c r="B195" s="24" t="s">
        <v>824</v>
      </c>
      <c r="C195" s="24" t="s">
        <v>1067</v>
      </c>
      <c r="D195" t="str">
        <f t="shared" ref="D195:D258" si="3">+IF(OR(B195="Transmitters",B195="DI"),"IO","no")</f>
        <v>IO</v>
      </c>
    </row>
    <row r="196" spans="2:4" x14ac:dyDescent="0.25">
      <c r="B196" s="24" t="s">
        <v>920</v>
      </c>
      <c r="C196" s="24" t="s">
        <v>1068</v>
      </c>
      <c r="D196" t="str">
        <f t="shared" si="3"/>
        <v>no</v>
      </c>
    </row>
    <row r="197" spans="2:4" x14ac:dyDescent="0.25">
      <c r="B197" s="24" t="s">
        <v>920</v>
      </c>
      <c r="C197" s="24" t="s">
        <v>1069</v>
      </c>
      <c r="D197" t="str">
        <f t="shared" si="3"/>
        <v>no</v>
      </c>
    </row>
    <row r="198" spans="2:4" x14ac:dyDescent="0.25">
      <c r="B198" s="24" t="s">
        <v>824</v>
      </c>
      <c r="C198" s="24" t="s">
        <v>1070</v>
      </c>
      <c r="D198" t="str">
        <f t="shared" si="3"/>
        <v>IO</v>
      </c>
    </row>
    <row r="199" spans="2:4" x14ac:dyDescent="0.25">
      <c r="B199" s="24" t="s">
        <v>928</v>
      </c>
      <c r="C199" s="24" t="s">
        <v>1071</v>
      </c>
      <c r="D199" t="str">
        <f t="shared" si="3"/>
        <v>no</v>
      </c>
    </row>
    <row r="200" spans="2:4" x14ac:dyDescent="0.25">
      <c r="B200" s="24" t="s">
        <v>824</v>
      </c>
      <c r="C200" s="24" t="s">
        <v>1072</v>
      </c>
      <c r="D200" t="str">
        <f t="shared" si="3"/>
        <v>IO</v>
      </c>
    </row>
    <row r="201" spans="2:4" x14ac:dyDescent="0.25">
      <c r="B201" s="24" t="s">
        <v>824</v>
      </c>
      <c r="C201" s="24" t="s">
        <v>1073</v>
      </c>
      <c r="D201" t="str">
        <f t="shared" si="3"/>
        <v>IO</v>
      </c>
    </row>
    <row r="202" spans="2:4" x14ac:dyDescent="0.25">
      <c r="B202" s="24" t="s">
        <v>930</v>
      </c>
      <c r="C202" s="24" t="s">
        <v>1074</v>
      </c>
      <c r="D202" t="str">
        <f t="shared" si="3"/>
        <v>no</v>
      </c>
    </row>
    <row r="203" spans="2:4" x14ac:dyDescent="0.25">
      <c r="B203" s="24" t="s">
        <v>824</v>
      </c>
      <c r="C203" s="24" t="s">
        <v>1075</v>
      </c>
      <c r="D203" t="str">
        <f t="shared" si="3"/>
        <v>IO</v>
      </c>
    </row>
    <row r="204" spans="2:4" x14ac:dyDescent="0.25">
      <c r="B204" s="24" t="s">
        <v>824</v>
      </c>
      <c r="C204" s="24" t="s">
        <v>1076</v>
      </c>
      <c r="D204" t="str">
        <f t="shared" si="3"/>
        <v>IO</v>
      </c>
    </row>
    <row r="205" spans="2:4" x14ac:dyDescent="0.25">
      <c r="B205" s="24" t="s">
        <v>1012</v>
      </c>
      <c r="C205" s="24" t="s">
        <v>1077</v>
      </c>
      <c r="D205" t="str">
        <f t="shared" si="3"/>
        <v>no</v>
      </c>
    </row>
    <row r="206" spans="2:4" x14ac:dyDescent="0.25">
      <c r="B206" s="24" t="s">
        <v>1012</v>
      </c>
      <c r="C206" s="24" t="s">
        <v>1078</v>
      </c>
      <c r="D206" t="str">
        <f t="shared" si="3"/>
        <v>no</v>
      </c>
    </row>
    <row r="207" spans="2:4" x14ac:dyDescent="0.25">
      <c r="B207" s="24" t="s">
        <v>824</v>
      </c>
      <c r="C207" s="24" t="s">
        <v>1079</v>
      </c>
      <c r="D207" t="str">
        <f t="shared" si="3"/>
        <v>IO</v>
      </c>
    </row>
    <row r="208" spans="2:4" x14ac:dyDescent="0.25">
      <c r="B208" s="24" t="s">
        <v>824</v>
      </c>
      <c r="C208" s="24" t="s">
        <v>1080</v>
      </c>
      <c r="D208" t="str">
        <f t="shared" si="3"/>
        <v>IO</v>
      </c>
    </row>
    <row r="209" spans="2:4" x14ac:dyDescent="0.25">
      <c r="B209" s="24" t="s">
        <v>922</v>
      </c>
      <c r="C209" s="24" t="s">
        <v>1081</v>
      </c>
      <c r="D209" t="str">
        <f t="shared" si="3"/>
        <v>no</v>
      </c>
    </row>
    <row r="210" spans="2:4" x14ac:dyDescent="0.25">
      <c r="B210" s="24" t="s">
        <v>922</v>
      </c>
      <c r="C210" s="24" t="s">
        <v>1082</v>
      </c>
      <c r="D210" t="str">
        <f t="shared" si="3"/>
        <v>no</v>
      </c>
    </row>
    <row r="211" spans="2:4" x14ac:dyDescent="0.25">
      <c r="B211" s="24" t="s">
        <v>824</v>
      </c>
      <c r="C211" s="24" t="s">
        <v>1083</v>
      </c>
      <c r="D211" t="str">
        <f t="shared" si="3"/>
        <v>IO</v>
      </c>
    </row>
    <row r="212" spans="2:4" x14ac:dyDescent="0.25">
      <c r="B212" s="24" t="s">
        <v>824</v>
      </c>
      <c r="C212" s="24" t="s">
        <v>1084</v>
      </c>
      <c r="D212" t="str">
        <f t="shared" si="3"/>
        <v>IO</v>
      </c>
    </row>
    <row r="213" spans="2:4" x14ac:dyDescent="0.25">
      <c r="B213" s="24" t="s">
        <v>942</v>
      </c>
      <c r="C213" s="24" t="s">
        <v>1085</v>
      </c>
      <c r="D213" t="str">
        <f t="shared" si="3"/>
        <v>no</v>
      </c>
    </row>
    <row r="214" spans="2:4" x14ac:dyDescent="0.25">
      <c r="B214" s="24" t="s">
        <v>824</v>
      </c>
      <c r="C214" s="24" t="s">
        <v>1086</v>
      </c>
      <c r="D214" t="str">
        <f t="shared" si="3"/>
        <v>IO</v>
      </c>
    </row>
    <row r="215" spans="2:4" x14ac:dyDescent="0.25">
      <c r="B215" s="24" t="s">
        <v>824</v>
      </c>
      <c r="C215" s="24" t="s">
        <v>1087</v>
      </c>
      <c r="D215" t="str">
        <f t="shared" si="3"/>
        <v>IO</v>
      </c>
    </row>
    <row r="216" spans="2:4" x14ac:dyDescent="0.25">
      <c r="B216" s="24" t="s">
        <v>945</v>
      </c>
      <c r="C216" s="24" t="s">
        <v>1088</v>
      </c>
      <c r="D216" t="str">
        <f t="shared" si="3"/>
        <v>no</v>
      </c>
    </row>
    <row r="217" spans="2:4" x14ac:dyDescent="0.25">
      <c r="B217" s="24" t="s">
        <v>824</v>
      </c>
      <c r="C217" s="24" t="s">
        <v>1089</v>
      </c>
      <c r="D217" t="str">
        <f t="shared" si="3"/>
        <v>IO</v>
      </c>
    </row>
    <row r="218" spans="2:4" x14ac:dyDescent="0.25">
      <c r="B218" s="24" t="s">
        <v>824</v>
      </c>
      <c r="C218" s="24" t="s">
        <v>1090</v>
      </c>
      <c r="D218" t="str">
        <f t="shared" si="3"/>
        <v>IO</v>
      </c>
    </row>
    <row r="219" spans="2:4" x14ac:dyDescent="0.25">
      <c r="B219" s="24" t="s">
        <v>1021</v>
      </c>
      <c r="C219" s="24" t="s">
        <v>1091</v>
      </c>
      <c r="D219" t="str">
        <f t="shared" si="3"/>
        <v>no</v>
      </c>
    </row>
    <row r="220" spans="2:4" x14ac:dyDescent="0.25">
      <c r="B220" s="24" t="s">
        <v>1021</v>
      </c>
      <c r="C220" s="24" t="s">
        <v>1092</v>
      </c>
      <c r="D220" t="str">
        <f t="shared" si="3"/>
        <v>no</v>
      </c>
    </row>
    <row r="221" spans="2:4" x14ac:dyDescent="0.25">
      <c r="B221" s="24" t="s">
        <v>824</v>
      </c>
      <c r="C221" s="24" t="s">
        <v>1093</v>
      </c>
      <c r="D221" t="str">
        <f t="shared" si="3"/>
        <v>IO</v>
      </c>
    </row>
    <row r="222" spans="2:4" x14ac:dyDescent="0.25">
      <c r="B222" s="24" t="s">
        <v>824</v>
      </c>
      <c r="C222" s="24" t="s">
        <v>1094</v>
      </c>
      <c r="D222" t="str">
        <f t="shared" si="3"/>
        <v>IO</v>
      </c>
    </row>
    <row r="223" spans="2:4" x14ac:dyDescent="0.25">
      <c r="B223" s="24" t="s">
        <v>953</v>
      </c>
      <c r="C223" s="24" t="s">
        <v>1095</v>
      </c>
      <c r="D223" t="str">
        <f t="shared" si="3"/>
        <v>no</v>
      </c>
    </row>
    <row r="224" spans="2:4" x14ac:dyDescent="0.25">
      <c r="B224" s="24" t="s">
        <v>953</v>
      </c>
      <c r="C224" s="24" t="s">
        <v>1096</v>
      </c>
      <c r="D224" t="str">
        <f t="shared" si="3"/>
        <v>no</v>
      </c>
    </row>
    <row r="225" spans="2:4" x14ac:dyDescent="0.25">
      <c r="B225" s="24" t="s">
        <v>824</v>
      </c>
      <c r="C225" s="24" t="s">
        <v>1097</v>
      </c>
      <c r="D225" t="str">
        <f t="shared" si="3"/>
        <v>IO</v>
      </c>
    </row>
    <row r="226" spans="2:4" x14ac:dyDescent="0.25">
      <c r="B226" s="24" t="s">
        <v>956</v>
      </c>
      <c r="C226" s="24" t="s">
        <v>1098</v>
      </c>
      <c r="D226" t="str">
        <f t="shared" si="3"/>
        <v>no</v>
      </c>
    </row>
    <row r="227" spans="2:4" x14ac:dyDescent="0.25">
      <c r="B227" s="24" t="s">
        <v>956</v>
      </c>
      <c r="C227" s="24" t="s">
        <v>1099</v>
      </c>
      <c r="D227" t="str">
        <f t="shared" si="3"/>
        <v>no</v>
      </c>
    </row>
    <row r="228" spans="2:4" x14ac:dyDescent="0.25">
      <c r="B228" s="24" t="s">
        <v>824</v>
      </c>
      <c r="C228" s="24" t="s">
        <v>1100</v>
      </c>
      <c r="D228" t="str">
        <f t="shared" si="3"/>
        <v>IO</v>
      </c>
    </row>
    <row r="229" spans="2:4" x14ac:dyDescent="0.25">
      <c r="B229" s="24" t="s">
        <v>1026</v>
      </c>
      <c r="C229" s="24" t="s">
        <v>1101</v>
      </c>
      <c r="D229" t="str">
        <f t="shared" si="3"/>
        <v>no</v>
      </c>
    </row>
    <row r="230" spans="2:4" x14ac:dyDescent="0.25">
      <c r="B230" s="24" t="s">
        <v>1102</v>
      </c>
      <c r="C230" s="24" t="s">
        <v>1103</v>
      </c>
      <c r="D230" t="str">
        <f t="shared" si="3"/>
        <v>no</v>
      </c>
    </row>
    <row r="231" spans="2:4" x14ac:dyDescent="0.25">
      <c r="B231" s="24" t="s">
        <v>1102</v>
      </c>
      <c r="C231" s="24" t="s">
        <v>1104</v>
      </c>
      <c r="D231" t="str">
        <f t="shared" si="3"/>
        <v>no</v>
      </c>
    </row>
    <row r="232" spans="2:4" x14ac:dyDescent="0.25">
      <c r="B232" s="24" t="s">
        <v>824</v>
      </c>
      <c r="C232" s="24" t="s">
        <v>1105</v>
      </c>
      <c r="D232" t="str">
        <f t="shared" si="3"/>
        <v>IO</v>
      </c>
    </row>
    <row r="233" spans="2:4" x14ac:dyDescent="0.25">
      <c r="B233" s="24" t="s">
        <v>847</v>
      </c>
      <c r="C233" s="24" t="s">
        <v>1106</v>
      </c>
      <c r="D233" t="str">
        <f t="shared" si="3"/>
        <v>no</v>
      </c>
    </row>
    <row r="234" spans="2:4" x14ac:dyDescent="0.25">
      <c r="B234" s="24" t="s">
        <v>847</v>
      </c>
      <c r="C234" s="24" t="s">
        <v>1107</v>
      </c>
      <c r="D234" t="str">
        <f t="shared" si="3"/>
        <v>no</v>
      </c>
    </row>
    <row r="235" spans="2:4" x14ac:dyDescent="0.25">
      <c r="B235" s="24" t="s">
        <v>858</v>
      </c>
      <c r="C235" s="24" t="s">
        <v>1108</v>
      </c>
      <c r="D235" t="str">
        <f t="shared" si="3"/>
        <v>no</v>
      </c>
    </row>
    <row r="236" spans="2:4" x14ac:dyDescent="0.25">
      <c r="B236" s="24" t="s">
        <v>862</v>
      </c>
      <c r="C236" s="24" t="s">
        <v>1109</v>
      </c>
      <c r="D236" t="str">
        <f t="shared" si="3"/>
        <v>no</v>
      </c>
    </row>
    <row r="237" spans="2:4" x14ac:dyDescent="0.25">
      <c r="B237" s="24" t="s">
        <v>849</v>
      </c>
      <c r="C237" s="24" t="s">
        <v>1110</v>
      </c>
      <c r="D237" t="str">
        <f t="shared" si="3"/>
        <v>no</v>
      </c>
    </row>
    <row r="238" spans="2:4" x14ac:dyDescent="0.25">
      <c r="B238" s="24" t="s">
        <v>849</v>
      </c>
      <c r="C238" s="24" t="s">
        <v>1111</v>
      </c>
      <c r="D238" t="str">
        <f t="shared" si="3"/>
        <v>no</v>
      </c>
    </row>
    <row r="239" spans="2:4" x14ac:dyDescent="0.25">
      <c r="B239" s="24" t="s">
        <v>841</v>
      </c>
      <c r="C239" s="24" t="s">
        <v>1112</v>
      </c>
      <c r="D239" t="str">
        <f t="shared" si="3"/>
        <v>no</v>
      </c>
    </row>
    <row r="240" spans="2:4" x14ac:dyDescent="0.25">
      <c r="B240" s="24" t="s">
        <v>841</v>
      </c>
      <c r="C240" s="24" t="s">
        <v>1113</v>
      </c>
      <c r="D240" t="str">
        <f t="shared" si="3"/>
        <v>no</v>
      </c>
    </row>
    <row r="241" spans="2:4" x14ac:dyDescent="0.25">
      <c r="B241" s="24" t="s">
        <v>839</v>
      </c>
      <c r="C241" s="24" t="s">
        <v>1114</v>
      </c>
      <c r="D241" t="str">
        <f t="shared" si="3"/>
        <v>no</v>
      </c>
    </row>
    <row r="242" spans="2:4" x14ac:dyDescent="0.25">
      <c r="B242" s="24" t="s">
        <v>839</v>
      </c>
      <c r="C242" s="24" t="s">
        <v>1115</v>
      </c>
      <c r="D242" t="str">
        <f t="shared" si="3"/>
        <v>no</v>
      </c>
    </row>
    <row r="243" spans="2:4" x14ac:dyDescent="0.25">
      <c r="B243" s="24" t="s">
        <v>882</v>
      </c>
      <c r="C243" s="24" t="s">
        <v>1116</v>
      </c>
      <c r="D243" t="str">
        <f t="shared" si="3"/>
        <v>no</v>
      </c>
    </row>
    <row r="244" spans="2:4" x14ac:dyDescent="0.25">
      <c r="B244" s="24" t="s">
        <v>887</v>
      </c>
      <c r="C244" s="24" t="s">
        <v>1117</v>
      </c>
      <c r="D244" t="str">
        <f t="shared" si="3"/>
        <v>no</v>
      </c>
    </row>
    <row r="245" spans="2:4" x14ac:dyDescent="0.25">
      <c r="B245" s="24" t="s">
        <v>887</v>
      </c>
      <c r="C245" s="24" t="s">
        <v>1118</v>
      </c>
      <c r="D245" t="str">
        <f t="shared" si="3"/>
        <v>no</v>
      </c>
    </row>
    <row r="246" spans="2:4" x14ac:dyDescent="0.25">
      <c r="B246" s="24" t="s">
        <v>892</v>
      </c>
      <c r="C246" s="24" t="s">
        <v>1119</v>
      </c>
      <c r="D246" t="str">
        <f t="shared" si="3"/>
        <v>no</v>
      </c>
    </row>
    <row r="247" spans="2:4" x14ac:dyDescent="0.25">
      <c r="B247" s="24" t="s">
        <v>895</v>
      </c>
      <c r="C247" s="24" t="s">
        <v>1120</v>
      </c>
      <c r="D247" t="str">
        <f t="shared" si="3"/>
        <v>no</v>
      </c>
    </row>
    <row r="248" spans="2:4" x14ac:dyDescent="0.25">
      <c r="B248" s="24" t="s">
        <v>895</v>
      </c>
      <c r="C248" s="24" t="s">
        <v>1121</v>
      </c>
      <c r="D248" t="str">
        <f t="shared" si="3"/>
        <v>no</v>
      </c>
    </row>
    <row r="249" spans="2:4" x14ac:dyDescent="0.25">
      <c r="B249" s="24" t="s">
        <v>900</v>
      </c>
      <c r="C249" s="24" t="s">
        <v>1122</v>
      </c>
      <c r="D249" t="str">
        <f t="shared" si="3"/>
        <v>no</v>
      </c>
    </row>
    <row r="250" spans="2:4" x14ac:dyDescent="0.25">
      <c r="B250" s="24" t="s">
        <v>900</v>
      </c>
      <c r="C250" s="24" t="s">
        <v>1123</v>
      </c>
      <c r="D250" t="str">
        <f t="shared" si="3"/>
        <v>no</v>
      </c>
    </row>
    <row r="251" spans="2:4" x14ac:dyDescent="0.25">
      <c r="B251" s="24" t="s">
        <v>910</v>
      </c>
      <c r="C251" s="24" t="s">
        <v>1124</v>
      </c>
      <c r="D251" t="str">
        <f t="shared" si="3"/>
        <v>no</v>
      </c>
    </row>
    <row r="252" spans="2:4" x14ac:dyDescent="0.25">
      <c r="B252" s="24" t="s">
        <v>1003</v>
      </c>
      <c r="C252" s="24" t="s">
        <v>1125</v>
      </c>
      <c r="D252" t="str">
        <f t="shared" si="3"/>
        <v>no</v>
      </c>
    </row>
    <row r="253" spans="2:4" x14ac:dyDescent="0.25">
      <c r="B253" s="24" t="s">
        <v>1003</v>
      </c>
      <c r="C253" s="24" t="s">
        <v>1126</v>
      </c>
      <c r="D253" t="str">
        <f t="shared" si="3"/>
        <v>no</v>
      </c>
    </row>
    <row r="254" spans="2:4" x14ac:dyDescent="0.25">
      <c r="B254" s="24" t="s">
        <v>920</v>
      </c>
      <c r="C254" s="24" t="s">
        <v>1127</v>
      </c>
      <c r="D254" t="str">
        <f t="shared" si="3"/>
        <v>no</v>
      </c>
    </row>
    <row r="255" spans="2:4" x14ac:dyDescent="0.25">
      <c r="B255" s="24" t="s">
        <v>920</v>
      </c>
      <c r="C255" s="24" t="s">
        <v>1128</v>
      </c>
      <c r="D255" t="str">
        <f t="shared" si="3"/>
        <v>no</v>
      </c>
    </row>
    <row r="256" spans="2:4" x14ac:dyDescent="0.25">
      <c r="B256" s="24" t="s">
        <v>930</v>
      </c>
      <c r="C256" s="24" t="s">
        <v>1129</v>
      </c>
      <c r="D256" t="str">
        <f t="shared" si="3"/>
        <v>no</v>
      </c>
    </row>
    <row r="257" spans="2:4" x14ac:dyDescent="0.25">
      <c r="B257" s="24" t="s">
        <v>1012</v>
      </c>
      <c r="C257" s="24" t="s">
        <v>1130</v>
      </c>
      <c r="D257" t="str">
        <f t="shared" si="3"/>
        <v>no</v>
      </c>
    </row>
    <row r="258" spans="2:4" x14ac:dyDescent="0.25">
      <c r="B258" s="24" t="s">
        <v>1012</v>
      </c>
      <c r="C258" s="24" t="s">
        <v>1131</v>
      </c>
      <c r="D258" t="str">
        <f t="shared" si="3"/>
        <v>no</v>
      </c>
    </row>
    <row r="259" spans="2:4" x14ac:dyDescent="0.25">
      <c r="B259" s="24" t="s">
        <v>922</v>
      </c>
      <c r="C259" s="24" t="s">
        <v>1132</v>
      </c>
      <c r="D259" t="str">
        <f t="shared" ref="D259:D322" si="4">+IF(OR(B259="Transmitters",B259="DI"),"IO","no")</f>
        <v>no</v>
      </c>
    </row>
    <row r="260" spans="2:4" x14ac:dyDescent="0.25">
      <c r="B260" s="24" t="s">
        <v>922</v>
      </c>
      <c r="C260" s="24" t="s">
        <v>1133</v>
      </c>
      <c r="D260" t="str">
        <f t="shared" si="4"/>
        <v>no</v>
      </c>
    </row>
    <row r="261" spans="2:4" x14ac:dyDescent="0.25">
      <c r="B261" s="24" t="s">
        <v>945</v>
      </c>
      <c r="C261" s="24" t="s">
        <v>1134</v>
      </c>
      <c r="D261" t="str">
        <f t="shared" si="4"/>
        <v>no</v>
      </c>
    </row>
    <row r="262" spans="2:4" x14ac:dyDescent="0.25">
      <c r="B262" s="24" t="s">
        <v>1021</v>
      </c>
      <c r="C262" s="24" t="s">
        <v>1135</v>
      </c>
      <c r="D262" t="str">
        <f t="shared" si="4"/>
        <v>no</v>
      </c>
    </row>
    <row r="263" spans="2:4" x14ac:dyDescent="0.25">
      <c r="B263" s="24" t="s">
        <v>1021</v>
      </c>
      <c r="C263" s="24" t="s">
        <v>1136</v>
      </c>
      <c r="D263" t="str">
        <f t="shared" si="4"/>
        <v>no</v>
      </c>
    </row>
    <row r="264" spans="2:4" x14ac:dyDescent="0.25">
      <c r="B264" s="24" t="s">
        <v>953</v>
      </c>
      <c r="C264" s="24" t="s">
        <v>1137</v>
      </c>
      <c r="D264" t="str">
        <f t="shared" si="4"/>
        <v>no</v>
      </c>
    </row>
    <row r="265" spans="2:4" x14ac:dyDescent="0.25">
      <c r="B265" s="24" t="s">
        <v>953</v>
      </c>
      <c r="C265" s="24" t="s">
        <v>1138</v>
      </c>
      <c r="D265" t="str">
        <f t="shared" si="4"/>
        <v>no</v>
      </c>
    </row>
    <row r="266" spans="2:4" x14ac:dyDescent="0.25">
      <c r="B266" s="24" t="s">
        <v>956</v>
      </c>
      <c r="C266" s="24" t="s">
        <v>1139</v>
      </c>
      <c r="D266" t="str">
        <f t="shared" si="4"/>
        <v>no</v>
      </c>
    </row>
    <row r="267" spans="2:4" x14ac:dyDescent="0.25">
      <c r="B267" s="24" t="s">
        <v>956</v>
      </c>
      <c r="C267" s="24" t="s">
        <v>1140</v>
      </c>
      <c r="D267" t="str">
        <f t="shared" si="4"/>
        <v>no</v>
      </c>
    </row>
    <row r="268" spans="2:4" x14ac:dyDescent="0.25">
      <c r="B268" s="24" t="s">
        <v>1026</v>
      </c>
      <c r="C268" s="24" t="s">
        <v>1141</v>
      </c>
      <c r="D268" t="str">
        <f t="shared" si="4"/>
        <v>no</v>
      </c>
    </row>
    <row r="269" spans="2:4" x14ac:dyDescent="0.25">
      <c r="B269" s="24" t="s">
        <v>1102</v>
      </c>
      <c r="C269" s="24" t="s">
        <v>1142</v>
      </c>
      <c r="D269" t="str">
        <f t="shared" si="4"/>
        <v>no</v>
      </c>
    </row>
    <row r="270" spans="2:4" x14ac:dyDescent="0.25">
      <c r="B270" s="24" t="s">
        <v>1102</v>
      </c>
      <c r="C270" s="24" t="s">
        <v>1143</v>
      </c>
      <c r="D270" t="str">
        <f t="shared" si="4"/>
        <v>no</v>
      </c>
    </row>
    <row r="271" spans="2:4" x14ac:dyDescent="0.25">
      <c r="B271" s="24" t="s">
        <v>847</v>
      </c>
      <c r="C271" s="24" t="s">
        <v>1144</v>
      </c>
      <c r="D271" t="str">
        <f t="shared" si="4"/>
        <v>no</v>
      </c>
    </row>
    <row r="272" spans="2:4" x14ac:dyDescent="0.25">
      <c r="B272" s="24" t="s">
        <v>847</v>
      </c>
      <c r="C272" s="24" t="s">
        <v>1145</v>
      </c>
      <c r="D272" t="str">
        <f t="shared" si="4"/>
        <v>no</v>
      </c>
    </row>
    <row r="273" spans="2:4" x14ac:dyDescent="0.25">
      <c r="B273" s="24" t="s">
        <v>895</v>
      </c>
      <c r="C273" s="24" t="s">
        <v>1146</v>
      </c>
      <c r="D273" t="str">
        <f t="shared" si="4"/>
        <v>no</v>
      </c>
    </row>
    <row r="274" spans="2:4" x14ac:dyDescent="0.25">
      <c r="B274" s="24" t="s">
        <v>1003</v>
      </c>
      <c r="C274" s="24" t="s">
        <v>1147</v>
      </c>
      <c r="D274" t="str">
        <f t="shared" si="4"/>
        <v>no</v>
      </c>
    </row>
    <row r="275" spans="2:4" x14ac:dyDescent="0.25">
      <c r="B275" s="24" t="s">
        <v>1012</v>
      </c>
      <c r="C275" s="24" t="s">
        <v>1148</v>
      </c>
      <c r="D275" t="str">
        <f t="shared" si="4"/>
        <v>no</v>
      </c>
    </row>
    <row r="276" spans="2:4" x14ac:dyDescent="0.25">
      <c r="B276" s="24" t="s">
        <v>1021</v>
      </c>
      <c r="C276" s="24" t="s">
        <v>1149</v>
      </c>
      <c r="D276" t="str">
        <f t="shared" si="4"/>
        <v>no</v>
      </c>
    </row>
    <row r="277" spans="2:4" x14ac:dyDescent="0.25">
      <c r="B277" s="24" t="s">
        <v>953</v>
      </c>
      <c r="C277" s="24" t="s">
        <v>1150</v>
      </c>
      <c r="D277" t="str">
        <f t="shared" si="4"/>
        <v>no</v>
      </c>
    </row>
    <row r="278" spans="2:4" x14ac:dyDescent="0.25">
      <c r="B278" s="24" t="s">
        <v>956</v>
      </c>
      <c r="C278" s="24" t="s">
        <v>1151</v>
      </c>
      <c r="D278" t="str">
        <f t="shared" si="4"/>
        <v>no</v>
      </c>
    </row>
    <row r="279" spans="2:4" x14ac:dyDescent="0.25">
      <c r="B279" s="24" t="s">
        <v>967</v>
      </c>
      <c r="C279" s="24" t="s">
        <v>1152</v>
      </c>
      <c r="D279" t="str">
        <f t="shared" si="4"/>
        <v>no</v>
      </c>
    </row>
    <row r="280" spans="2:4" x14ac:dyDescent="0.25">
      <c r="B280" s="24" t="s">
        <v>849</v>
      </c>
      <c r="C280" s="24" t="s">
        <v>1153</v>
      </c>
      <c r="D280" t="str">
        <f t="shared" si="4"/>
        <v>no</v>
      </c>
    </row>
    <row r="281" spans="2:4" x14ac:dyDescent="0.25">
      <c r="B281" s="24" t="s">
        <v>841</v>
      </c>
      <c r="C281" s="24" t="s">
        <v>1154</v>
      </c>
      <c r="D281" t="str">
        <f t="shared" si="4"/>
        <v>no</v>
      </c>
    </row>
    <row r="282" spans="2:4" x14ac:dyDescent="0.25">
      <c r="B282" s="24" t="s">
        <v>862</v>
      </c>
      <c r="C282" s="24" t="s">
        <v>1155</v>
      </c>
      <c r="D282" t="str">
        <f t="shared" si="4"/>
        <v>no</v>
      </c>
    </row>
    <row r="283" spans="2:4" x14ac:dyDescent="0.25">
      <c r="B283" s="24" t="s">
        <v>864</v>
      </c>
      <c r="C283" s="24" t="s">
        <v>1156</v>
      </c>
      <c r="D283" t="str">
        <f t="shared" si="4"/>
        <v>no</v>
      </c>
    </row>
    <row r="284" spans="2:4" x14ac:dyDescent="0.25">
      <c r="B284" s="24" t="s">
        <v>853</v>
      </c>
      <c r="C284" s="24" t="s">
        <v>1157</v>
      </c>
      <c r="D284" t="str">
        <f t="shared" si="4"/>
        <v>no</v>
      </c>
    </row>
    <row r="285" spans="2:4" x14ac:dyDescent="0.25">
      <c r="B285" s="24" t="s">
        <v>869</v>
      </c>
      <c r="C285" s="24" t="s">
        <v>1158</v>
      </c>
      <c r="D285" t="str">
        <f t="shared" si="4"/>
        <v>no</v>
      </c>
    </row>
    <row r="286" spans="2:4" x14ac:dyDescent="0.25">
      <c r="B286" s="24" t="s">
        <v>869</v>
      </c>
      <c r="C286" s="24" t="s">
        <v>1159</v>
      </c>
      <c r="D286" t="str">
        <f t="shared" si="4"/>
        <v>no</v>
      </c>
    </row>
    <row r="287" spans="2:4" x14ac:dyDescent="0.25">
      <c r="B287" s="24" t="s">
        <v>869</v>
      </c>
      <c r="C287" s="24" t="s">
        <v>1160</v>
      </c>
      <c r="D287" t="str">
        <f t="shared" si="4"/>
        <v>no</v>
      </c>
    </row>
    <row r="288" spans="2:4" x14ac:dyDescent="0.25">
      <c r="B288" s="24" t="s">
        <v>864</v>
      </c>
      <c r="C288" s="24" t="s">
        <v>1161</v>
      </c>
      <c r="D288" t="str">
        <f t="shared" si="4"/>
        <v>no</v>
      </c>
    </row>
    <row r="289" spans="2:4" x14ac:dyDescent="0.25">
      <c r="B289" s="24" t="s">
        <v>1162</v>
      </c>
      <c r="C289" s="24" t="s">
        <v>1163</v>
      </c>
      <c r="D289" t="str">
        <f t="shared" si="4"/>
        <v>no</v>
      </c>
    </row>
    <row r="290" spans="2:4" x14ac:dyDescent="0.25">
      <c r="B290" s="24" t="s">
        <v>882</v>
      </c>
      <c r="C290" s="24" t="s">
        <v>1164</v>
      </c>
      <c r="D290" t="str">
        <f t="shared" si="4"/>
        <v>no</v>
      </c>
    </row>
    <row r="291" spans="2:4" x14ac:dyDescent="0.25">
      <c r="B291" s="24" t="s">
        <v>887</v>
      </c>
      <c r="C291" s="24" t="s">
        <v>1165</v>
      </c>
      <c r="D291" t="str">
        <f t="shared" si="4"/>
        <v>no</v>
      </c>
    </row>
    <row r="292" spans="2:4" x14ac:dyDescent="0.25">
      <c r="B292" s="24" t="s">
        <v>887</v>
      </c>
      <c r="C292" s="24" t="s">
        <v>1166</v>
      </c>
      <c r="D292" t="str">
        <f t="shared" si="4"/>
        <v>no</v>
      </c>
    </row>
    <row r="293" spans="2:4" x14ac:dyDescent="0.25">
      <c r="B293" s="24" t="s">
        <v>885</v>
      </c>
      <c r="C293" s="24" t="s">
        <v>1167</v>
      </c>
      <c r="D293" t="str">
        <f t="shared" si="4"/>
        <v>no</v>
      </c>
    </row>
    <row r="294" spans="2:4" x14ac:dyDescent="0.25">
      <c r="B294" s="24" t="s">
        <v>892</v>
      </c>
      <c r="C294" s="24" t="s">
        <v>1168</v>
      </c>
      <c r="D294" t="str">
        <f t="shared" si="4"/>
        <v>no</v>
      </c>
    </row>
    <row r="295" spans="2:4" x14ac:dyDescent="0.25">
      <c r="B295" s="24" t="s">
        <v>898</v>
      </c>
      <c r="C295" s="24" t="s">
        <v>1169</v>
      </c>
      <c r="D295" t="str">
        <f t="shared" si="4"/>
        <v>no</v>
      </c>
    </row>
    <row r="296" spans="2:4" x14ac:dyDescent="0.25">
      <c r="B296" s="24" t="s">
        <v>900</v>
      </c>
      <c r="C296" s="24" t="s">
        <v>1170</v>
      </c>
      <c r="D296" t="str">
        <f t="shared" si="4"/>
        <v>no</v>
      </c>
    </row>
    <row r="297" spans="2:4" x14ac:dyDescent="0.25">
      <c r="B297" s="24" t="s">
        <v>900</v>
      </c>
      <c r="C297" s="24" t="s">
        <v>1171</v>
      </c>
      <c r="D297" t="str">
        <f t="shared" si="4"/>
        <v>no</v>
      </c>
    </row>
    <row r="298" spans="2:4" x14ac:dyDescent="0.25">
      <c r="B298" s="24" t="s">
        <v>900</v>
      </c>
      <c r="C298" s="24" t="s">
        <v>1172</v>
      </c>
      <c r="D298" t="str">
        <f t="shared" si="4"/>
        <v>no</v>
      </c>
    </row>
    <row r="299" spans="2:4" x14ac:dyDescent="0.25">
      <c r="B299" s="24" t="s">
        <v>910</v>
      </c>
      <c r="C299" s="24" t="s">
        <v>1173</v>
      </c>
      <c r="D299" t="str">
        <f t="shared" si="4"/>
        <v>no</v>
      </c>
    </row>
    <row r="300" spans="2:4" x14ac:dyDescent="0.25">
      <c r="B300" s="24" t="s">
        <v>916</v>
      </c>
      <c r="C300" s="24" t="s">
        <v>1174</v>
      </c>
      <c r="D300" t="str">
        <f t="shared" si="4"/>
        <v>no</v>
      </c>
    </row>
    <row r="301" spans="2:4" x14ac:dyDescent="0.25">
      <c r="B301" s="24" t="s">
        <v>916</v>
      </c>
      <c r="C301" s="24" t="s">
        <v>1175</v>
      </c>
      <c r="D301" t="str">
        <f t="shared" si="4"/>
        <v>no</v>
      </c>
    </row>
    <row r="302" spans="2:4" x14ac:dyDescent="0.25">
      <c r="B302" s="24" t="s">
        <v>916</v>
      </c>
      <c r="C302" s="24" t="s">
        <v>1176</v>
      </c>
      <c r="D302" t="str">
        <f t="shared" si="4"/>
        <v>no</v>
      </c>
    </row>
    <row r="303" spans="2:4" x14ac:dyDescent="0.25">
      <c r="B303" s="24" t="s">
        <v>918</v>
      </c>
      <c r="C303" s="24" t="s">
        <v>1177</v>
      </c>
      <c r="D303" t="str">
        <f t="shared" si="4"/>
        <v>no</v>
      </c>
    </row>
    <row r="304" spans="2:4" x14ac:dyDescent="0.25">
      <c r="B304" s="24" t="s">
        <v>920</v>
      </c>
      <c r="C304" s="24" t="s">
        <v>1178</v>
      </c>
      <c r="D304" t="str">
        <f t="shared" si="4"/>
        <v>no</v>
      </c>
    </row>
    <row r="305" spans="2:4" x14ac:dyDescent="0.25">
      <c r="B305" s="24" t="s">
        <v>920</v>
      </c>
      <c r="C305" s="24" t="s">
        <v>1179</v>
      </c>
      <c r="D305" t="str">
        <f t="shared" si="4"/>
        <v>no</v>
      </c>
    </row>
    <row r="306" spans="2:4" x14ac:dyDescent="0.25">
      <c r="B306" s="24" t="s">
        <v>920</v>
      </c>
      <c r="C306" s="24" t="s">
        <v>1180</v>
      </c>
      <c r="D306" t="str">
        <f t="shared" si="4"/>
        <v>no</v>
      </c>
    </row>
    <row r="307" spans="2:4" x14ac:dyDescent="0.25">
      <c r="B307" s="24" t="s">
        <v>930</v>
      </c>
      <c r="C307" s="24" t="s">
        <v>1181</v>
      </c>
      <c r="D307" t="str">
        <f t="shared" si="4"/>
        <v>no</v>
      </c>
    </row>
    <row r="308" spans="2:4" x14ac:dyDescent="0.25">
      <c r="B308" s="24" t="s">
        <v>916</v>
      </c>
      <c r="C308" s="24" t="s">
        <v>1182</v>
      </c>
      <c r="D308" t="str">
        <f t="shared" si="4"/>
        <v>no</v>
      </c>
    </row>
    <row r="309" spans="2:4" x14ac:dyDescent="0.25">
      <c r="B309" s="24" t="s">
        <v>845</v>
      </c>
      <c r="C309" s="24" t="s">
        <v>1183</v>
      </c>
      <c r="D309" t="str">
        <f t="shared" si="4"/>
        <v>no</v>
      </c>
    </row>
    <row r="310" spans="2:4" x14ac:dyDescent="0.25">
      <c r="B310" s="24" t="s">
        <v>922</v>
      </c>
      <c r="C310" s="24" t="s">
        <v>1184</v>
      </c>
      <c r="D310" t="str">
        <f t="shared" si="4"/>
        <v>no</v>
      </c>
    </row>
    <row r="311" spans="2:4" x14ac:dyDescent="0.25">
      <c r="B311" s="24" t="s">
        <v>922</v>
      </c>
      <c r="C311" s="24" t="s">
        <v>1185</v>
      </c>
      <c r="D311" t="str">
        <f t="shared" si="4"/>
        <v>no</v>
      </c>
    </row>
    <row r="312" spans="2:4" x14ac:dyDescent="0.25">
      <c r="B312" s="24" t="s">
        <v>922</v>
      </c>
      <c r="C312" s="24" t="s">
        <v>1186</v>
      </c>
      <c r="D312" t="str">
        <f t="shared" si="4"/>
        <v>no</v>
      </c>
    </row>
    <row r="313" spans="2:4" x14ac:dyDescent="0.25">
      <c r="B313" s="24" t="s">
        <v>945</v>
      </c>
      <c r="C313" s="24" t="s">
        <v>1187</v>
      </c>
      <c r="D313" t="str">
        <f t="shared" si="4"/>
        <v>no</v>
      </c>
    </row>
    <row r="314" spans="2:4" x14ac:dyDescent="0.25">
      <c r="B314" s="24" t="s">
        <v>962</v>
      </c>
      <c r="C314" s="24" t="s">
        <v>1188</v>
      </c>
      <c r="D314" t="str">
        <f t="shared" si="4"/>
        <v>no</v>
      </c>
    </row>
    <row r="315" spans="2:4" x14ac:dyDescent="0.25">
      <c r="B315" s="24" t="s">
        <v>962</v>
      </c>
      <c r="C315" s="24" t="s">
        <v>1189</v>
      </c>
      <c r="D315" t="str">
        <f t="shared" si="4"/>
        <v>no</v>
      </c>
    </row>
    <row r="316" spans="2:4" x14ac:dyDescent="0.25">
      <c r="B316" s="24" t="s">
        <v>967</v>
      </c>
      <c r="C316" s="24" t="s">
        <v>1190</v>
      </c>
      <c r="D316" t="str">
        <f t="shared" si="4"/>
        <v>no</v>
      </c>
    </row>
    <row r="317" spans="2:4" x14ac:dyDescent="0.25">
      <c r="B317" s="24" t="s">
        <v>824</v>
      </c>
      <c r="C317" s="24" t="s">
        <v>1191</v>
      </c>
      <c r="D317" t="str">
        <f t="shared" si="4"/>
        <v>IO</v>
      </c>
    </row>
    <row r="318" spans="2:4" x14ac:dyDescent="0.25">
      <c r="B318" s="24" t="s">
        <v>824</v>
      </c>
      <c r="C318" s="24" t="s">
        <v>1192</v>
      </c>
      <c r="D318" t="str">
        <f t="shared" si="4"/>
        <v>IO</v>
      </c>
    </row>
    <row r="319" spans="2:4" x14ac:dyDescent="0.25">
      <c r="B319" s="24" t="s">
        <v>824</v>
      </c>
      <c r="C319" s="24" t="s">
        <v>1193</v>
      </c>
      <c r="D319" t="str">
        <f t="shared" si="4"/>
        <v>IO</v>
      </c>
    </row>
    <row r="320" spans="2:4" x14ac:dyDescent="0.25">
      <c r="B320" s="24" t="s">
        <v>858</v>
      </c>
      <c r="C320" s="24" t="s">
        <v>1194</v>
      </c>
      <c r="D320" t="str">
        <f t="shared" si="4"/>
        <v>no</v>
      </c>
    </row>
    <row r="321" spans="2:4" x14ac:dyDescent="0.25">
      <c r="B321" s="24" t="s">
        <v>860</v>
      </c>
      <c r="C321" s="24" t="s">
        <v>1195</v>
      </c>
      <c r="D321" t="str">
        <f t="shared" si="4"/>
        <v>no</v>
      </c>
    </row>
    <row r="322" spans="2:4" x14ac:dyDescent="0.25">
      <c r="B322" s="24" t="s">
        <v>862</v>
      </c>
      <c r="C322" s="24" t="s">
        <v>1196</v>
      </c>
      <c r="D322" t="str">
        <f t="shared" si="4"/>
        <v>no</v>
      </c>
    </row>
    <row r="323" spans="2:4" x14ac:dyDescent="0.25">
      <c r="B323" s="24" t="s">
        <v>974</v>
      </c>
      <c r="C323" s="24" t="s">
        <v>1197</v>
      </c>
      <c r="D323" t="str">
        <f t="shared" ref="D323:D386" si="5">+IF(OR(B323="Transmitters",B323="DI"),"IO","no")</f>
        <v>no</v>
      </c>
    </row>
    <row r="324" spans="2:4" x14ac:dyDescent="0.25">
      <c r="B324" s="24" t="s">
        <v>974</v>
      </c>
      <c r="C324" s="24" t="s">
        <v>1198</v>
      </c>
      <c r="D324" t="str">
        <f t="shared" si="5"/>
        <v>no</v>
      </c>
    </row>
    <row r="325" spans="2:4" x14ac:dyDescent="0.25">
      <c r="B325" s="24" t="s">
        <v>869</v>
      </c>
      <c r="C325" s="24" t="s">
        <v>1199</v>
      </c>
      <c r="D325" t="str">
        <f t="shared" si="5"/>
        <v>no</v>
      </c>
    </row>
    <row r="326" spans="2:4" x14ac:dyDescent="0.25">
      <c r="B326" s="24" t="s">
        <v>853</v>
      </c>
      <c r="C326" s="24" t="s">
        <v>1200</v>
      </c>
      <c r="D326" t="str">
        <f t="shared" si="5"/>
        <v>no</v>
      </c>
    </row>
    <row r="327" spans="2:4" x14ac:dyDescent="0.25">
      <c r="B327" s="24" t="s">
        <v>864</v>
      </c>
      <c r="C327" s="24" t="s">
        <v>1201</v>
      </c>
      <c r="D327" t="str">
        <f t="shared" si="5"/>
        <v>no</v>
      </c>
    </row>
    <row r="328" spans="2:4" x14ac:dyDescent="0.25">
      <c r="B328" s="24" t="s">
        <v>1202</v>
      </c>
      <c r="C328" s="24" t="s">
        <v>1203</v>
      </c>
      <c r="D328" t="str">
        <f t="shared" si="5"/>
        <v>no</v>
      </c>
    </row>
    <row r="329" spans="2:4" x14ac:dyDescent="0.25">
      <c r="B329" s="24" t="s">
        <v>1202</v>
      </c>
      <c r="C329" s="24" t="s">
        <v>1204</v>
      </c>
      <c r="D329" t="str">
        <f t="shared" si="5"/>
        <v>no</v>
      </c>
    </row>
    <row r="330" spans="2:4" x14ac:dyDescent="0.25">
      <c r="B330" s="24" t="s">
        <v>849</v>
      </c>
      <c r="C330" s="24" t="s">
        <v>1205</v>
      </c>
      <c r="D330" t="str">
        <f t="shared" si="5"/>
        <v>no</v>
      </c>
    </row>
    <row r="331" spans="2:4" x14ac:dyDescent="0.25">
      <c r="B331" s="24" t="s">
        <v>849</v>
      </c>
      <c r="C331" s="24" t="s">
        <v>1206</v>
      </c>
      <c r="D331" t="str">
        <f t="shared" si="5"/>
        <v>no</v>
      </c>
    </row>
    <row r="332" spans="2:4" x14ac:dyDescent="0.25">
      <c r="B332" s="24" t="s">
        <v>849</v>
      </c>
      <c r="C332" s="24" t="s">
        <v>1207</v>
      </c>
      <c r="D332" t="str">
        <f t="shared" si="5"/>
        <v>no</v>
      </c>
    </row>
    <row r="333" spans="2:4" x14ac:dyDescent="0.25">
      <c r="B333" s="24" t="s">
        <v>841</v>
      </c>
      <c r="C333" s="24" t="s">
        <v>1208</v>
      </c>
      <c r="D333" t="str">
        <f t="shared" si="5"/>
        <v>no</v>
      </c>
    </row>
    <row r="334" spans="2:4" x14ac:dyDescent="0.25">
      <c r="B334" s="24" t="s">
        <v>841</v>
      </c>
      <c r="C334" s="24" t="s">
        <v>1209</v>
      </c>
      <c r="D334" t="str">
        <f t="shared" si="5"/>
        <v>no</v>
      </c>
    </row>
    <row r="335" spans="2:4" x14ac:dyDescent="0.25">
      <c r="B335" s="24" t="s">
        <v>839</v>
      </c>
      <c r="C335" s="24" t="s">
        <v>1210</v>
      </c>
      <c r="D335" t="str">
        <f t="shared" si="5"/>
        <v>no</v>
      </c>
    </row>
    <row r="336" spans="2:4" x14ac:dyDescent="0.25">
      <c r="B336" s="24" t="s">
        <v>839</v>
      </c>
      <c r="C336" s="24" t="s">
        <v>1211</v>
      </c>
      <c r="D336" t="str">
        <f t="shared" si="5"/>
        <v>no</v>
      </c>
    </row>
    <row r="337" spans="2:4" x14ac:dyDescent="0.25">
      <c r="B337" s="24" t="s">
        <v>824</v>
      </c>
      <c r="C337" s="24" t="s">
        <v>1212</v>
      </c>
      <c r="D337" t="str">
        <f t="shared" si="5"/>
        <v>IO</v>
      </c>
    </row>
    <row r="338" spans="2:4" x14ac:dyDescent="0.25">
      <c r="B338" s="24" t="s">
        <v>824</v>
      </c>
      <c r="C338" s="24" t="s">
        <v>1213</v>
      </c>
      <c r="D338" t="str">
        <f t="shared" si="5"/>
        <v>IO</v>
      </c>
    </row>
    <row r="339" spans="2:4" x14ac:dyDescent="0.25">
      <c r="B339" s="24" t="s">
        <v>887</v>
      </c>
      <c r="C339" s="24" t="s">
        <v>1214</v>
      </c>
      <c r="D339" t="str">
        <f t="shared" si="5"/>
        <v>no</v>
      </c>
    </row>
    <row r="340" spans="2:4" x14ac:dyDescent="0.25">
      <c r="B340" s="24" t="s">
        <v>887</v>
      </c>
      <c r="C340" s="24" t="s">
        <v>1215</v>
      </c>
      <c r="D340" t="str">
        <f t="shared" si="5"/>
        <v>no</v>
      </c>
    </row>
    <row r="341" spans="2:4" x14ac:dyDescent="0.25">
      <c r="B341" s="24" t="s">
        <v>887</v>
      </c>
      <c r="C341" s="24" t="s">
        <v>1216</v>
      </c>
      <c r="D341" t="str">
        <f t="shared" si="5"/>
        <v>no</v>
      </c>
    </row>
    <row r="342" spans="2:4" x14ac:dyDescent="0.25">
      <c r="B342" s="24" t="s">
        <v>887</v>
      </c>
      <c r="C342" s="24" t="s">
        <v>1217</v>
      </c>
      <c r="D342" t="str">
        <f t="shared" si="5"/>
        <v>no</v>
      </c>
    </row>
    <row r="343" spans="2:4" x14ac:dyDescent="0.25">
      <c r="B343" s="24" t="s">
        <v>824</v>
      </c>
      <c r="C343" s="24" t="s">
        <v>1218</v>
      </c>
      <c r="D343" t="str">
        <f t="shared" si="5"/>
        <v>IO</v>
      </c>
    </row>
    <row r="344" spans="2:4" x14ac:dyDescent="0.25">
      <c r="B344" s="24" t="s">
        <v>824</v>
      </c>
      <c r="C344" s="24" t="s">
        <v>1219</v>
      </c>
      <c r="D344" t="str">
        <f t="shared" si="5"/>
        <v>IO</v>
      </c>
    </row>
    <row r="345" spans="2:4" x14ac:dyDescent="0.25">
      <c r="B345" s="24" t="s">
        <v>895</v>
      </c>
      <c r="C345" s="24" t="s">
        <v>1220</v>
      </c>
      <c r="D345" t="str">
        <f t="shared" si="5"/>
        <v>no</v>
      </c>
    </row>
    <row r="346" spans="2:4" x14ac:dyDescent="0.25">
      <c r="B346" s="24" t="s">
        <v>824</v>
      </c>
      <c r="C346" s="24" t="s">
        <v>1221</v>
      </c>
      <c r="D346" t="str">
        <f t="shared" si="5"/>
        <v>IO</v>
      </c>
    </row>
    <row r="347" spans="2:4" x14ac:dyDescent="0.25">
      <c r="B347" s="24" t="s">
        <v>824</v>
      </c>
      <c r="C347" s="24" t="s">
        <v>1222</v>
      </c>
      <c r="D347" t="str">
        <f t="shared" si="5"/>
        <v>IO</v>
      </c>
    </row>
    <row r="348" spans="2:4" x14ac:dyDescent="0.25">
      <c r="B348" s="24" t="s">
        <v>900</v>
      </c>
      <c r="C348" s="24" t="s">
        <v>1223</v>
      </c>
      <c r="D348" t="str">
        <f t="shared" si="5"/>
        <v>no</v>
      </c>
    </row>
    <row r="349" spans="2:4" x14ac:dyDescent="0.25">
      <c r="B349" s="24" t="s">
        <v>900</v>
      </c>
      <c r="C349" s="24" t="s">
        <v>1224</v>
      </c>
      <c r="D349" t="str">
        <f t="shared" si="5"/>
        <v>no</v>
      </c>
    </row>
    <row r="350" spans="2:4" x14ac:dyDescent="0.25">
      <c r="B350" s="24" t="s">
        <v>824</v>
      </c>
      <c r="C350" s="24" t="s">
        <v>1225</v>
      </c>
      <c r="D350" t="str">
        <f t="shared" si="5"/>
        <v>IO</v>
      </c>
    </row>
    <row r="351" spans="2:4" x14ac:dyDescent="0.25">
      <c r="B351" s="24" t="s">
        <v>824</v>
      </c>
      <c r="C351" s="24" t="s">
        <v>1226</v>
      </c>
      <c r="D351" t="str">
        <f t="shared" si="5"/>
        <v>IO</v>
      </c>
    </row>
    <row r="352" spans="2:4" x14ac:dyDescent="0.25">
      <c r="B352" s="24" t="s">
        <v>824</v>
      </c>
      <c r="C352" s="24" t="s">
        <v>1227</v>
      </c>
      <c r="D352" t="str">
        <f t="shared" si="5"/>
        <v>IO</v>
      </c>
    </row>
    <row r="353" spans="2:4" x14ac:dyDescent="0.25">
      <c r="B353" s="24" t="s">
        <v>824</v>
      </c>
      <c r="C353" s="24" t="s">
        <v>1228</v>
      </c>
      <c r="D353" t="str">
        <f t="shared" si="5"/>
        <v>IO</v>
      </c>
    </row>
    <row r="354" spans="2:4" x14ac:dyDescent="0.25">
      <c r="B354" s="24" t="s">
        <v>910</v>
      </c>
      <c r="C354" s="24" t="s">
        <v>1229</v>
      </c>
      <c r="D354" t="str">
        <f t="shared" si="5"/>
        <v>no</v>
      </c>
    </row>
    <row r="355" spans="2:4" x14ac:dyDescent="0.25">
      <c r="B355" s="24" t="s">
        <v>910</v>
      </c>
      <c r="C355" s="24" t="s">
        <v>1230</v>
      </c>
      <c r="D355" t="str">
        <f t="shared" si="5"/>
        <v>no</v>
      </c>
    </row>
    <row r="356" spans="2:4" x14ac:dyDescent="0.25">
      <c r="B356" s="24" t="s">
        <v>824</v>
      </c>
      <c r="C356" s="24" t="s">
        <v>1231</v>
      </c>
      <c r="D356" t="str">
        <f t="shared" si="5"/>
        <v>IO</v>
      </c>
    </row>
    <row r="357" spans="2:4" x14ac:dyDescent="0.25">
      <c r="B357" s="24" t="s">
        <v>824</v>
      </c>
      <c r="C357" s="24" t="s">
        <v>1232</v>
      </c>
      <c r="D357" t="str">
        <f t="shared" si="5"/>
        <v>IO</v>
      </c>
    </row>
    <row r="358" spans="2:4" x14ac:dyDescent="0.25">
      <c r="B358" s="24" t="s">
        <v>1003</v>
      </c>
      <c r="C358" s="24" t="s">
        <v>1233</v>
      </c>
      <c r="D358" t="str">
        <f t="shared" si="5"/>
        <v>no</v>
      </c>
    </row>
    <row r="359" spans="2:4" x14ac:dyDescent="0.25">
      <c r="B359" s="24" t="s">
        <v>824</v>
      </c>
      <c r="C359" s="24" t="s">
        <v>1234</v>
      </c>
      <c r="D359" t="str">
        <f t="shared" si="5"/>
        <v>IO</v>
      </c>
    </row>
    <row r="360" spans="2:4" x14ac:dyDescent="0.25">
      <c r="B360" s="24" t="s">
        <v>824</v>
      </c>
      <c r="C360" s="24" t="s">
        <v>1235</v>
      </c>
      <c r="D360" t="str">
        <f t="shared" si="5"/>
        <v>IO</v>
      </c>
    </row>
    <row r="361" spans="2:4" x14ac:dyDescent="0.25">
      <c r="B361" s="24" t="s">
        <v>920</v>
      </c>
      <c r="C361" s="24" t="s">
        <v>1236</v>
      </c>
      <c r="D361" t="str">
        <f t="shared" si="5"/>
        <v>no</v>
      </c>
    </row>
    <row r="362" spans="2:4" x14ac:dyDescent="0.25">
      <c r="B362" s="24" t="s">
        <v>920</v>
      </c>
      <c r="C362" s="24" t="s">
        <v>1237</v>
      </c>
      <c r="D362" t="str">
        <f t="shared" si="5"/>
        <v>no</v>
      </c>
    </row>
    <row r="363" spans="2:4" x14ac:dyDescent="0.25">
      <c r="B363" s="24" t="s">
        <v>824</v>
      </c>
      <c r="C363" s="24" t="s">
        <v>1238</v>
      </c>
      <c r="D363" t="str">
        <f t="shared" si="5"/>
        <v>IO</v>
      </c>
    </row>
    <row r="364" spans="2:4" x14ac:dyDescent="0.25">
      <c r="B364" s="24" t="s">
        <v>824</v>
      </c>
      <c r="C364" s="24" t="s">
        <v>1239</v>
      </c>
      <c r="D364" t="str">
        <f t="shared" si="5"/>
        <v>IO</v>
      </c>
    </row>
    <row r="365" spans="2:4" x14ac:dyDescent="0.25">
      <c r="B365" s="24" t="s">
        <v>824</v>
      </c>
      <c r="C365" s="24" t="s">
        <v>1240</v>
      </c>
      <c r="D365" t="str">
        <f t="shared" si="5"/>
        <v>IO</v>
      </c>
    </row>
    <row r="366" spans="2:4" x14ac:dyDescent="0.25">
      <c r="B366" s="24" t="s">
        <v>824</v>
      </c>
      <c r="C366" s="24" t="s">
        <v>1241</v>
      </c>
      <c r="D366" t="str">
        <f t="shared" si="5"/>
        <v>IO</v>
      </c>
    </row>
    <row r="367" spans="2:4" x14ac:dyDescent="0.25">
      <c r="B367" s="24" t="s">
        <v>930</v>
      </c>
      <c r="C367" s="24" t="s">
        <v>1242</v>
      </c>
      <c r="D367" t="str">
        <f t="shared" si="5"/>
        <v>no</v>
      </c>
    </row>
    <row r="368" spans="2:4" x14ac:dyDescent="0.25">
      <c r="B368" s="24" t="s">
        <v>930</v>
      </c>
      <c r="C368" s="24" t="s">
        <v>1243</v>
      </c>
      <c r="D368" t="str">
        <f t="shared" si="5"/>
        <v>no</v>
      </c>
    </row>
    <row r="369" spans="2:4" x14ac:dyDescent="0.25">
      <c r="B369" s="24" t="s">
        <v>824</v>
      </c>
      <c r="C369" s="24" t="s">
        <v>1244</v>
      </c>
      <c r="D369" t="str">
        <f t="shared" si="5"/>
        <v>IO</v>
      </c>
    </row>
    <row r="370" spans="2:4" x14ac:dyDescent="0.25">
      <c r="B370" s="24" t="s">
        <v>824</v>
      </c>
      <c r="C370" s="24" t="s">
        <v>1245</v>
      </c>
      <c r="D370" t="str">
        <f t="shared" si="5"/>
        <v>IO</v>
      </c>
    </row>
    <row r="371" spans="2:4" x14ac:dyDescent="0.25">
      <c r="B371" s="24" t="s">
        <v>1012</v>
      </c>
      <c r="C371" s="24" t="s">
        <v>1246</v>
      </c>
      <c r="D371" t="str">
        <f t="shared" si="5"/>
        <v>no</v>
      </c>
    </row>
    <row r="372" spans="2:4" x14ac:dyDescent="0.25">
      <c r="B372" s="24" t="s">
        <v>824</v>
      </c>
      <c r="C372" s="24" t="s">
        <v>1247</v>
      </c>
      <c r="D372" t="str">
        <f t="shared" si="5"/>
        <v>IO</v>
      </c>
    </row>
    <row r="373" spans="2:4" x14ac:dyDescent="0.25">
      <c r="B373" s="24" t="s">
        <v>824</v>
      </c>
      <c r="C373" s="24" t="s">
        <v>1248</v>
      </c>
      <c r="D373" t="str">
        <f t="shared" si="5"/>
        <v>IO</v>
      </c>
    </row>
    <row r="374" spans="2:4" x14ac:dyDescent="0.25">
      <c r="B374" s="24" t="s">
        <v>922</v>
      </c>
      <c r="C374" s="24" t="s">
        <v>1249</v>
      </c>
      <c r="D374" t="str">
        <f t="shared" si="5"/>
        <v>no</v>
      </c>
    </row>
    <row r="375" spans="2:4" x14ac:dyDescent="0.25">
      <c r="B375" s="24" t="s">
        <v>922</v>
      </c>
      <c r="C375" s="24" t="s">
        <v>1250</v>
      </c>
      <c r="D375" t="str">
        <f t="shared" si="5"/>
        <v>no</v>
      </c>
    </row>
    <row r="376" spans="2:4" x14ac:dyDescent="0.25">
      <c r="B376" s="24" t="s">
        <v>824</v>
      </c>
      <c r="C376" s="24" t="s">
        <v>1251</v>
      </c>
      <c r="D376" t="str">
        <f t="shared" si="5"/>
        <v>IO</v>
      </c>
    </row>
    <row r="377" spans="2:4" x14ac:dyDescent="0.25">
      <c r="B377" s="24" t="s">
        <v>824</v>
      </c>
      <c r="C377" s="24" t="s">
        <v>1252</v>
      </c>
      <c r="D377" t="str">
        <f t="shared" si="5"/>
        <v>IO</v>
      </c>
    </row>
    <row r="378" spans="2:4" x14ac:dyDescent="0.25">
      <c r="B378" s="24" t="s">
        <v>824</v>
      </c>
      <c r="C378" s="24" t="s">
        <v>1253</v>
      </c>
      <c r="D378" t="str">
        <f t="shared" si="5"/>
        <v>IO</v>
      </c>
    </row>
    <row r="379" spans="2:4" x14ac:dyDescent="0.25">
      <c r="B379" s="24" t="s">
        <v>824</v>
      </c>
      <c r="C379" s="24" t="s">
        <v>1254</v>
      </c>
      <c r="D379" t="str">
        <f t="shared" si="5"/>
        <v>IO</v>
      </c>
    </row>
    <row r="380" spans="2:4" x14ac:dyDescent="0.25">
      <c r="B380" s="24" t="s">
        <v>945</v>
      </c>
      <c r="C380" s="24" t="s">
        <v>1255</v>
      </c>
      <c r="D380" t="str">
        <f t="shared" si="5"/>
        <v>no</v>
      </c>
    </row>
    <row r="381" spans="2:4" x14ac:dyDescent="0.25">
      <c r="B381" s="24" t="s">
        <v>945</v>
      </c>
      <c r="C381" s="24" t="s">
        <v>1256</v>
      </c>
      <c r="D381" t="str">
        <f t="shared" si="5"/>
        <v>no</v>
      </c>
    </row>
    <row r="382" spans="2:4" x14ac:dyDescent="0.25">
      <c r="B382" s="24" t="s">
        <v>824</v>
      </c>
      <c r="C382" s="24" t="s">
        <v>1257</v>
      </c>
      <c r="D382" t="str">
        <f t="shared" si="5"/>
        <v>IO</v>
      </c>
    </row>
    <row r="383" spans="2:4" x14ac:dyDescent="0.25">
      <c r="B383" s="24" t="s">
        <v>824</v>
      </c>
      <c r="C383" s="24" t="s">
        <v>1258</v>
      </c>
      <c r="D383" t="str">
        <f t="shared" si="5"/>
        <v>IO</v>
      </c>
    </row>
    <row r="384" spans="2:4" x14ac:dyDescent="0.25">
      <c r="B384" s="24" t="s">
        <v>1021</v>
      </c>
      <c r="C384" s="24" t="s">
        <v>1259</v>
      </c>
      <c r="D384" t="str">
        <f t="shared" si="5"/>
        <v>no</v>
      </c>
    </row>
    <row r="385" spans="2:4" x14ac:dyDescent="0.25">
      <c r="B385" s="24" t="s">
        <v>824</v>
      </c>
      <c r="C385" s="24" t="s">
        <v>1260</v>
      </c>
      <c r="D385" t="str">
        <f t="shared" si="5"/>
        <v>IO</v>
      </c>
    </row>
    <row r="386" spans="2:4" x14ac:dyDescent="0.25">
      <c r="B386" s="24" t="s">
        <v>824</v>
      </c>
      <c r="C386" s="24" t="s">
        <v>1261</v>
      </c>
      <c r="D386" t="str">
        <f t="shared" si="5"/>
        <v>IO</v>
      </c>
    </row>
    <row r="387" spans="2:4" x14ac:dyDescent="0.25">
      <c r="B387" s="24" t="s">
        <v>953</v>
      </c>
      <c r="C387" s="24" t="s">
        <v>1262</v>
      </c>
      <c r="D387" t="str">
        <f t="shared" ref="D387:D450" si="6">+IF(OR(B387="Transmitters",B387="DI"),"IO","no")</f>
        <v>no</v>
      </c>
    </row>
    <row r="388" spans="2:4" x14ac:dyDescent="0.25">
      <c r="B388" s="24" t="s">
        <v>824</v>
      </c>
      <c r="C388" s="24" t="s">
        <v>1263</v>
      </c>
      <c r="D388" t="str">
        <f t="shared" si="6"/>
        <v>IO</v>
      </c>
    </row>
    <row r="389" spans="2:4" x14ac:dyDescent="0.25">
      <c r="B389" s="24" t="s">
        <v>956</v>
      </c>
      <c r="C389" s="24" t="s">
        <v>1264</v>
      </c>
      <c r="D389" t="str">
        <f t="shared" si="6"/>
        <v>no</v>
      </c>
    </row>
    <row r="390" spans="2:4" x14ac:dyDescent="0.25">
      <c r="B390" s="24" t="s">
        <v>824</v>
      </c>
      <c r="C390" s="24" t="s">
        <v>1265</v>
      </c>
      <c r="D390" t="str">
        <f t="shared" si="6"/>
        <v>IO</v>
      </c>
    </row>
    <row r="391" spans="2:4" x14ac:dyDescent="0.25">
      <c r="B391" s="24" t="s">
        <v>1102</v>
      </c>
      <c r="C391" s="24" t="s">
        <v>1266</v>
      </c>
      <c r="D391" t="str">
        <f t="shared" si="6"/>
        <v>no</v>
      </c>
    </row>
    <row r="392" spans="2:4" x14ac:dyDescent="0.25">
      <c r="B392" s="24" t="s">
        <v>962</v>
      </c>
      <c r="C392" s="24" t="s">
        <v>1267</v>
      </c>
      <c r="D392" t="str">
        <f t="shared" si="6"/>
        <v>no</v>
      </c>
    </row>
    <row r="393" spans="2:4" x14ac:dyDescent="0.25">
      <c r="B393" s="24" t="s">
        <v>962</v>
      </c>
      <c r="C393" s="24" t="s">
        <v>1268</v>
      </c>
      <c r="D393" t="str">
        <f t="shared" si="6"/>
        <v>no</v>
      </c>
    </row>
    <row r="394" spans="2:4" x14ac:dyDescent="0.25">
      <c r="B394" s="24" t="s">
        <v>1269</v>
      </c>
      <c r="C394" s="24" t="s">
        <v>1270</v>
      </c>
      <c r="D394" t="str">
        <f t="shared" si="6"/>
        <v>no</v>
      </c>
    </row>
    <row r="395" spans="2:4" x14ac:dyDescent="0.25">
      <c r="B395" s="24" t="s">
        <v>967</v>
      </c>
      <c r="C395" s="24" t="s">
        <v>1271</v>
      </c>
      <c r="D395" t="str">
        <f t="shared" si="6"/>
        <v>no</v>
      </c>
    </row>
    <row r="396" spans="2:4" x14ac:dyDescent="0.25">
      <c r="B396" s="24" t="s">
        <v>1272</v>
      </c>
      <c r="C396" s="24" t="s">
        <v>1273</v>
      </c>
      <c r="D396" t="str">
        <f t="shared" si="6"/>
        <v>no</v>
      </c>
    </row>
    <row r="397" spans="2:4" x14ac:dyDescent="0.25">
      <c r="B397" s="24" t="s">
        <v>824</v>
      </c>
      <c r="C397" s="24" t="s">
        <v>1274</v>
      </c>
      <c r="D397" t="str">
        <f t="shared" si="6"/>
        <v>IO</v>
      </c>
    </row>
    <row r="398" spans="2:4" x14ac:dyDescent="0.25">
      <c r="B398" s="24" t="s">
        <v>824</v>
      </c>
      <c r="C398" s="24" t="s">
        <v>1275</v>
      </c>
      <c r="D398" t="str">
        <f t="shared" si="6"/>
        <v>IO</v>
      </c>
    </row>
    <row r="399" spans="2:4" x14ac:dyDescent="0.25">
      <c r="B399" s="24" t="s">
        <v>824</v>
      </c>
      <c r="C399" s="24" t="s">
        <v>1276</v>
      </c>
      <c r="D399" t="str">
        <f t="shared" si="6"/>
        <v>IO</v>
      </c>
    </row>
    <row r="400" spans="2:4" x14ac:dyDescent="0.25">
      <c r="B400" s="24" t="s">
        <v>824</v>
      </c>
      <c r="C400" s="24" t="s">
        <v>1277</v>
      </c>
      <c r="D400" t="str">
        <f t="shared" si="6"/>
        <v>IO</v>
      </c>
    </row>
    <row r="401" spans="2:4" x14ac:dyDescent="0.25">
      <c r="B401" s="24" t="s">
        <v>1278</v>
      </c>
      <c r="C401" s="24" t="s">
        <v>1279</v>
      </c>
      <c r="D401" t="str">
        <f t="shared" si="6"/>
        <v>no</v>
      </c>
    </row>
    <row r="402" spans="2:4" x14ac:dyDescent="0.25">
      <c r="B402" s="24" t="s">
        <v>824</v>
      </c>
      <c r="C402" s="24" t="s">
        <v>1280</v>
      </c>
      <c r="D402" t="str">
        <f t="shared" si="6"/>
        <v>IO</v>
      </c>
    </row>
    <row r="403" spans="2:4" x14ac:dyDescent="0.25">
      <c r="B403" s="24" t="s">
        <v>824</v>
      </c>
      <c r="C403" s="24" t="s">
        <v>1281</v>
      </c>
      <c r="D403" t="str">
        <f t="shared" si="6"/>
        <v>IO</v>
      </c>
    </row>
    <row r="404" spans="2:4" x14ac:dyDescent="0.25">
      <c r="B404" s="24" t="s">
        <v>858</v>
      </c>
      <c r="C404" s="24" t="s">
        <v>1282</v>
      </c>
      <c r="D404" t="str">
        <f t="shared" si="6"/>
        <v>no</v>
      </c>
    </row>
    <row r="405" spans="2:4" x14ac:dyDescent="0.25">
      <c r="B405" s="24" t="s">
        <v>862</v>
      </c>
      <c r="C405" s="24" t="s">
        <v>1283</v>
      </c>
      <c r="D405" t="str">
        <f t="shared" si="6"/>
        <v>no</v>
      </c>
    </row>
    <row r="406" spans="2:4" x14ac:dyDescent="0.25">
      <c r="B406" s="24" t="s">
        <v>843</v>
      </c>
      <c r="C406" s="24" t="s">
        <v>1284</v>
      </c>
      <c r="D406" t="str">
        <f t="shared" si="6"/>
        <v>no</v>
      </c>
    </row>
    <row r="407" spans="2:4" x14ac:dyDescent="0.25">
      <c r="B407" s="24" t="s">
        <v>843</v>
      </c>
      <c r="C407" s="24" t="s">
        <v>1285</v>
      </c>
      <c r="D407" t="str">
        <f t="shared" si="6"/>
        <v>no</v>
      </c>
    </row>
    <row r="408" spans="2:4" x14ac:dyDescent="0.25">
      <c r="B408" s="24" t="s">
        <v>843</v>
      </c>
      <c r="C408" s="24" t="s">
        <v>1286</v>
      </c>
      <c r="D408" t="str">
        <f t="shared" si="6"/>
        <v>no</v>
      </c>
    </row>
    <row r="409" spans="2:4" x14ac:dyDescent="0.25">
      <c r="B409" s="24" t="s">
        <v>1202</v>
      </c>
      <c r="C409" s="24" t="s">
        <v>1287</v>
      </c>
      <c r="D409" t="str">
        <f t="shared" si="6"/>
        <v>no</v>
      </c>
    </row>
    <row r="410" spans="2:4" x14ac:dyDescent="0.25">
      <c r="B410" s="24" t="s">
        <v>1202</v>
      </c>
      <c r="C410" s="24" t="s">
        <v>1288</v>
      </c>
      <c r="D410" t="str">
        <f t="shared" si="6"/>
        <v>no</v>
      </c>
    </row>
    <row r="411" spans="2:4" x14ac:dyDescent="0.25">
      <c r="B411" s="24" t="s">
        <v>1202</v>
      </c>
      <c r="C411" s="24" t="s">
        <v>1289</v>
      </c>
      <c r="D411" t="str">
        <f t="shared" si="6"/>
        <v>no</v>
      </c>
    </row>
    <row r="412" spans="2:4" x14ac:dyDescent="0.25">
      <c r="B412" s="24" t="s">
        <v>1202</v>
      </c>
      <c r="C412" s="24" t="s">
        <v>1290</v>
      </c>
      <c r="D412" t="str">
        <f t="shared" si="6"/>
        <v>no</v>
      </c>
    </row>
    <row r="413" spans="2:4" x14ac:dyDescent="0.25">
      <c r="B413" s="24" t="s">
        <v>1202</v>
      </c>
      <c r="C413" s="24" t="s">
        <v>1291</v>
      </c>
      <c r="D413" t="str">
        <f t="shared" si="6"/>
        <v>no</v>
      </c>
    </row>
    <row r="414" spans="2:4" x14ac:dyDescent="0.25">
      <c r="B414" s="24" t="s">
        <v>1202</v>
      </c>
      <c r="C414" s="24" t="s">
        <v>1292</v>
      </c>
      <c r="D414" t="str">
        <f t="shared" si="6"/>
        <v>no</v>
      </c>
    </row>
    <row r="415" spans="2:4" x14ac:dyDescent="0.25">
      <c r="B415" s="24" t="s">
        <v>1202</v>
      </c>
      <c r="C415" s="24" t="s">
        <v>1293</v>
      </c>
      <c r="D415" t="str">
        <f t="shared" si="6"/>
        <v>no</v>
      </c>
    </row>
    <row r="416" spans="2:4" x14ac:dyDescent="0.25">
      <c r="B416" s="24" t="s">
        <v>1162</v>
      </c>
      <c r="C416" s="24" t="s">
        <v>1294</v>
      </c>
      <c r="D416" t="str">
        <f t="shared" si="6"/>
        <v>no</v>
      </c>
    </row>
    <row r="417" spans="2:4" x14ac:dyDescent="0.25">
      <c r="B417" s="24" t="s">
        <v>849</v>
      </c>
      <c r="C417" s="24" t="s">
        <v>1295</v>
      </c>
      <c r="D417" t="str">
        <f t="shared" si="6"/>
        <v>no</v>
      </c>
    </row>
    <row r="418" spans="2:4" x14ac:dyDescent="0.25">
      <c r="B418" s="24" t="s">
        <v>849</v>
      </c>
      <c r="C418" s="24" t="s">
        <v>1296</v>
      </c>
      <c r="D418" t="str">
        <f t="shared" si="6"/>
        <v>no</v>
      </c>
    </row>
    <row r="419" spans="2:4" x14ac:dyDescent="0.25">
      <c r="B419" s="24" t="s">
        <v>841</v>
      </c>
      <c r="C419" s="24" t="s">
        <v>1297</v>
      </c>
      <c r="D419" t="str">
        <f t="shared" si="6"/>
        <v>no</v>
      </c>
    </row>
    <row r="420" spans="2:4" x14ac:dyDescent="0.25">
      <c r="B420" s="24" t="s">
        <v>841</v>
      </c>
      <c r="C420" s="24" t="s">
        <v>1298</v>
      </c>
      <c r="D420" t="str">
        <f t="shared" si="6"/>
        <v>no</v>
      </c>
    </row>
    <row r="421" spans="2:4" x14ac:dyDescent="0.25">
      <c r="B421" s="24" t="s">
        <v>839</v>
      </c>
      <c r="C421" s="24" t="s">
        <v>1299</v>
      </c>
      <c r="D421" t="str">
        <f t="shared" si="6"/>
        <v>no</v>
      </c>
    </row>
    <row r="422" spans="2:4" x14ac:dyDescent="0.25">
      <c r="B422" s="24" t="s">
        <v>839</v>
      </c>
      <c r="C422" s="24" t="s">
        <v>1300</v>
      </c>
      <c r="D422" t="str">
        <f t="shared" si="6"/>
        <v>no</v>
      </c>
    </row>
    <row r="423" spans="2:4" x14ac:dyDescent="0.25">
      <c r="B423" s="24" t="s">
        <v>882</v>
      </c>
      <c r="C423" s="24" t="s">
        <v>1301</v>
      </c>
      <c r="D423" t="str">
        <f t="shared" si="6"/>
        <v>no</v>
      </c>
    </row>
    <row r="424" spans="2:4" x14ac:dyDescent="0.25">
      <c r="B424" s="24" t="s">
        <v>887</v>
      </c>
      <c r="C424" s="24" t="s">
        <v>1302</v>
      </c>
      <c r="D424" t="str">
        <f t="shared" si="6"/>
        <v>no</v>
      </c>
    </row>
    <row r="425" spans="2:4" x14ac:dyDescent="0.25">
      <c r="B425" s="24" t="s">
        <v>887</v>
      </c>
      <c r="C425" s="24" t="s">
        <v>1303</v>
      </c>
      <c r="D425" t="str">
        <f t="shared" si="6"/>
        <v>no</v>
      </c>
    </row>
    <row r="426" spans="2:4" x14ac:dyDescent="0.25">
      <c r="B426" s="24" t="s">
        <v>887</v>
      </c>
      <c r="C426" s="24" t="s">
        <v>1304</v>
      </c>
      <c r="D426" t="str">
        <f t="shared" si="6"/>
        <v>no</v>
      </c>
    </row>
    <row r="427" spans="2:4" x14ac:dyDescent="0.25">
      <c r="B427" s="24" t="s">
        <v>887</v>
      </c>
      <c r="C427" s="24" t="s">
        <v>1305</v>
      </c>
      <c r="D427" t="str">
        <f t="shared" si="6"/>
        <v>no</v>
      </c>
    </row>
    <row r="428" spans="2:4" x14ac:dyDescent="0.25">
      <c r="B428" s="24" t="s">
        <v>887</v>
      </c>
      <c r="C428" s="24" t="s">
        <v>1306</v>
      </c>
      <c r="D428" t="str">
        <f t="shared" si="6"/>
        <v>no</v>
      </c>
    </row>
    <row r="429" spans="2:4" x14ac:dyDescent="0.25">
      <c r="B429" s="24" t="s">
        <v>892</v>
      </c>
      <c r="C429" s="24" t="s">
        <v>1307</v>
      </c>
      <c r="D429" t="str">
        <f t="shared" si="6"/>
        <v>no</v>
      </c>
    </row>
    <row r="430" spans="2:4" x14ac:dyDescent="0.25">
      <c r="B430" s="24" t="s">
        <v>895</v>
      </c>
      <c r="C430" s="24" t="s">
        <v>1308</v>
      </c>
      <c r="D430" t="str">
        <f t="shared" si="6"/>
        <v>no</v>
      </c>
    </row>
    <row r="431" spans="2:4" x14ac:dyDescent="0.25">
      <c r="B431" s="24" t="s">
        <v>900</v>
      </c>
      <c r="C431" s="24" t="s">
        <v>1309</v>
      </c>
      <c r="D431" t="str">
        <f t="shared" si="6"/>
        <v>no</v>
      </c>
    </row>
    <row r="432" spans="2:4" x14ac:dyDescent="0.25">
      <c r="B432" s="24" t="s">
        <v>900</v>
      </c>
      <c r="C432" s="24" t="s">
        <v>1310</v>
      </c>
      <c r="D432" t="str">
        <f t="shared" si="6"/>
        <v>no</v>
      </c>
    </row>
    <row r="433" spans="2:4" x14ac:dyDescent="0.25">
      <c r="B433" s="24" t="s">
        <v>900</v>
      </c>
      <c r="C433" s="24" t="s">
        <v>1311</v>
      </c>
      <c r="D433" t="str">
        <f t="shared" si="6"/>
        <v>no</v>
      </c>
    </row>
    <row r="434" spans="2:4" x14ac:dyDescent="0.25">
      <c r="B434" s="24" t="s">
        <v>900</v>
      </c>
      <c r="C434" s="24" t="s">
        <v>1312</v>
      </c>
      <c r="D434" t="str">
        <f t="shared" si="6"/>
        <v>no</v>
      </c>
    </row>
    <row r="435" spans="2:4" x14ac:dyDescent="0.25">
      <c r="B435" s="24" t="s">
        <v>908</v>
      </c>
      <c r="C435" s="24" t="s">
        <v>1313</v>
      </c>
      <c r="D435" t="str">
        <f t="shared" si="6"/>
        <v>no</v>
      </c>
    </row>
    <row r="436" spans="2:4" x14ac:dyDescent="0.25">
      <c r="B436" s="24" t="s">
        <v>910</v>
      </c>
      <c r="C436" s="24" t="s">
        <v>1314</v>
      </c>
      <c r="D436" t="str">
        <f t="shared" si="6"/>
        <v>no</v>
      </c>
    </row>
    <row r="437" spans="2:4" x14ac:dyDescent="0.25">
      <c r="B437" s="24" t="s">
        <v>910</v>
      </c>
      <c r="C437" s="24" t="s">
        <v>1315</v>
      </c>
      <c r="D437" t="str">
        <f t="shared" si="6"/>
        <v>no</v>
      </c>
    </row>
    <row r="438" spans="2:4" x14ac:dyDescent="0.25">
      <c r="B438" s="24" t="s">
        <v>1003</v>
      </c>
      <c r="C438" s="24" t="s">
        <v>1316</v>
      </c>
      <c r="D438" t="str">
        <f t="shared" si="6"/>
        <v>no</v>
      </c>
    </row>
    <row r="439" spans="2:4" x14ac:dyDescent="0.25">
      <c r="B439" s="24" t="s">
        <v>920</v>
      </c>
      <c r="C439" s="24" t="s">
        <v>1317</v>
      </c>
      <c r="D439" t="str">
        <f t="shared" si="6"/>
        <v>no</v>
      </c>
    </row>
    <row r="440" spans="2:4" x14ac:dyDescent="0.25">
      <c r="B440" s="24" t="s">
        <v>920</v>
      </c>
      <c r="C440" s="24" t="s">
        <v>1318</v>
      </c>
      <c r="D440" t="str">
        <f t="shared" si="6"/>
        <v>no</v>
      </c>
    </row>
    <row r="441" spans="2:4" x14ac:dyDescent="0.25">
      <c r="B441" s="24" t="s">
        <v>920</v>
      </c>
      <c r="C441" s="24" t="s">
        <v>1319</v>
      </c>
      <c r="D441" t="str">
        <f t="shared" si="6"/>
        <v>no</v>
      </c>
    </row>
    <row r="442" spans="2:4" x14ac:dyDescent="0.25">
      <c r="B442" s="24" t="s">
        <v>920</v>
      </c>
      <c r="C442" s="24" t="s">
        <v>1320</v>
      </c>
      <c r="D442" t="str">
        <f t="shared" si="6"/>
        <v>no</v>
      </c>
    </row>
    <row r="443" spans="2:4" x14ac:dyDescent="0.25">
      <c r="B443" s="24" t="s">
        <v>928</v>
      </c>
      <c r="C443" s="24" t="s">
        <v>1321</v>
      </c>
      <c r="D443" t="str">
        <f t="shared" si="6"/>
        <v>no</v>
      </c>
    </row>
    <row r="444" spans="2:4" x14ac:dyDescent="0.25">
      <c r="B444" s="24" t="s">
        <v>930</v>
      </c>
      <c r="C444" s="24" t="s">
        <v>1322</v>
      </c>
      <c r="D444" t="str">
        <f t="shared" si="6"/>
        <v>no</v>
      </c>
    </row>
    <row r="445" spans="2:4" x14ac:dyDescent="0.25">
      <c r="B445" s="24" t="s">
        <v>930</v>
      </c>
      <c r="C445" s="24" t="s">
        <v>1323</v>
      </c>
      <c r="D445" t="str">
        <f t="shared" si="6"/>
        <v>no</v>
      </c>
    </row>
    <row r="446" spans="2:4" x14ac:dyDescent="0.25">
      <c r="B446" s="24" t="s">
        <v>1012</v>
      </c>
      <c r="C446" s="24" t="s">
        <v>1324</v>
      </c>
      <c r="D446" t="str">
        <f t="shared" si="6"/>
        <v>no</v>
      </c>
    </row>
    <row r="447" spans="2:4" x14ac:dyDescent="0.25">
      <c r="B447" s="24" t="s">
        <v>922</v>
      </c>
      <c r="C447" s="24" t="s">
        <v>1325</v>
      </c>
      <c r="D447" t="str">
        <f t="shared" si="6"/>
        <v>no</v>
      </c>
    </row>
    <row r="448" spans="2:4" x14ac:dyDescent="0.25">
      <c r="B448" s="24" t="s">
        <v>922</v>
      </c>
      <c r="C448" s="24" t="s">
        <v>1326</v>
      </c>
      <c r="D448" t="str">
        <f t="shared" si="6"/>
        <v>no</v>
      </c>
    </row>
    <row r="449" spans="2:4" x14ac:dyDescent="0.25">
      <c r="B449" s="24" t="s">
        <v>922</v>
      </c>
      <c r="C449" s="24" t="s">
        <v>1327</v>
      </c>
      <c r="D449" t="str">
        <f t="shared" si="6"/>
        <v>no</v>
      </c>
    </row>
    <row r="450" spans="2:4" x14ac:dyDescent="0.25">
      <c r="B450" s="24" t="s">
        <v>922</v>
      </c>
      <c r="C450" s="24" t="s">
        <v>1328</v>
      </c>
      <c r="D450" t="str">
        <f t="shared" si="6"/>
        <v>no</v>
      </c>
    </row>
    <row r="451" spans="2:4" x14ac:dyDescent="0.25">
      <c r="B451" s="24" t="s">
        <v>942</v>
      </c>
      <c r="C451" s="24" t="s">
        <v>1329</v>
      </c>
      <c r="D451" t="str">
        <f t="shared" ref="D451:D514" si="7">+IF(OR(B451="Transmitters",B451="DI"),"IO","no")</f>
        <v>no</v>
      </c>
    </row>
    <row r="452" spans="2:4" x14ac:dyDescent="0.25">
      <c r="B452" s="24" t="s">
        <v>945</v>
      </c>
      <c r="C452" s="24" t="s">
        <v>1330</v>
      </c>
      <c r="D452" t="str">
        <f t="shared" si="7"/>
        <v>no</v>
      </c>
    </row>
    <row r="453" spans="2:4" x14ac:dyDescent="0.25">
      <c r="B453" s="24" t="s">
        <v>945</v>
      </c>
      <c r="C453" s="24" t="s">
        <v>1331</v>
      </c>
      <c r="D453" t="str">
        <f t="shared" si="7"/>
        <v>no</v>
      </c>
    </row>
    <row r="454" spans="2:4" x14ac:dyDescent="0.25">
      <c r="B454" s="24" t="s">
        <v>1021</v>
      </c>
      <c r="C454" s="24" t="s">
        <v>1332</v>
      </c>
      <c r="D454" t="str">
        <f t="shared" si="7"/>
        <v>no</v>
      </c>
    </row>
    <row r="455" spans="2:4" x14ac:dyDescent="0.25">
      <c r="B455" s="24" t="s">
        <v>953</v>
      </c>
      <c r="C455" s="24" t="s">
        <v>1333</v>
      </c>
      <c r="D455" t="str">
        <f t="shared" si="7"/>
        <v>no</v>
      </c>
    </row>
    <row r="456" spans="2:4" x14ac:dyDescent="0.25">
      <c r="B456" s="24" t="s">
        <v>956</v>
      </c>
      <c r="C456" s="24" t="s">
        <v>1334</v>
      </c>
      <c r="D456" t="str">
        <f t="shared" si="7"/>
        <v>no</v>
      </c>
    </row>
    <row r="457" spans="2:4" x14ac:dyDescent="0.25">
      <c r="B457" s="24" t="s">
        <v>1162</v>
      </c>
      <c r="C457" s="24" t="s">
        <v>1335</v>
      </c>
      <c r="D457" t="str">
        <f t="shared" si="7"/>
        <v>no</v>
      </c>
    </row>
    <row r="458" spans="2:4" x14ac:dyDescent="0.25">
      <c r="B458" s="24" t="s">
        <v>962</v>
      </c>
      <c r="C458" s="24" t="s">
        <v>1336</v>
      </c>
      <c r="D458" t="str">
        <f t="shared" si="7"/>
        <v>no</v>
      </c>
    </row>
    <row r="459" spans="2:4" x14ac:dyDescent="0.25">
      <c r="B459" s="24" t="s">
        <v>1269</v>
      </c>
      <c r="C459" s="24" t="s">
        <v>1337</v>
      </c>
      <c r="D459" t="str">
        <f t="shared" si="7"/>
        <v>no</v>
      </c>
    </row>
    <row r="460" spans="2:4" x14ac:dyDescent="0.25">
      <c r="B460" s="24" t="s">
        <v>967</v>
      </c>
      <c r="C460" s="24" t="s">
        <v>1338</v>
      </c>
      <c r="D460" t="str">
        <f t="shared" si="7"/>
        <v>no</v>
      </c>
    </row>
    <row r="461" spans="2:4" x14ac:dyDescent="0.25">
      <c r="B461" s="24" t="s">
        <v>1278</v>
      </c>
      <c r="C461" s="24" t="s">
        <v>1339</v>
      </c>
      <c r="D461" t="str">
        <f t="shared" si="7"/>
        <v>no</v>
      </c>
    </row>
    <row r="462" spans="2:4" x14ac:dyDescent="0.25">
      <c r="B462" s="24" t="s">
        <v>864</v>
      </c>
      <c r="C462" s="24" t="s">
        <v>1340</v>
      </c>
      <c r="D462" t="str">
        <f t="shared" si="7"/>
        <v>no</v>
      </c>
    </row>
    <row r="463" spans="2:4" x14ac:dyDescent="0.25">
      <c r="B463" s="24" t="s">
        <v>824</v>
      </c>
      <c r="C463" s="24" t="s">
        <v>1341</v>
      </c>
      <c r="D463" t="str">
        <f t="shared" si="7"/>
        <v>IO</v>
      </c>
    </row>
    <row r="464" spans="2:4" x14ac:dyDescent="0.25">
      <c r="B464" s="24" t="s">
        <v>824</v>
      </c>
      <c r="C464" s="24" t="s">
        <v>1342</v>
      </c>
      <c r="D464" t="str">
        <f t="shared" si="7"/>
        <v>IO</v>
      </c>
    </row>
    <row r="465" spans="2:4" x14ac:dyDescent="0.25">
      <c r="B465" s="24" t="s">
        <v>824</v>
      </c>
      <c r="C465" s="24" t="s">
        <v>1343</v>
      </c>
      <c r="D465" t="str">
        <f t="shared" si="7"/>
        <v>IO</v>
      </c>
    </row>
    <row r="466" spans="2:4" x14ac:dyDescent="0.25">
      <c r="B466" s="24" t="s">
        <v>847</v>
      </c>
      <c r="C466" s="24" t="s">
        <v>1344</v>
      </c>
      <c r="D466" t="str">
        <f t="shared" si="7"/>
        <v>no</v>
      </c>
    </row>
    <row r="467" spans="2:4" x14ac:dyDescent="0.25">
      <c r="B467" s="24" t="s">
        <v>1345</v>
      </c>
      <c r="C467" s="24" t="s">
        <v>1346</v>
      </c>
      <c r="D467" t="str">
        <f t="shared" si="7"/>
        <v>IO</v>
      </c>
    </row>
    <row r="468" spans="2:4" x14ac:dyDescent="0.25">
      <c r="B468" s="24" t="s">
        <v>1345</v>
      </c>
      <c r="C468" s="24" t="s">
        <v>1347</v>
      </c>
      <c r="D468" t="str">
        <f t="shared" si="7"/>
        <v>IO</v>
      </c>
    </row>
    <row r="469" spans="2:4" x14ac:dyDescent="0.25">
      <c r="B469" s="24" t="s">
        <v>1345</v>
      </c>
      <c r="C469" s="24" t="s">
        <v>1348</v>
      </c>
      <c r="D469" t="str">
        <f t="shared" si="7"/>
        <v>IO</v>
      </c>
    </row>
    <row r="470" spans="2:4" x14ac:dyDescent="0.25">
      <c r="B470" s="24" t="s">
        <v>1345</v>
      </c>
      <c r="C470" s="24" t="s">
        <v>1349</v>
      </c>
      <c r="D470" t="str">
        <f t="shared" si="7"/>
        <v>IO</v>
      </c>
    </row>
    <row r="471" spans="2:4" x14ac:dyDescent="0.25">
      <c r="B471" s="24" t="s">
        <v>1345</v>
      </c>
      <c r="C471" s="24" t="s">
        <v>1350</v>
      </c>
      <c r="D471" t="str">
        <f t="shared" si="7"/>
        <v>IO</v>
      </c>
    </row>
    <row r="472" spans="2:4" x14ac:dyDescent="0.25">
      <c r="B472" s="24" t="s">
        <v>1345</v>
      </c>
      <c r="C472" s="24" t="s">
        <v>1351</v>
      </c>
      <c r="D472" t="str">
        <f t="shared" si="7"/>
        <v>IO</v>
      </c>
    </row>
    <row r="473" spans="2:4" x14ac:dyDescent="0.25">
      <c r="B473" s="24" t="s">
        <v>1345</v>
      </c>
      <c r="C473" s="24" t="s">
        <v>1352</v>
      </c>
      <c r="D473" t="str">
        <f t="shared" si="7"/>
        <v>IO</v>
      </c>
    </row>
    <row r="474" spans="2:4" x14ac:dyDescent="0.25">
      <c r="B474" s="24" t="s">
        <v>1345</v>
      </c>
      <c r="C474" s="24" t="s">
        <v>1353</v>
      </c>
      <c r="D474" t="str">
        <f t="shared" si="7"/>
        <v>IO</v>
      </c>
    </row>
    <row r="475" spans="2:4" x14ac:dyDescent="0.25">
      <c r="B475" s="24" t="s">
        <v>1345</v>
      </c>
      <c r="C475" s="24" t="s">
        <v>1354</v>
      </c>
      <c r="D475" t="str">
        <f t="shared" si="7"/>
        <v>IO</v>
      </c>
    </row>
    <row r="476" spans="2:4" x14ac:dyDescent="0.25">
      <c r="B476" s="24" t="s">
        <v>1345</v>
      </c>
      <c r="C476" s="24" t="s">
        <v>1355</v>
      </c>
      <c r="D476" t="str">
        <f t="shared" si="7"/>
        <v>IO</v>
      </c>
    </row>
    <row r="477" spans="2:4" x14ac:dyDescent="0.25">
      <c r="B477" s="24" t="s">
        <v>1345</v>
      </c>
      <c r="C477" s="24" t="s">
        <v>1356</v>
      </c>
      <c r="D477" t="str">
        <f t="shared" si="7"/>
        <v>IO</v>
      </c>
    </row>
    <row r="478" spans="2:4" x14ac:dyDescent="0.25">
      <c r="B478" s="24" t="s">
        <v>1345</v>
      </c>
      <c r="C478" s="24" t="s">
        <v>1357</v>
      </c>
      <c r="D478" t="str">
        <f t="shared" si="7"/>
        <v>IO</v>
      </c>
    </row>
    <row r="479" spans="2:4" x14ac:dyDescent="0.25">
      <c r="B479" s="24" t="s">
        <v>1345</v>
      </c>
      <c r="C479" s="24" t="s">
        <v>1358</v>
      </c>
      <c r="D479" t="str">
        <f t="shared" si="7"/>
        <v>IO</v>
      </c>
    </row>
    <row r="480" spans="2:4" x14ac:dyDescent="0.25">
      <c r="B480" s="24" t="s">
        <v>1345</v>
      </c>
      <c r="C480" s="24" t="s">
        <v>1359</v>
      </c>
      <c r="D480" t="str">
        <f t="shared" si="7"/>
        <v>IO</v>
      </c>
    </row>
    <row r="481" spans="2:4" x14ac:dyDescent="0.25">
      <c r="B481" s="24" t="s">
        <v>1345</v>
      </c>
      <c r="C481" s="24" t="s">
        <v>1360</v>
      </c>
      <c r="D481" t="str">
        <f t="shared" si="7"/>
        <v>IO</v>
      </c>
    </row>
    <row r="482" spans="2:4" x14ac:dyDescent="0.25">
      <c r="B482" s="24" t="s">
        <v>1345</v>
      </c>
      <c r="C482" s="24" t="s">
        <v>1361</v>
      </c>
      <c r="D482" t="str">
        <f t="shared" si="7"/>
        <v>IO</v>
      </c>
    </row>
    <row r="483" spans="2:4" x14ac:dyDescent="0.25">
      <c r="B483" s="24" t="s">
        <v>1345</v>
      </c>
      <c r="C483" s="24" t="s">
        <v>1362</v>
      </c>
      <c r="D483" t="str">
        <f t="shared" si="7"/>
        <v>IO</v>
      </c>
    </row>
    <row r="484" spans="2:4" x14ac:dyDescent="0.25">
      <c r="B484" s="24" t="s">
        <v>1345</v>
      </c>
      <c r="C484" s="24" t="s">
        <v>1363</v>
      </c>
      <c r="D484" t="str">
        <f t="shared" si="7"/>
        <v>IO</v>
      </c>
    </row>
    <row r="485" spans="2:4" x14ac:dyDescent="0.25">
      <c r="B485" s="24" t="s">
        <v>1345</v>
      </c>
      <c r="C485" s="24" t="s">
        <v>1364</v>
      </c>
      <c r="D485" t="str">
        <f t="shared" si="7"/>
        <v>IO</v>
      </c>
    </row>
    <row r="486" spans="2:4" x14ac:dyDescent="0.25">
      <c r="B486" s="24" t="s">
        <v>1345</v>
      </c>
      <c r="C486" s="24" t="s">
        <v>1365</v>
      </c>
      <c r="D486" t="str">
        <f t="shared" si="7"/>
        <v>IO</v>
      </c>
    </row>
    <row r="487" spans="2:4" x14ac:dyDescent="0.25">
      <c r="B487" s="24" t="s">
        <v>1345</v>
      </c>
      <c r="C487" s="24" t="s">
        <v>1366</v>
      </c>
      <c r="D487" t="str">
        <f t="shared" si="7"/>
        <v>IO</v>
      </c>
    </row>
    <row r="488" spans="2:4" x14ac:dyDescent="0.25">
      <c r="B488" s="24" t="s">
        <v>1345</v>
      </c>
      <c r="C488" s="24" t="s">
        <v>1367</v>
      </c>
      <c r="D488" t="str">
        <f t="shared" si="7"/>
        <v>IO</v>
      </c>
    </row>
    <row r="489" spans="2:4" x14ac:dyDescent="0.25">
      <c r="B489" s="24" t="s">
        <v>1345</v>
      </c>
      <c r="C489" s="24" t="s">
        <v>1368</v>
      </c>
      <c r="D489" t="str">
        <f t="shared" si="7"/>
        <v>IO</v>
      </c>
    </row>
    <row r="490" spans="2:4" x14ac:dyDescent="0.25">
      <c r="B490" s="24" t="s">
        <v>1345</v>
      </c>
      <c r="C490" s="24" t="s">
        <v>1369</v>
      </c>
      <c r="D490" t="str">
        <f t="shared" si="7"/>
        <v>IO</v>
      </c>
    </row>
    <row r="491" spans="2:4" x14ac:dyDescent="0.25">
      <c r="B491" s="24" t="s">
        <v>1345</v>
      </c>
      <c r="C491" s="24" t="s">
        <v>1370</v>
      </c>
      <c r="D491" t="str">
        <f t="shared" si="7"/>
        <v>IO</v>
      </c>
    </row>
    <row r="492" spans="2:4" x14ac:dyDescent="0.25">
      <c r="B492" s="24" t="s">
        <v>1345</v>
      </c>
      <c r="C492" s="24" t="s">
        <v>1371</v>
      </c>
      <c r="D492" t="str">
        <f t="shared" si="7"/>
        <v>IO</v>
      </c>
    </row>
    <row r="493" spans="2:4" x14ac:dyDescent="0.25">
      <c r="B493" s="24" t="s">
        <v>1345</v>
      </c>
      <c r="C493" s="24" t="s">
        <v>1372</v>
      </c>
      <c r="D493" t="str">
        <f t="shared" si="7"/>
        <v>IO</v>
      </c>
    </row>
    <row r="494" spans="2:4" x14ac:dyDescent="0.25">
      <c r="B494" s="24" t="s">
        <v>1345</v>
      </c>
      <c r="C494" s="24" t="s">
        <v>1373</v>
      </c>
      <c r="D494" t="str">
        <f t="shared" si="7"/>
        <v>IO</v>
      </c>
    </row>
    <row r="495" spans="2:4" x14ac:dyDescent="0.25">
      <c r="B495" s="24" t="s">
        <v>1345</v>
      </c>
      <c r="C495" s="24" t="s">
        <v>1374</v>
      </c>
      <c r="D495" t="str">
        <f t="shared" si="7"/>
        <v>IO</v>
      </c>
    </row>
    <row r="496" spans="2:4" x14ac:dyDescent="0.25">
      <c r="B496" s="24" t="s">
        <v>1345</v>
      </c>
      <c r="C496" s="24" t="s">
        <v>1375</v>
      </c>
      <c r="D496" t="str">
        <f t="shared" si="7"/>
        <v>IO</v>
      </c>
    </row>
    <row r="497" spans="2:4" x14ac:dyDescent="0.25">
      <c r="B497" s="24" t="s">
        <v>1345</v>
      </c>
      <c r="C497" s="24" t="s">
        <v>1376</v>
      </c>
      <c r="D497" t="str">
        <f t="shared" si="7"/>
        <v>IO</v>
      </c>
    </row>
    <row r="498" spans="2:4" x14ac:dyDescent="0.25">
      <c r="B498" s="24" t="s">
        <v>1345</v>
      </c>
      <c r="C498" s="24" t="s">
        <v>1377</v>
      </c>
      <c r="D498" t="str">
        <f t="shared" si="7"/>
        <v>IO</v>
      </c>
    </row>
    <row r="499" spans="2:4" x14ac:dyDescent="0.25">
      <c r="B499" s="24" t="s">
        <v>1345</v>
      </c>
      <c r="C499" s="24" t="s">
        <v>1378</v>
      </c>
      <c r="D499" t="str">
        <f t="shared" si="7"/>
        <v>IO</v>
      </c>
    </row>
    <row r="500" spans="2:4" x14ac:dyDescent="0.25">
      <c r="B500" s="24" t="s">
        <v>1345</v>
      </c>
      <c r="C500" s="24" t="s">
        <v>1379</v>
      </c>
      <c r="D500" t="str">
        <f t="shared" si="7"/>
        <v>IO</v>
      </c>
    </row>
    <row r="501" spans="2:4" x14ac:dyDescent="0.25">
      <c r="B501" s="24" t="s">
        <v>1345</v>
      </c>
      <c r="C501" s="24" t="s">
        <v>1380</v>
      </c>
      <c r="D501" t="str">
        <f t="shared" si="7"/>
        <v>IO</v>
      </c>
    </row>
    <row r="502" spans="2:4" x14ac:dyDescent="0.25">
      <c r="B502" s="24" t="s">
        <v>1345</v>
      </c>
      <c r="C502" s="24" t="s">
        <v>1381</v>
      </c>
      <c r="D502" t="str">
        <f t="shared" si="7"/>
        <v>IO</v>
      </c>
    </row>
    <row r="503" spans="2:4" x14ac:dyDescent="0.25">
      <c r="B503" s="24" t="s">
        <v>1345</v>
      </c>
      <c r="C503" s="24" t="s">
        <v>1382</v>
      </c>
      <c r="D503" t="str">
        <f t="shared" si="7"/>
        <v>IO</v>
      </c>
    </row>
    <row r="504" spans="2:4" x14ac:dyDescent="0.25">
      <c r="B504" s="24" t="s">
        <v>1345</v>
      </c>
      <c r="C504" s="24" t="s">
        <v>1383</v>
      </c>
      <c r="D504" t="str">
        <f t="shared" si="7"/>
        <v>IO</v>
      </c>
    </row>
    <row r="505" spans="2:4" x14ac:dyDescent="0.25">
      <c r="B505" s="24" t="s">
        <v>1345</v>
      </c>
      <c r="C505" s="24" t="s">
        <v>1384</v>
      </c>
      <c r="D505" t="str">
        <f t="shared" si="7"/>
        <v>IO</v>
      </c>
    </row>
    <row r="506" spans="2:4" x14ac:dyDescent="0.25">
      <c r="B506" s="24" t="s">
        <v>1345</v>
      </c>
      <c r="C506" s="24" t="s">
        <v>1385</v>
      </c>
      <c r="D506" t="str">
        <f t="shared" si="7"/>
        <v>IO</v>
      </c>
    </row>
    <row r="507" spans="2:4" x14ac:dyDescent="0.25">
      <c r="B507" s="24" t="s">
        <v>1345</v>
      </c>
      <c r="C507" s="24" t="s">
        <v>1386</v>
      </c>
      <c r="D507" t="str">
        <f t="shared" si="7"/>
        <v>IO</v>
      </c>
    </row>
    <row r="508" spans="2:4" x14ac:dyDescent="0.25">
      <c r="B508" s="24" t="s">
        <v>1345</v>
      </c>
      <c r="C508" s="24" t="s">
        <v>1387</v>
      </c>
      <c r="D508" t="str">
        <f t="shared" si="7"/>
        <v>IO</v>
      </c>
    </row>
    <row r="509" spans="2:4" x14ac:dyDescent="0.25">
      <c r="B509" s="24" t="s">
        <v>1345</v>
      </c>
      <c r="C509" s="24" t="s">
        <v>1388</v>
      </c>
      <c r="D509" t="str">
        <f t="shared" si="7"/>
        <v>IO</v>
      </c>
    </row>
    <row r="510" spans="2:4" x14ac:dyDescent="0.25">
      <c r="B510" s="24" t="s">
        <v>1345</v>
      </c>
      <c r="C510" s="24" t="s">
        <v>1389</v>
      </c>
      <c r="D510" t="str">
        <f t="shared" si="7"/>
        <v>IO</v>
      </c>
    </row>
    <row r="511" spans="2:4" x14ac:dyDescent="0.25">
      <c r="B511" s="24" t="s">
        <v>1345</v>
      </c>
      <c r="C511" s="24" t="s">
        <v>1390</v>
      </c>
      <c r="D511" t="str">
        <f t="shared" si="7"/>
        <v>IO</v>
      </c>
    </row>
    <row r="512" spans="2:4" x14ac:dyDescent="0.25">
      <c r="B512" s="24" t="s">
        <v>1345</v>
      </c>
      <c r="C512" s="24" t="s">
        <v>1391</v>
      </c>
      <c r="D512" t="str">
        <f t="shared" si="7"/>
        <v>IO</v>
      </c>
    </row>
    <row r="513" spans="2:4" x14ac:dyDescent="0.25">
      <c r="B513" s="24" t="s">
        <v>1345</v>
      </c>
      <c r="C513" s="24" t="s">
        <v>1392</v>
      </c>
      <c r="D513" t="str">
        <f t="shared" si="7"/>
        <v>IO</v>
      </c>
    </row>
    <row r="514" spans="2:4" x14ac:dyDescent="0.25">
      <c r="B514" s="24" t="s">
        <v>1345</v>
      </c>
      <c r="C514" s="24" t="s">
        <v>1393</v>
      </c>
      <c r="D514" t="str">
        <f t="shared" si="7"/>
        <v>IO</v>
      </c>
    </row>
    <row r="515" spans="2:4" x14ac:dyDescent="0.25">
      <c r="B515" s="24" t="s">
        <v>1345</v>
      </c>
      <c r="C515" s="24" t="s">
        <v>1394</v>
      </c>
      <c r="D515" t="str">
        <f t="shared" ref="D515:D524" si="8">+IF(OR(B515="Transmitters",B515="DI"),"IO","no")</f>
        <v>IO</v>
      </c>
    </row>
    <row r="516" spans="2:4" x14ac:dyDescent="0.25">
      <c r="B516" s="24" t="s">
        <v>1345</v>
      </c>
      <c r="C516" s="24" t="s">
        <v>1395</v>
      </c>
      <c r="D516" t="str">
        <f t="shared" si="8"/>
        <v>IO</v>
      </c>
    </row>
    <row r="517" spans="2:4" x14ac:dyDescent="0.25">
      <c r="B517" s="24" t="s">
        <v>1345</v>
      </c>
      <c r="C517" s="24" t="s">
        <v>1396</v>
      </c>
      <c r="D517" t="str">
        <f t="shared" si="8"/>
        <v>IO</v>
      </c>
    </row>
    <row r="518" spans="2:4" x14ac:dyDescent="0.25">
      <c r="B518" s="24" t="s">
        <v>1345</v>
      </c>
      <c r="C518" s="24" t="s">
        <v>1397</v>
      </c>
      <c r="D518" t="str">
        <f t="shared" si="8"/>
        <v>IO</v>
      </c>
    </row>
    <row r="519" spans="2:4" x14ac:dyDescent="0.25">
      <c r="B519" s="24" t="s">
        <v>1345</v>
      </c>
      <c r="C519" s="24" t="s">
        <v>1398</v>
      </c>
      <c r="D519" t="str">
        <f t="shared" si="8"/>
        <v>IO</v>
      </c>
    </row>
    <row r="520" spans="2:4" x14ac:dyDescent="0.25">
      <c r="B520" s="24" t="s">
        <v>1345</v>
      </c>
      <c r="C520" s="24" t="s">
        <v>1399</v>
      </c>
      <c r="D520" t="str">
        <f t="shared" si="8"/>
        <v>IO</v>
      </c>
    </row>
    <row r="521" spans="2:4" x14ac:dyDescent="0.25">
      <c r="B521" s="24" t="s">
        <v>1345</v>
      </c>
      <c r="C521" s="24" t="s">
        <v>1400</v>
      </c>
      <c r="D521" t="str">
        <f t="shared" si="8"/>
        <v>IO</v>
      </c>
    </row>
    <row r="522" spans="2:4" x14ac:dyDescent="0.25">
      <c r="B522" s="24" t="s">
        <v>1345</v>
      </c>
      <c r="C522" s="24" t="s">
        <v>1401</v>
      </c>
      <c r="D522" t="str">
        <f t="shared" si="8"/>
        <v>IO</v>
      </c>
    </row>
    <row r="523" spans="2:4" x14ac:dyDescent="0.25">
      <c r="B523" s="24" t="s">
        <v>1278</v>
      </c>
      <c r="C523" s="24" t="s">
        <v>1402</v>
      </c>
      <c r="D523" t="str">
        <f t="shared" si="8"/>
        <v>no</v>
      </c>
    </row>
    <row r="524" spans="2:4" x14ac:dyDescent="0.25">
      <c r="B524" s="24" t="s">
        <v>1278</v>
      </c>
      <c r="C524" s="24" t="s">
        <v>1403</v>
      </c>
      <c r="D524" t="str">
        <f t="shared" si="8"/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71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" x14ac:dyDescent="0.25"/>
  <cols>
    <col min="1" max="1" width="4.85546875" customWidth="1"/>
    <col min="2" max="2" width="16.140625" customWidth="1"/>
    <col min="3" max="3" width="28.7109375" customWidth="1"/>
    <col min="5" max="5" width="24.140625" customWidth="1"/>
    <col min="6" max="6" width="17.5703125" bestFit="1" customWidth="1"/>
    <col min="7" max="7" width="17.42578125" bestFit="1" customWidth="1"/>
    <col min="8" max="8" width="29.42578125" bestFit="1" customWidth="1"/>
    <col min="9" max="9" width="11.5703125" bestFit="1" customWidth="1"/>
  </cols>
  <sheetData>
    <row r="1" spans="2:9" ht="18.75" x14ac:dyDescent="0.3">
      <c r="B1" t="s">
        <v>2179</v>
      </c>
      <c r="C1" t="s">
        <v>2174</v>
      </c>
      <c r="D1" t="s">
        <v>17</v>
      </c>
      <c r="E1" t="s">
        <v>2175</v>
      </c>
      <c r="F1" t="s">
        <v>2177</v>
      </c>
      <c r="G1" t="s">
        <v>2176</v>
      </c>
      <c r="H1" s="26" t="s">
        <v>2178</v>
      </c>
      <c r="I1" s="26" t="s">
        <v>1709</v>
      </c>
    </row>
    <row r="2" spans="2:9" x14ac:dyDescent="0.25">
      <c r="B2" s="27" t="s">
        <v>18</v>
      </c>
      <c r="C2" s="27" t="s">
        <v>19</v>
      </c>
      <c r="D2" s="27">
        <v>0</v>
      </c>
      <c r="E2" s="27" t="s">
        <v>20</v>
      </c>
      <c r="F2" s="28" t="str">
        <f t="shared" ref="F2:F65" si="0">+LEFT(E2,FIND(".",E2,1)-1)</f>
        <v>AT740106</v>
      </c>
      <c r="G2" s="28" t="str">
        <f t="shared" ref="G2:G65" si="1">+IFERROR(IF(LEFT(VLOOKUP(F2,DI,6,FALSE),2)="IO",2,0),"N/A")</f>
        <v>N/A</v>
      </c>
      <c r="H2" s="25" t="str">
        <f t="shared" ref="H2:H65" si="2">+CONCATENATE(C2,".MA")</f>
        <v>AA740106IO_COMP1.MA</v>
      </c>
      <c r="I2" s="25" t="str">
        <f>+G2</f>
        <v>N/A</v>
      </c>
    </row>
    <row r="3" spans="2:9" x14ac:dyDescent="0.25">
      <c r="B3" s="27" t="s">
        <v>18</v>
      </c>
      <c r="C3" s="27" t="s">
        <v>21</v>
      </c>
      <c r="D3" s="27">
        <v>0</v>
      </c>
      <c r="E3" s="27" t="s">
        <v>22</v>
      </c>
      <c r="F3" s="28" t="str">
        <f t="shared" si="0"/>
        <v>AT702008</v>
      </c>
      <c r="G3" s="28" t="str">
        <f t="shared" si="1"/>
        <v>N/A</v>
      </c>
      <c r="H3" s="25" t="str">
        <f t="shared" si="2"/>
        <v>AI702008IO.MA</v>
      </c>
      <c r="I3" s="25" t="str">
        <f t="shared" ref="I3:I66" si="3">+G3</f>
        <v>N/A</v>
      </c>
    </row>
    <row r="4" spans="2:9" x14ac:dyDescent="0.25">
      <c r="B4" s="27" t="s">
        <v>18</v>
      </c>
      <c r="C4" s="27" t="s">
        <v>23</v>
      </c>
      <c r="D4" s="27">
        <v>0</v>
      </c>
      <c r="E4" s="27" t="s">
        <v>24</v>
      </c>
      <c r="F4" s="28" t="str">
        <f t="shared" si="0"/>
        <v>AT702009</v>
      </c>
      <c r="G4" s="28" t="str">
        <f t="shared" si="1"/>
        <v>N/A</v>
      </c>
      <c r="H4" s="25" t="str">
        <f t="shared" si="2"/>
        <v>AI702009IO.MA</v>
      </c>
      <c r="I4" s="25" t="str">
        <f t="shared" si="3"/>
        <v>N/A</v>
      </c>
    </row>
    <row r="5" spans="2:9" x14ac:dyDescent="0.25">
      <c r="B5" s="27" t="s">
        <v>18</v>
      </c>
      <c r="C5" s="27" t="s">
        <v>25</v>
      </c>
      <c r="D5" s="27">
        <v>0</v>
      </c>
      <c r="E5" s="27" t="s">
        <v>20</v>
      </c>
      <c r="F5" s="28" t="str">
        <f t="shared" si="0"/>
        <v>AT740106</v>
      </c>
      <c r="G5" s="28" t="str">
        <f t="shared" si="1"/>
        <v>N/A</v>
      </c>
      <c r="H5" s="25" t="str">
        <f t="shared" si="2"/>
        <v>AI740106IO.MA</v>
      </c>
      <c r="I5" s="25" t="str">
        <f t="shared" si="3"/>
        <v>N/A</v>
      </c>
    </row>
    <row r="6" spans="2:9" x14ac:dyDescent="0.25">
      <c r="B6" s="27" t="s">
        <v>18</v>
      </c>
      <c r="C6" s="27" t="s">
        <v>26</v>
      </c>
      <c r="D6" s="27">
        <v>0</v>
      </c>
      <c r="E6" s="27" t="s">
        <v>27</v>
      </c>
      <c r="F6" s="28" t="str">
        <f t="shared" si="0"/>
        <v>AT750161A</v>
      </c>
      <c r="G6" s="28" t="str">
        <f t="shared" si="1"/>
        <v>N/A</v>
      </c>
      <c r="H6" s="25" t="str">
        <f t="shared" si="2"/>
        <v>AI750161AIO.MA</v>
      </c>
      <c r="I6" s="25" t="str">
        <f t="shared" si="3"/>
        <v>N/A</v>
      </c>
    </row>
    <row r="7" spans="2:9" x14ac:dyDescent="0.25">
      <c r="B7" s="27" t="s">
        <v>18</v>
      </c>
      <c r="C7" s="27" t="s">
        <v>28</v>
      </c>
      <c r="D7" s="27">
        <v>0</v>
      </c>
      <c r="E7" s="27" t="s">
        <v>29</v>
      </c>
      <c r="F7" s="28" t="str">
        <f t="shared" si="0"/>
        <v>AT750161B</v>
      </c>
      <c r="G7" s="28" t="str">
        <f t="shared" si="1"/>
        <v>N/A</v>
      </c>
      <c r="H7" s="25" t="str">
        <f t="shared" si="2"/>
        <v>AI750161BIO.MA</v>
      </c>
      <c r="I7" s="25" t="str">
        <f t="shared" si="3"/>
        <v>N/A</v>
      </c>
    </row>
    <row r="8" spans="2:9" x14ac:dyDescent="0.25">
      <c r="B8" s="27" t="s">
        <v>18</v>
      </c>
      <c r="C8" s="27" t="s">
        <v>30</v>
      </c>
      <c r="D8" s="27">
        <v>1</v>
      </c>
      <c r="E8" s="27" t="s">
        <v>31</v>
      </c>
      <c r="F8" s="28" t="str">
        <f t="shared" si="0"/>
        <v>AT760161A</v>
      </c>
      <c r="G8" s="28" t="str">
        <f t="shared" si="1"/>
        <v>N/A</v>
      </c>
      <c r="H8" s="25" t="str">
        <f t="shared" si="2"/>
        <v>AI760161AIO.MA</v>
      </c>
      <c r="I8" s="25" t="str">
        <f t="shared" si="3"/>
        <v>N/A</v>
      </c>
    </row>
    <row r="9" spans="2:9" x14ac:dyDescent="0.25">
      <c r="B9" s="27" t="s">
        <v>18</v>
      </c>
      <c r="C9" s="27" t="s">
        <v>32</v>
      </c>
      <c r="D9" s="27">
        <v>1</v>
      </c>
      <c r="E9" s="27" t="s">
        <v>33</v>
      </c>
      <c r="F9" s="28" t="str">
        <f t="shared" si="0"/>
        <v>AT760161B</v>
      </c>
      <c r="G9" s="28" t="str">
        <f t="shared" si="1"/>
        <v>N/A</v>
      </c>
      <c r="H9" s="25" t="str">
        <f t="shared" si="2"/>
        <v>AI760161BIO.MA</v>
      </c>
      <c r="I9" s="25" t="str">
        <f t="shared" si="3"/>
        <v>N/A</v>
      </c>
    </row>
    <row r="10" spans="2:9" x14ac:dyDescent="0.25">
      <c r="B10" s="27" t="s">
        <v>18</v>
      </c>
      <c r="C10" s="27" t="s">
        <v>34</v>
      </c>
      <c r="D10" s="27">
        <v>1</v>
      </c>
      <c r="E10" s="27" t="s">
        <v>35</v>
      </c>
      <c r="F10" s="28" t="str">
        <f t="shared" si="0"/>
        <v>AT790006</v>
      </c>
      <c r="G10" s="28" t="str">
        <f t="shared" si="1"/>
        <v>N/A</v>
      </c>
      <c r="H10" s="25" t="str">
        <f t="shared" si="2"/>
        <v>AI790006IO.MA</v>
      </c>
      <c r="I10" s="25" t="str">
        <f t="shared" si="3"/>
        <v>N/A</v>
      </c>
    </row>
    <row r="11" spans="2:9" x14ac:dyDescent="0.25">
      <c r="B11" s="27" t="s">
        <v>18</v>
      </c>
      <c r="C11" s="27" t="s">
        <v>36</v>
      </c>
      <c r="D11" s="27">
        <v>0</v>
      </c>
      <c r="E11" s="27" t="s">
        <v>37</v>
      </c>
      <c r="F11" s="28" t="str">
        <f t="shared" si="0"/>
        <v>AT799206</v>
      </c>
      <c r="G11" s="28" t="str">
        <f t="shared" si="1"/>
        <v>N/A</v>
      </c>
      <c r="H11" s="25" t="str">
        <f t="shared" si="2"/>
        <v>AI799206IO.MA</v>
      </c>
      <c r="I11" s="25" t="str">
        <f t="shared" si="3"/>
        <v>N/A</v>
      </c>
    </row>
    <row r="12" spans="2:9" x14ac:dyDescent="0.25">
      <c r="B12" s="27" t="s">
        <v>18</v>
      </c>
      <c r="C12" s="27" t="s">
        <v>38</v>
      </c>
      <c r="D12" s="27">
        <v>0</v>
      </c>
      <c r="E12" s="27" t="s">
        <v>39</v>
      </c>
      <c r="F12" s="28" t="str">
        <f t="shared" si="0"/>
        <v>AT799501</v>
      </c>
      <c r="G12" s="28" t="str">
        <f t="shared" si="1"/>
        <v>N/A</v>
      </c>
      <c r="H12" s="25" t="str">
        <f t="shared" si="2"/>
        <v>AI799501IO.MA</v>
      </c>
      <c r="I12" s="25" t="str">
        <f t="shared" si="3"/>
        <v>N/A</v>
      </c>
    </row>
    <row r="13" spans="2:9" x14ac:dyDescent="0.25">
      <c r="B13" s="27" t="s">
        <v>18</v>
      </c>
      <c r="C13" s="27" t="s">
        <v>40</v>
      </c>
      <c r="D13" s="27">
        <v>0</v>
      </c>
      <c r="E13" s="27" t="s">
        <v>41</v>
      </c>
      <c r="F13" s="28" t="str">
        <f t="shared" si="0"/>
        <v>AT799502</v>
      </c>
      <c r="G13" s="28" t="str">
        <f t="shared" si="1"/>
        <v>N/A</v>
      </c>
      <c r="H13" s="25" t="str">
        <f t="shared" si="2"/>
        <v>AI799502IO.MA</v>
      </c>
      <c r="I13" s="25" t="str">
        <f t="shared" si="3"/>
        <v>N/A</v>
      </c>
    </row>
    <row r="14" spans="2:9" x14ac:dyDescent="0.25">
      <c r="B14" s="27" t="s">
        <v>18</v>
      </c>
      <c r="C14" s="27" t="s">
        <v>42</v>
      </c>
      <c r="D14" s="27">
        <v>0</v>
      </c>
      <c r="E14" s="27" t="s">
        <v>43</v>
      </c>
      <c r="F14" s="28" t="str">
        <f t="shared" si="0"/>
        <v>AT799506</v>
      </c>
      <c r="G14" s="28" t="str">
        <f t="shared" si="1"/>
        <v>N/A</v>
      </c>
      <c r="H14" s="25" t="str">
        <f t="shared" si="2"/>
        <v>AI799506IO.MA</v>
      </c>
      <c r="I14" s="25" t="str">
        <f t="shared" si="3"/>
        <v>N/A</v>
      </c>
    </row>
    <row r="15" spans="2:9" x14ac:dyDescent="0.25">
      <c r="B15" s="27" t="s">
        <v>18</v>
      </c>
      <c r="C15" s="27" t="s">
        <v>44</v>
      </c>
      <c r="D15" s="27">
        <v>0</v>
      </c>
      <c r="E15" s="27" t="s">
        <v>45</v>
      </c>
      <c r="F15" s="28" t="str">
        <f t="shared" si="0"/>
        <v>AT799507</v>
      </c>
      <c r="G15" s="28" t="str">
        <f t="shared" si="1"/>
        <v>N/A</v>
      </c>
      <c r="H15" s="25" t="str">
        <f t="shared" si="2"/>
        <v>AI799507IO.MA</v>
      </c>
      <c r="I15" s="25" t="str">
        <f t="shared" si="3"/>
        <v>N/A</v>
      </c>
    </row>
    <row r="16" spans="2:9" x14ac:dyDescent="0.25">
      <c r="B16" s="27" t="s">
        <v>18</v>
      </c>
      <c r="C16" s="27" t="s">
        <v>46</v>
      </c>
      <c r="D16" s="27">
        <v>0</v>
      </c>
      <c r="E16" s="27" t="s">
        <v>47</v>
      </c>
      <c r="F16" s="28" t="str">
        <f t="shared" si="0"/>
        <v>AT799508</v>
      </c>
      <c r="G16" s="28" t="str">
        <f t="shared" si="1"/>
        <v>N/A</v>
      </c>
      <c r="H16" s="25" t="str">
        <f t="shared" si="2"/>
        <v>AI799508IO.MA</v>
      </c>
      <c r="I16" s="25" t="str">
        <f t="shared" si="3"/>
        <v>N/A</v>
      </c>
    </row>
    <row r="17" spans="2:9" x14ac:dyDescent="0.25">
      <c r="B17" s="27" t="s">
        <v>18</v>
      </c>
      <c r="C17" s="27" t="s">
        <v>48</v>
      </c>
      <c r="D17" s="27">
        <v>0</v>
      </c>
      <c r="E17" s="27" t="s">
        <v>49</v>
      </c>
      <c r="F17" s="28" t="str">
        <f t="shared" si="0"/>
        <v>DT700018A</v>
      </c>
      <c r="G17" s="28" t="str">
        <f t="shared" si="1"/>
        <v>N/A</v>
      </c>
      <c r="H17" s="25" t="str">
        <f t="shared" si="2"/>
        <v>DI700018A_1oo2IO_MA1.MA</v>
      </c>
      <c r="I17" s="25" t="str">
        <f t="shared" si="3"/>
        <v>N/A</v>
      </c>
    </row>
    <row r="18" spans="2:9" x14ac:dyDescent="0.25">
      <c r="B18" s="27" t="s">
        <v>18</v>
      </c>
      <c r="C18" s="27" t="s">
        <v>50</v>
      </c>
      <c r="D18" s="27">
        <v>0</v>
      </c>
      <c r="E18" s="27" t="s">
        <v>51</v>
      </c>
      <c r="F18" s="28" t="str">
        <f t="shared" si="0"/>
        <v>DT700018B</v>
      </c>
      <c r="G18" s="28" t="str">
        <f t="shared" si="1"/>
        <v>N/A</v>
      </c>
      <c r="H18" s="25" t="str">
        <f t="shared" si="2"/>
        <v>DI700018A_1oo2IO_MA2.MA</v>
      </c>
      <c r="I18" s="25" t="str">
        <f t="shared" si="3"/>
        <v>N/A</v>
      </c>
    </row>
    <row r="19" spans="2:9" x14ac:dyDescent="0.25">
      <c r="B19" s="27" t="s">
        <v>18</v>
      </c>
      <c r="C19" s="27" t="s">
        <v>52</v>
      </c>
      <c r="D19" s="27">
        <v>0</v>
      </c>
      <c r="E19" s="27" t="s">
        <v>53</v>
      </c>
      <c r="F19" s="28" t="str">
        <f t="shared" si="0"/>
        <v>DT703002A</v>
      </c>
      <c r="G19" s="28" t="str">
        <f t="shared" si="1"/>
        <v>N/A</v>
      </c>
      <c r="H19" s="25" t="str">
        <f t="shared" si="2"/>
        <v>DI703002A_1oo2IO_MA1.MA</v>
      </c>
      <c r="I19" s="25" t="str">
        <f t="shared" si="3"/>
        <v>N/A</v>
      </c>
    </row>
    <row r="20" spans="2:9" x14ac:dyDescent="0.25">
      <c r="B20" s="27" t="s">
        <v>18</v>
      </c>
      <c r="C20" s="27" t="s">
        <v>54</v>
      </c>
      <c r="D20" s="27">
        <v>0</v>
      </c>
      <c r="E20" s="27" t="s">
        <v>53</v>
      </c>
      <c r="F20" s="28" t="str">
        <f t="shared" si="0"/>
        <v>DT703002A</v>
      </c>
      <c r="G20" s="28" t="str">
        <f t="shared" si="1"/>
        <v>N/A</v>
      </c>
      <c r="H20" s="25" t="str">
        <f t="shared" si="2"/>
        <v>DI703002A_1oo2IO_MA2.MA</v>
      </c>
      <c r="I20" s="25" t="str">
        <f t="shared" si="3"/>
        <v>N/A</v>
      </c>
    </row>
    <row r="21" spans="2:9" x14ac:dyDescent="0.25">
      <c r="B21" s="27" t="s">
        <v>18</v>
      </c>
      <c r="C21" s="27" t="s">
        <v>55</v>
      </c>
      <c r="D21" s="27">
        <v>0</v>
      </c>
      <c r="E21" s="27" t="s">
        <v>56</v>
      </c>
      <c r="F21" s="28" t="str">
        <f t="shared" si="0"/>
        <v>ET799650</v>
      </c>
      <c r="G21" s="28" t="str">
        <f t="shared" si="1"/>
        <v>N/A</v>
      </c>
      <c r="H21" s="25" t="str">
        <f t="shared" si="2"/>
        <v>EI799650IO.MA</v>
      </c>
      <c r="I21" s="25" t="str">
        <f t="shared" si="3"/>
        <v>N/A</v>
      </c>
    </row>
    <row r="22" spans="2:9" x14ac:dyDescent="0.25">
      <c r="B22" s="27" t="s">
        <v>18</v>
      </c>
      <c r="C22" s="27" t="s">
        <v>57</v>
      </c>
      <c r="D22" s="27">
        <v>0</v>
      </c>
      <c r="E22" s="27" t="s">
        <v>58</v>
      </c>
      <c r="F22" s="28" t="str">
        <f t="shared" si="0"/>
        <v>ET799651</v>
      </c>
      <c r="G22" s="28" t="str">
        <f t="shared" si="1"/>
        <v>N/A</v>
      </c>
      <c r="H22" s="25" t="str">
        <f t="shared" si="2"/>
        <v>EI799651IO.MA</v>
      </c>
      <c r="I22" s="25" t="str">
        <f t="shared" si="3"/>
        <v>N/A</v>
      </c>
    </row>
    <row r="23" spans="2:9" x14ac:dyDescent="0.25">
      <c r="B23" s="27" t="s">
        <v>18</v>
      </c>
      <c r="C23" s="27" t="s">
        <v>59</v>
      </c>
      <c r="D23" s="27">
        <v>0</v>
      </c>
      <c r="E23" s="27" t="s">
        <v>60</v>
      </c>
      <c r="F23" s="28" t="str">
        <f t="shared" si="0"/>
        <v>FT700001</v>
      </c>
      <c r="G23" s="28" t="str">
        <f t="shared" si="1"/>
        <v>N/A</v>
      </c>
      <c r="H23" s="25" t="str">
        <f t="shared" si="2"/>
        <v>FI700001IO.MA</v>
      </c>
      <c r="I23" s="25" t="str">
        <f t="shared" si="3"/>
        <v>N/A</v>
      </c>
    </row>
    <row r="24" spans="2:9" x14ac:dyDescent="0.25">
      <c r="B24" s="27" t="s">
        <v>18</v>
      </c>
      <c r="C24" s="27" t="s">
        <v>61</v>
      </c>
      <c r="D24" s="27">
        <v>0</v>
      </c>
      <c r="E24" s="27" t="s">
        <v>62</v>
      </c>
      <c r="F24" s="28" t="str">
        <f t="shared" si="0"/>
        <v>FT700018</v>
      </c>
      <c r="G24" s="28" t="str">
        <f t="shared" si="1"/>
        <v>N/A</v>
      </c>
      <c r="H24" s="25" t="str">
        <f t="shared" si="2"/>
        <v>FI700018A_1oo2IO_MA1.MA</v>
      </c>
      <c r="I24" s="25" t="str">
        <f t="shared" si="3"/>
        <v>N/A</v>
      </c>
    </row>
    <row r="25" spans="2:9" x14ac:dyDescent="0.25">
      <c r="B25" s="27" t="s">
        <v>18</v>
      </c>
      <c r="C25" s="27" t="s">
        <v>63</v>
      </c>
      <c r="D25" s="27">
        <v>0</v>
      </c>
      <c r="E25" s="27" t="s">
        <v>62</v>
      </c>
      <c r="F25" s="28" t="str">
        <f t="shared" si="0"/>
        <v>FT700018</v>
      </c>
      <c r="G25" s="28" t="str">
        <f t="shared" si="1"/>
        <v>N/A</v>
      </c>
      <c r="H25" s="25" t="str">
        <f t="shared" si="2"/>
        <v>FI700018A_1oo2IO_MA2.MA</v>
      </c>
      <c r="I25" s="25" t="str">
        <f t="shared" si="3"/>
        <v>N/A</v>
      </c>
    </row>
    <row r="26" spans="2:9" x14ac:dyDescent="0.25">
      <c r="B26" s="27" t="s">
        <v>18</v>
      </c>
      <c r="C26" s="27" t="s">
        <v>64</v>
      </c>
      <c r="D26" s="27">
        <v>0</v>
      </c>
      <c r="E26" s="27" t="s">
        <v>62</v>
      </c>
      <c r="F26" s="28" t="str">
        <f t="shared" si="0"/>
        <v>FT700018</v>
      </c>
      <c r="G26" s="28" t="str">
        <f t="shared" si="1"/>
        <v>N/A</v>
      </c>
      <c r="H26" s="25" t="str">
        <f t="shared" si="2"/>
        <v>FI700018IO.MA</v>
      </c>
      <c r="I26" s="25" t="str">
        <f t="shared" si="3"/>
        <v>N/A</v>
      </c>
    </row>
    <row r="27" spans="2:9" x14ac:dyDescent="0.25">
      <c r="B27" s="27" t="s">
        <v>18</v>
      </c>
      <c r="C27" s="27" t="s">
        <v>65</v>
      </c>
      <c r="D27" s="27">
        <v>0</v>
      </c>
      <c r="E27" s="27" t="s">
        <v>66</v>
      </c>
      <c r="F27" s="28" t="str">
        <f t="shared" si="0"/>
        <v>FT701001</v>
      </c>
      <c r="G27" s="28" t="str">
        <f t="shared" si="1"/>
        <v>N/A</v>
      </c>
      <c r="H27" s="25" t="str">
        <f t="shared" si="2"/>
        <v>FI701001IO.MA</v>
      </c>
      <c r="I27" s="25" t="str">
        <f t="shared" si="3"/>
        <v>N/A</v>
      </c>
    </row>
    <row r="28" spans="2:9" x14ac:dyDescent="0.25">
      <c r="B28" s="27" t="s">
        <v>18</v>
      </c>
      <c r="C28" s="27" t="s">
        <v>67</v>
      </c>
      <c r="D28" s="27">
        <v>0</v>
      </c>
      <c r="E28" s="27" t="s">
        <v>68</v>
      </c>
      <c r="F28" s="28" t="str">
        <f t="shared" si="0"/>
        <v>FT701012</v>
      </c>
      <c r="G28" s="28" t="str">
        <f t="shared" si="1"/>
        <v>N/A</v>
      </c>
      <c r="H28" s="25" t="str">
        <f t="shared" si="2"/>
        <v>FI701012IO.MA</v>
      </c>
      <c r="I28" s="25" t="str">
        <f t="shared" si="3"/>
        <v>N/A</v>
      </c>
    </row>
    <row r="29" spans="2:9" x14ac:dyDescent="0.25">
      <c r="B29" s="27" t="s">
        <v>18</v>
      </c>
      <c r="C29" s="27" t="s">
        <v>69</v>
      </c>
      <c r="D29" s="27">
        <v>0</v>
      </c>
      <c r="E29" s="27" t="s">
        <v>70</v>
      </c>
      <c r="F29" s="28" t="str">
        <f t="shared" si="0"/>
        <v>FT701129</v>
      </c>
      <c r="G29" s="28" t="str">
        <f t="shared" si="1"/>
        <v>N/A</v>
      </c>
      <c r="H29" s="25" t="str">
        <f t="shared" si="2"/>
        <v>FI701129IO.MA</v>
      </c>
      <c r="I29" s="25" t="str">
        <f t="shared" si="3"/>
        <v>N/A</v>
      </c>
    </row>
    <row r="30" spans="2:9" x14ac:dyDescent="0.25">
      <c r="B30" s="27" t="s">
        <v>18</v>
      </c>
      <c r="C30" s="27" t="s">
        <v>71</v>
      </c>
      <c r="D30" s="27">
        <v>0</v>
      </c>
      <c r="E30" s="27" t="s">
        <v>72</v>
      </c>
      <c r="F30" s="28" t="str">
        <f t="shared" si="0"/>
        <v>FT703002A</v>
      </c>
      <c r="G30" s="28" t="str">
        <f t="shared" si="1"/>
        <v>N/A</v>
      </c>
      <c r="H30" s="25" t="str">
        <f t="shared" si="2"/>
        <v>FI703002A_1oo2IO_MA1.MA</v>
      </c>
      <c r="I30" s="25" t="str">
        <f t="shared" si="3"/>
        <v>N/A</v>
      </c>
    </row>
    <row r="31" spans="2:9" x14ac:dyDescent="0.25">
      <c r="B31" s="27" t="s">
        <v>18</v>
      </c>
      <c r="C31" s="27" t="s">
        <v>73</v>
      </c>
      <c r="D31" s="27">
        <v>0</v>
      </c>
      <c r="E31" s="27" t="s">
        <v>74</v>
      </c>
      <c r="F31" s="28" t="str">
        <f t="shared" si="0"/>
        <v>FT703002B</v>
      </c>
      <c r="G31" s="28" t="str">
        <f t="shared" si="1"/>
        <v>N/A</v>
      </c>
      <c r="H31" s="25" t="str">
        <f t="shared" si="2"/>
        <v>FI703002A_1oo2IO_MA2.MA</v>
      </c>
      <c r="I31" s="25" t="str">
        <f t="shared" si="3"/>
        <v>N/A</v>
      </c>
    </row>
    <row r="32" spans="2:9" x14ac:dyDescent="0.25">
      <c r="B32" s="27" t="s">
        <v>18</v>
      </c>
      <c r="C32" s="27" t="s">
        <v>75</v>
      </c>
      <c r="D32" s="27">
        <v>0</v>
      </c>
      <c r="E32" s="27" t="s">
        <v>76</v>
      </c>
      <c r="F32" s="28" t="str">
        <f t="shared" si="0"/>
        <v>FT703009A</v>
      </c>
      <c r="G32" s="28" t="str">
        <f t="shared" si="1"/>
        <v>N/A</v>
      </c>
      <c r="H32" s="25" t="str">
        <f t="shared" si="2"/>
        <v>FI703009A_1oo2IO_MA1.MA</v>
      </c>
      <c r="I32" s="25" t="str">
        <f t="shared" si="3"/>
        <v>N/A</v>
      </c>
    </row>
    <row r="33" spans="2:9" x14ac:dyDescent="0.25">
      <c r="B33" s="27" t="s">
        <v>18</v>
      </c>
      <c r="C33" s="27" t="s">
        <v>77</v>
      </c>
      <c r="D33" s="27">
        <v>0</v>
      </c>
      <c r="E33" s="27" t="s">
        <v>78</v>
      </c>
      <c r="F33" s="28" t="str">
        <f t="shared" si="0"/>
        <v>FT703009B</v>
      </c>
      <c r="G33" s="28" t="str">
        <f t="shared" si="1"/>
        <v>N/A</v>
      </c>
      <c r="H33" s="25" t="str">
        <f t="shared" si="2"/>
        <v>FI703009A_1oo2IO_MA2.MA</v>
      </c>
      <c r="I33" s="25" t="str">
        <f t="shared" si="3"/>
        <v>N/A</v>
      </c>
    </row>
    <row r="34" spans="2:9" x14ac:dyDescent="0.25">
      <c r="B34" s="27" t="s">
        <v>18</v>
      </c>
      <c r="C34" s="27" t="s">
        <v>79</v>
      </c>
      <c r="D34" s="27">
        <v>0</v>
      </c>
      <c r="E34" s="27" t="s">
        <v>80</v>
      </c>
      <c r="F34" s="28" t="str">
        <f t="shared" si="0"/>
        <v>FT703017</v>
      </c>
      <c r="G34" s="28" t="str">
        <f t="shared" si="1"/>
        <v>N/A</v>
      </c>
      <c r="H34" s="25" t="str">
        <f t="shared" si="2"/>
        <v>FI703017IO.MA</v>
      </c>
      <c r="I34" s="25" t="str">
        <f t="shared" si="3"/>
        <v>N/A</v>
      </c>
    </row>
    <row r="35" spans="2:9" x14ac:dyDescent="0.25">
      <c r="B35" s="27" t="s">
        <v>18</v>
      </c>
      <c r="C35" s="27" t="s">
        <v>81</v>
      </c>
      <c r="D35" s="27">
        <v>0</v>
      </c>
      <c r="E35" s="27" t="s">
        <v>82</v>
      </c>
      <c r="F35" s="28" t="str">
        <f t="shared" si="0"/>
        <v>FT703035</v>
      </c>
      <c r="G35" s="28" t="str">
        <f t="shared" si="1"/>
        <v>N/A</v>
      </c>
      <c r="H35" s="25" t="str">
        <f t="shared" si="2"/>
        <v>FI703035IO.MA</v>
      </c>
      <c r="I35" s="25" t="str">
        <f t="shared" si="3"/>
        <v>N/A</v>
      </c>
    </row>
    <row r="36" spans="2:9" x14ac:dyDescent="0.25">
      <c r="B36" s="27" t="s">
        <v>18</v>
      </c>
      <c r="C36" s="27" t="s">
        <v>83</v>
      </c>
      <c r="D36" s="27">
        <v>0</v>
      </c>
      <c r="E36" s="27" t="s">
        <v>84</v>
      </c>
      <c r="F36" s="28" t="str">
        <f t="shared" si="0"/>
        <v>FT720001</v>
      </c>
      <c r="G36" s="28" t="str">
        <f t="shared" si="1"/>
        <v>N/A</v>
      </c>
      <c r="H36" s="25" t="str">
        <f t="shared" si="2"/>
        <v>FI720001IO.MA</v>
      </c>
      <c r="I36" s="25" t="str">
        <f t="shared" si="3"/>
        <v>N/A</v>
      </c>
    </row>
    <row r="37" spans="2:9" x14ac:dyDescent="0.25">
      <c r="B37" s="27" t="s">
        <v>18</v>
      </c>
      <c r="C37" s="27" t="s">
        <v>85</v>
      </c>
      <c r="D37" s="27">
        <v>0</v>
      </c>
      <c r="E37" s="27" t="s">
        <v>86</v>
      </c>
      <c r="F37" s="28" t="str">
        <f t="shared" si="0"/>
        <v>FT720010</v>
      </c>
      <c r="G37" s="28" t="str">
        <f t="shared" si="1"/>
        <v>N/A</v>
      </c>
      <c r="H37" s="25" t="str">
        <f t="shared" si="2"/>
        <v>FI720010IO.MA</v>
      </c>
      <c r="I37" s="25" t="str">
        <f t="shared" si="3"/>
        <v>N/A</v>
      </c>
    </row>
    <row r="38" spans="2:9" x14ac:dyDescent="0.25">
      <c r="B38" s="27" t="s">
        <v>18</v>
      </c>
      <c r="C38" s="27" t="s">
        <v>87</v>
      </c>
      <c r="D38" s="27">
        <v>0</v>
      </c>
      <c r="E38" s="27" t="s">
        <v>88</v>
      </c>
      <c r="F38" s="28" t="str">
        <f t="shared" si="0"/>
        <v>FT720015</v>
      </c>
      <c r="G38" s="28" t="str">
        <f t="shared" si="1"/>
        <v>N/A</v>
      </c>
      <c r="H38" s="25" t="str">
        <f t="shared" si="2"/>
        <v>FI720015IO.MA</v>
      </c>
      <c r="I38" s="25" t="str">
        <f t="shared" si="3"/>
        <v>N/A</v>
      </c>
    </row>
    <row r="39" spans="2:9" x14ac:dyDescent="0.25">
      <c r="B39" s="27" t="s">
        <v>18</v>
      </c>
      <c r="C39" s="27" t="s">
        <v>89</v>
      </c>
      <c r="D39" s="27">
        <v>0</v>
      </c>
      <c r="E39" s="27" t="s">
        <v>90</v>
      </c>
      <c r="F39" s="28" t="str">
        <f t="shared" si="0"/>
        <v>FT721001</v>
      </c>
      <c r="G39" s="28" t="str">
        <f t="shared" si="1"/>
        <v>N/A</v>
      </c>
      <c r="H39" s="25" t="str">
        <f t="shared" si="2"/>
        <v>FI721001IO.MA</v>
      </c>
      <c r="I39" s="25" t="str">
        <f t="shared" si="3"/>
        <v>N/A</v>
      </c>
    </row>
    <row r="40" spans="2:9" x14ac:dyDescent="0.25">
      <c r="B40" s="27" t="s">
        <v>18</v>
      </c>
      <c r="C40" s="27" t="s">
        <v>91</v>
      </c>
      <c r="D40" s="27">
        <v>0</v>
      </c>
      <c r="E40" s="27" t="s">
        <v>92</v>
      </c>
      <c r="F40" s="28" t="str">
        <f t="shared" si="0"/>
        <v>FT721010</v>
      </c>
      <c r="G40" s="28" t="str">
        <f t="shared" si="1"/>
        <v>N/A</v>
      </c>
      <c r="H40" s="25" t="str">
        <f t="shared" si="2"/>
        <v>FI721010IO.MA</v>
      </c>
      <c r="I40" s="25" t="str">
        <f t="shared" si="3"/>
        <v>N/A</v>
      </c>
    </row>
    <row r="41" spans="2:9" x14ac:dyDescent="0.25">
      <c r="B41" s="27" t="s">
        <v>18</v>
      </c>
      <c r="C41" s="27" t="s">
        <v>93</v>
      </c>
      <c r="D41" s="27">
        <v>0</v>
      </c>
      <c r="E41" s="27" t="s">
        <v>94</v>
      </c>
      <c r="F41" s="28" t="str">
        <f t="shared" si="0"/>
        <v>FT721016</v>
      </c>
      <c r="G41" s="28" t="str">
        <f t="shared" si="1"/>
        <v>N/A</v>
      </c>
      <c r="H41" s="25" t="str">
        <f t="shared" si="2"/>
        <v>FI721016IO.MA</v>
      </c>
      <c r="I41" s="25" t="str">
        <f t="shared" si="3"/>
        <v>N/A</v>
      </c>
    </row>
    <row r="42" spans="2:9" x14ac:dyDescent="0.25">
      <c r="B42" s="27" t="s">
        <v>18</v>
      </c>
      <c r="C42" s="27" t="s">
        <v>95</v>
      </c>
      <c r="D42" s="27">
        <v>0</v>
      </c>
      <c r="E42" s="27" t="s">
        <v>96</v>
      </c>
      <c r="F42" s="28" t="str">
        <f t="shared" si="0"/>
        <v>FT722001</v>
      </c>
      <c r="G42" s="28" t="str">
        <f t="shared" si="1"/>
        <v>N/A</v>
      </c>
      <c r="H42" s="25" t="str">
        <f t="shared" si="2"/>
        <v>FI722001IO.MA</v>
      </c>
      <c r="I42" s="25" t="str">
        <f t="shared" si="3"/>
        <v>N/A</v>
      </c>
    </row>
    <row r="43" spans="2:9" x14ac:dyDescent="0.25">
      <c r="B43" s="27" t="s">
        <v>18</v>
      </c>
      <c r="C43" s="27" t="s">
        <v>97</v>
      </c>
      <c r="D43" s="27">
        <v>0</v>
      </c>
      <c r="E43" s="27" t="s">
        <v>98</v>
      </c>
      <c r="F43" s="28" t="str">
        <f t="shared" si="0"/>
        <v>FT722016</v>
      </c>
      <c r="G43" s="28" t="str">
        <f t="shared" si="1"/>
        <v>N/A</v>
      </c>
      <c r="H43" s="25" t="str">
        <f t="shared" si="2"/>
        <v>FI722016IO.MA</v>
      </c>
      <c r="I43" s="25" t="str">
        <f t="shared" si="3"/>
        <v>N/A</v>
      </c>
    </row>
    <row r="44" spans="2:9" x14ac:dyDescent="0.25">
      <c r="B44" s="27" t="s">
        <v>18</v>
      </c>
      <c r="C44" s="27" t="s">
        <v>99</v>
      </c>
      <c r="D44" s="27">
        <v>0</v>
      </c>
      <c r="E44" s="27" t="s">
        <v>100</v>
      </c>
      <c r="F44" s="28" t="str">
        <f t="shared" si="0"/>
        <v>FT722212</v>
      </c>
      <c r="G44" s="28" t="str">
        <f t="shared" si="1"/>
        <v>N/A</v>
      </c>
      <c r="H44" s="25" t="str">
        <f t="shared" si="2"/>
        <v>FI722212IO.MA</v>
      </c>
      <c r="I44" s="25" t="str">
        <f t="shared" si="3"/>
        <v>N/A</v>
      </c>
    </row>
    <row r="45" spans="2:9" x14ac:dyDescent="0.25">
      <c r="B45" s="27" t="s">
        <v>18</v>
      </c>
      <c r="C45" s="27" t="s">
        <v>101</v>
      </c>
      <c r="D45" s="27">
        <v>0</v>
      </c>
      <c r="E45" s="27" t="s">
        <v>102</v>
      </c>
      <c r="F45" s="28" t="str">
        <f t="shared" si="0"/>
        <v>FT722213</v>
      </c>
      <c r="G45" s="28" t="str">
        <f t="shared" si="1"/>
        <v>N/A</v>
      </c>
      <c r="H45" s="25" t="str">
        <f t="shared" si="2"/>
        <v>FI722213IO.MA</v>
      </c>
      <c r="I45" s="25" t="str">
        <f t="shared" si="3"/>
        <v>N/A</v>
      </c>
    </row>
    <row r="46" spans="2:9" x14ac:dyDescent="0.25">
      <c r="B46" s="27" t="s">
        <v>18</v>
      </c>
      <c r="C46" s="27" t="s">
        <v>103</v>
      </c>
      <c r="D46" s="27">
        <v>0</v>
      </c>
      <c r="E46" s="27" t="s">
        <v>104</v>
      </c>
      <c r="F46" s="28" t="str">
        <f t="shared" si="0"/>
        <v>FT730001</v>
      </c>
      <c r="G46" s="28" t="str">
        <f t="shared" si="1"/>
        <v>N/A</v>
      </c>
      <c r="H46" s="25" t="str">
        <f t="shared" si="2"/>
        <v>FI730001IO.MA</v>
      </c>
      <c r="I46" s="25" t="str">
        <f t="shared" si="3"/>
        <v>N/A</v>
      </c>
    </row>
    <row r="47" spans="2:9" x14ac:dyDescent="0.25">
      <c r="B47" s="27" t="s">
        <v>18</v>
      </c>
      <c r="C47" s="27" t="s">
        <v>105</v>
      </c>
      <c r="D47" s="27">
        <v>0</v>
      </c>
      <c r="E47" s="27" t="s">
        <v>106</v>
      </c>
      <c r="F47" s="28" t="str">
        <f t="shared" si="0"/>
        <v>FT730016</v>
      </c>
      <c r="G47" s="28" t="str">
        <f t="shared" si="1"/>
        <v>N/A</v>
      </c>
      <c r="H47" s="25" t="str">
        <f t="shared" si="2"/>
        <v>FI730016IO.MA</v>
      </c>
      <c r="I47" s="25" t="str">
        <f t="shared" si="3"/>
        <v>N/A</v>
      </c>
    </row>
    <row r="48" spans="2:9" x14ac:dyDescent="0.25">
      <c r="B48" s="27" t="s">
        <v>18</v>
      </c>
      <c r="C48" s="27" t="s">
        <v>107</v>
      </c>
      <c r="D48" s="27">
        <v>0</v>
      </c>
      <c r="E48" s="27" t="s">
        <v>108</v>
      </c>
      <c r="F48" s="28" t="str">
        <f t="shared" si="0"/>
        <v>FT730018</v>
      </c>
      <c r="G48" s="28" t="str">
        <f t="shared" si="1"/>
        <v>N/A</v>
      </c>
      <c r="H48" s="25" t="str">
        <f t="shared" si="2"/>
        <v>FI730018IO.MA</v>
      </c>
      <c r="I48" s="25" t="str">
        <f t="shared" si="3"/>
        <v>N/A</v>
      </c>
    </row>
    <row r="49" spans="2:9" x14ac:dyDescent="0.25">
      <c r="B49" s="27" t="s">
        <v>18</v>
      </c>
      <c r="C49" s="27" t="s">
        <v>109</v>
      </c>
      <c r="D49" s="27">
        <v>0</v>
      </c>
      <c r="E49" s="27" t="s">
        <v>110</v>
      </c>
      <c r="F49" s="28" t="str">
        <f t="shared" si="0"/>
        <v>FT730020</v>
      </c>
      <c r="G49" s="28" t="str">
        <f t="shared" si="1"/>
        <v>N/A</v>
      </c>
      <c r="H49" s="25" t="str">
        <f t="shared" si="2"/>
        <v>FI730020IO.MA</v>
      </c>
      <c r="I49" s="25" t="str">
        <f t="shared" si="3"/>
        <v>N/A</v>
      </c>
    </row>
    <row r="50" spans="2:9" x14ac:dyDescent="0.25">
      <c r="B50" s="27" t="s">
        <v>18</v>
      </c>
      <c r="C50" s="27" t="s">
        <v>111</v>
      </c>
      <c r="D50" s="27">
        <v>0</v>
      </c>
      <c r="E50" s="27" t="s">
        <v>112</v>
      </c>
      <c r="F50" s="28" t="str">
        <f t="shared" si="0"/>
        <v>FT730211</v>
      </c>
      <c r="G50" s="28" t="str">
        <f t="shared" si="1"/>
        <v>N/A</v>
      </c>
      <c r="H50" s="25" t="str">
        <f t="shared" si="2"/>
        <v>FI730211IO.MA</v>
      </c>
      <c r="I50" s="25" t="str">
        <f t="shared" si="3"/>
        <v>N/A</v>
      </c>
    </row>
    <row r="51" spans="2:9" x14ac:dyDescent="0.25">
      <c r="B51" s="27" t="s">
        <v>18</v>
      </c>
      <c r="C51" s="27" t="s">
        <v>113</v>
      </c>
      <c r="D51" s="27">
        <v>0</v>
      </c>
      <c r="E51" s="27" t="s">
        <v>114</v>
      </c>
      <c r="F51" s="28" t="str">
        <f t="shared" si="0"/>
        <v>FT730215</v>
      </c>
      <c r="G51" s="28" t="str">
        <f t="shared" si="1"/>
        <v>N/A</v>
      </c>
      <c r="H51" s="25" t="str">
        <f t="shared" si="2"/>
        <v>FI730215IO.MA</v>
      </c>
      <c r="I51" s="25" t="str">
        <f t="shared" si="3"/>
        <v>N/A</v>
      </c>
    </row>
    <row r="52" spans="2:9" x14ac:dyDescent="0.25">
      <c r="B52" s="27" t="s">
        <v>18</v>
      </c>
      <c r="C52" s="27" t="s">
        <v>115</v>
      </c>
      <c r="D52" s="27">
        <v>0</v>
      </c>
      <c r="E52" s="27" t="s">
        <v>116</v>
      </c>
      <c r="F52" s="28" t="str">
        <f t="shared" si="0"/>
        <v>FT730407</v>
      </c>
      <c r="G52" s="28" t="str">
        <f t="shared" si="1"/>
        <v>N/A</v>
      </c>
      <c r="H52" s="25" t="str">
        <f t="shared" si="2"/>
        <v>FI730407IO.MA</v>
      </c>
      <c r="I52" s="25" t="str">
        <f t="shared" si="3"/>
        <v>N/A</v>
      </c>
    </row>
    <row r="53" spans="2:9" x14ac:dyDescent="0.25">
      <c r="B53" s="27" t="s">
        <v>18</v>
      </c>
      <c r="C53" s="27" t="s">
        <v>117</v>
      </c>
      <c r="D53" s="27">
        <v>0</v>
      </c>
      <c r="E53" s="27" t="s">
        <v>118</v>
      </c>
      <c r="F53" s="28" t="str">
        <f t="shared" si="0"/>
        <v>FT730411</v>
      </c>
      <c r="G53" s="28" t="str">
        <f t="shared" si="1"/>
        <v>N/A</v>
      </c>
      <c r="H53" s="25" t="str">
        <f t="shared" si="2"/>
        <v>FI730411IO.MA</v>
      </c>
      <c r="I53" s="25" t="str">
        <f t="shared" si="3"/>
        <v>N/A</v>
      </c>
    </row>
    <row r="54" spans="2:9" x14ac:dyDescent="0.25">
      <c r="B54" s="27" t="s">
        <v>18</v>
      </c>
      <c r="C54" s="27" t="s">
        <v>119</v>
      </c>
      <c r="D54" s="27">
        <v>0</v>
      </c>
      <c r="E54" s="27" t="s">
        <v>120</v>
      </c>
      <c r="F54" s="28" t="str">
        <f t="shared" si="0"/>
        <v>FT740002</v>
      </c>
      <c r="G54" s="28" t="str">
        <f t="shared" si="1"/>
        <v>N/A</v>
      </c>
      <c r="H54" s="25" t="str">
        <f t="shared" si="2"/>
        <v>FI740002IO.MA</v>
      </c>
      <c r="I54" s="25" t="str">
        <f t="shared" si="3"/>
        <v>N/A</v>
      </c>
    </row>
    <row r="55" spans="2:9" x14ac:dyDescent="0.25">
      <c r="B55" s="27" t="s">
        <v>18</v>
      </c>
      <c r="C55" s="27" t="s">
        <v>121</v>
      </c>
      <c r="D55" s="27">
        <v>0</v>
      </c>
      <c r="E55" s="27" t="s">
        <v>122</v>
      </c>
      <c r="F55" s="28" t="str">
        <f t="shared" si="0"/>
        <v>FT740017</v>
      </c>
      <c r="G55" s="28" t="str">
        <f t="shared" si="1"/>
        <v>N/A</v>
      </c>
      <c r="H55" s="25" t="str">
        <f t="shared" si="2"/>
        <v>FI740017IO.MA</v>
      </c>
      <c r="I55" s="25" t="str">
        <f t="shared" si="3"/>
        <v>N/A</v>
      </c>
    </row>
    <row r="56" spans="2:9" x14ac:dyDescent="0.25">
      <c r="B56" s="27" t="s">
        <v>18</v>
      </c>
      <c r="C56" s="27" t="s">
        <v>123</v>
      </c>
      <c r="D56" s="27">
        <v>0</v>
      </c>
      <c r="E56" s="27" t="s">
        <v>124</v>
      </c>
      <c r="F56" s="28" t="str">
        <f t="shared" si="0"/>
        <v>FT740020</v>
      </c>
      <c r="G56" s="28" t="str">
        <f t="shared" si="1"/>
        <v>N/A</v>
      </c>
      <c r="H56" s="25" t="str">
        <f t="shared" si="2"/>
        <v>FI740020IO.MA</v>
      </c>
      <c r="I56" s="25" t="str">
        <f t="shared" si="3"/>
        <v>N/A</v>
      </c>
    </row>
    <row r="57" spans="2:9" x14ac:dyDescent="0.25">
      <c r="B57" s="27" t="s">
        <v>18</v>
      </c>
      <c r="C57" s="27" t="s">
        <v>125</v>
      </c>
      <c r="D57" s="27">
        <v>0</v>
      </c>
      <c r="E57" s="27" t="s">
        <v>126</v>
      </c>
      <c r="F57" s="28" t="str">
        <f t="shared" si="0"/>
        <v>FT740028</v>
      </c>
      <c r="G57" s="28" t="str">
        <f t="shared" si="1"/>
        <v>N/A</v>
      </c>
      <c r="H57" s="25" t="str">
        <f t="shared" si="2"/>
        <v>FI740028IO.MA</v>
      </c>
      <c r="I57" s="25" t="str">
        <f t="shared" si="3"/>
        <v>N/A</v>
      </c>
    </row>
    <row r="58" spans="2:9" x14ac:dyDescent="0.25">
      <c r="B58" s="27" t="s">
        <v>18</v>
      </c>
      <c r="C58" s="27" t="s">
        <v>127</v>
      </c>
      <c r="D58" s="27">
        <v>0</v>
      </c>
      <c r="E58" s="27" t="s">
        <v>128</v>
      </c>
      <c r="F58" s="28" t="str">
        <f t="shared" si="0"/>
        <v>FT740030</v>
      </c>
      <c r="G58" s="28" t="str">
        <f t="shared" si="1"/>
        <v>N/A</v>
      </c>
      <c r="H58" s="25" t="str">
        <f t="shared" si="2"/>
        <v>FI740030IO.MA</v>
      </c>
      <c r="I58" s="25" t="str">
        <f t="shared" si="3"/>
        <v>N/A</v>
      </c>
    </row>
    <row r="59" spans="2:9" x14ac:dyDescent="0.25">
      <c r="B59" s="27" t="s">
        <v>18</v>
      </c>
      <c r="C59" s="27" t="s">
        <v>129</v>
      </c>
      <c r="D59" s="27">
        <v>0</v>
      </c>
      <c r="E59" s="27" t="s">
        <v>130</v>
      </c>
      <c r="F59" s="28" t="str">
        <f t="shared" si="0"/>
        <v>FT740107</v>
      </c>
      <c r="G59" s="28" t="str">
        <f t="shared" si="1"/>
        <v>N/A</v>
      </c>
      <c r="H59" s="25" t="str">
        <f t="shared" si="2"/>
        <v>FI740107IO.MA</v>
      </c>
      <c r="I59" s="25" t="str">
        <f t="shared" si="3"/>
        <v>N/A</v>
      </c>
    </row>
    <row r="60" spans="2:9" x14ac:dyDescent="0.25">
      <c r="B60" s="27" t="s">
        <v>18</v>
      </c>
      <c r="C60" s="27" t="s">
        <v>131</v>
      </c>
      <c r="D60" s="27">
        <v>0</v>
      </c>
      <c r="E60" s="27" t="s">
        <v>132</v>
      </c>
      <c r="F60" s="28" t="str">
        <f t="shared" si="0"/>
        <v>FT740209</v>
      </c>
      <c r="G60" s="28" t="str">
        <f t="shared" si="1"/>
        <v>N/A</v>
      </c>
      <c r="H60" s="25" t="str">
        <f t="shared" si="2"/>
        <v>FI740209IO.MA</v>
      </c>
      <c r="I60" s="25" t="str">
        <f t="shared" si="3"/>
        <v>N/A</v>
      </c>
    </row>
    <row r="61" spans="2:9" x14ac:dyDescent="0.25">
      <c r="B61" s="27" t="s">
        <v>18</v>
      </c>
      <c r="C61" s="27" t="s">
        <v>133</v>
      </c>
      <c r="D61" s="27">
        <v>0</v>
      </c>
      <c r="E61" s="27" t="s">
        <v>134</v>
      </c>
      <c r="F61" s="28" t="str">
        <f t="shared" si="0"/>
        <v>FT740213</v>
      </c>
      <c r="G61" s="28" t="str">
        <f t="shared" si="1"/>
        <v>N/A</v>
      </c>
      <c r="H61" s="25" t="str">
        <f t="shared" si="2"/>
        <v>FI740213IO.MA</v>
      </c>
      <c r="I61" s="25" t="str">
        <f t="shared" si="3"/>
        <v>N/A</v>
      </c>
    </row>
    <row r="62" spans="2:9" x14ac:dyDescent="0.25">
      <c r="B62" s="27" t="s">
        <v>18</v>
      </c>
      <c r="C62" s="27" t="s">
        <v>135</v>
      </c>
      <c r="D62" s="27">
        <v>0</v>
      </c>
      <c r="E62" s="27" t="s">
        <v>136</v>
      </c>
      <c r="F62" s="28" t="str">
        <f t="shared" si="0"/>
        <v>FT740216</v>
      </c>
      <c r="G62" s="28" t="str">
        <f t="shared" si="1"/>
        <v>N/A</v>
      </c>
      <c r="H62" s="25" t="str">
        <f t="shared" si="2"/>
        <v>FI740216IO.MA</v>
      </c>
      <c r="I62" s="25" t="str">
        <f t="shared" si="3"/>
        <v>N/A</v>
      </c>
    </row>
    <row r="63" spans="2:9" x14ac:dyDescent="0.25">
      <c r="B63" s="27" t="s">
        <v>18</v>
      </c>
      <c r="C63" s="27" t="s">
        <v>137</v>
      </c>
      <c r="D63" s="27">
        <v>0</v>
      </c>
      <c r="E63" s="27" t="s">
        <v>138</v>
      </c>
      <c r="F63" s="28" t="str">
        <f t="shared" si="0"/>
        <v>FT742007</v>
      </c>
      <c r="G63" s="28" t="str">
        <f t="shared" si="1"/>
        <v>N/A</v>
      </c>
      <c r="H63" s="25" t="str">
        <f t="shared" si="2"/>
        <v>FI742007IO.MA</v>
      </c>
      <c r="I63" s="25" t="str">
        <f t="shared" si="3"/>
        <v>N/A</v>
      </c>
    </row>
    <row r="64" spans="2:9" x14ac:dyDescent="0.25">
      <c r="B64" s="27" t="s">
        <v>18</v>
      </c>
      <c r="C64" s="27" t="s">
        <v>139</v>
      </c>
      <c r="D64" s="27">
        <v>0</v>
      </c>
      <c r="E64" s="27" t="s">
        <v>140</v>
      </c>
      <c r="F64" s="28" t="str">
        <f t="shared" si="0"/>
        <v>FT742013</v>
      </c>
      <c r="G64" s="28" t="str">
        <f t="shared" si="1"/>
        <v>N/A</v>
      </c>
      <c r="H64" s="25" t="str">
        <f t="shared" si="2"/>
        <v>FI742013IO.MA</v>
      </c>
      <c r="I64" s="25" t="str">
        <f t="shared" si="3"/>
        <v>N/A</v>
      </c>
    </row>
    <row r="65" spans="2:9" x14ac:dyDescent="0.25">
      <c r="B65" s="27" t="s">
        <v>18</v>
      </c>
      <c r="C65" s="27" t="s">
        <v>141</v>
      </c>
      <c r="D65" s="27">
        <v>0</v>
      </c>
      <c r="E65" s="27" t="s">
        <v>142</v>
      </c>
      <c r="F65" s="28" t="str">
        <f t="shared" si="0"/>
        <v>FT750002</v>
      </c>
      <c r="G65" s="28" t="str">
        <f t="shared" si="1"/>
        <v>N/A</v>
      </c>
      <c r="H65" s="25" t="str">
        <f t="shared" si="2"/>
        <v>FI750002IO.MA</v>
      </c>
      <c r="I65" s="25" t="str">
        <f t="shared" si="3"/>
        <v>N/A</v>
      </c>
    </row>
    <row r="66" spans="2:9" x14ac:dyDescent="0.25">
      <c r="B66" s="27" t="s">
        <v>18</v>
      </c>
      <c r="C66" s="27" t="s">
        <v>143</v>
      </c>
      <c r="D66" s="27">
        <v>0</v>
      </c>
      <c r="E66" s="27" t="s">
        <v>144</v>
      </c>
      <c r="F66" s="28" t="str">
        <f t="shared" ref="F66:F129" si="4">+LEFT(E66,FIND(".",E66,1)-1)</f>
        <v>FT750017</v>
      </c>
      <c r="G66" s="28" t="str">
        <f t="shared" ref="G66:G129" si="5">+IFERROR(IF(LEFT(VLOOKUP(F66,DI,6,FALSE),2)="IO",2,0),"N/A")</f>
        <v>N/A</v>
      </c>
      <c r="H66" s="25" t="str">
        <f t="shared" ref="H66:H129" si="6">+CONCATENATE(C66,".MA")</f>
        <v>FI750017IO.MA</v>
      </c>
      <c r="I66" s="25" t="str">
        <f t="shared" si="3"/>
        <v>N/A</v>
      </c>
    </row>
    <row r="67" spans="2:9" x14ac:dyDescent="0.25">
      <c r="B67" s="27" t="s">
        <v>18</v>
      </c>
      <c r="C67" s="27" t="s">
        <v>145</v>
      </c>
      <c r="D67" s="27">
        <v>0</v>
      </c>
      <c r="E67" s="27" t="s">
        <v>146</v>
      </c>
      <c r="F67" s="28" t="str">
        <f t="shared" si="4"/>
        <v>FT750020</v>
      </c>
      <c r="G67" s="28" t="str">
        <f t="shared" si="5"/>
        <v>N/A</v>
      </c>
      <c r="H67" s="25" t="str">
        <f t="shared" si="6"/>
        <v>FI750020IO.MA</v>
      </c>
      <c r="I67" s="25" t="str">
        <f t="shared" ref="I67:I130" si="7">+G67</f>
        <v>N/A</v>
      </c>
    </row>
    <row r="68" spans="2:9" x14ac:dyDescent="0.25">
      <c r="B68" s="27" t="s">
        <v>18</v>
      </c>
      <c r="C68" s="27" t="s">
        <v>147</v>
      </c>
      <c r="D68" s="27">
        <v>0</v>
      </c>
      <c r="E68" s="27" t="s">
        <v>148</v>
      </c>
      <c r="F68" s="28" t="str">
        <f t="shared" si="4"/>
        <v>FT750028</v>
      </c>
      <c r="G68" s="28" t="str">
        <f t="shared" si="5"/>
        <v>N/A</v>
      </c>
      <c r="H68" s="25" t="str">
        <f t="shared" si="6"/>
        <v>FI750028IO.MA</v>
      </c>
      <c r="I68" s="25" t="str">
        <f t="shared" si="7"/>
        <v>N/A</v>
      </c>
    </row>
    <row r="69" spans="2:9" x14ac:dyDescent="0.25">
      <c r="B69" s="27" t="s">
        <v>18</v>
      </c>
      <c r="C69" s="27" t="s">
        <v>149</v>
      </c>
      <c r="D69" s="27">
        <v>0</v>
      </c>
      <c r="E69" s="27" t="s">
        <v>150</v>
      </c>
      <c r="F69" s="28" t="str">
        <f t="shared" si="4"/>
        <v>FT750107</v>
      </c>
      <c r="G69" s="28" t="str">
        <f t="shared" si="5"/>
        <v>N/A</v>
      </c>
      <c r="H69" s="25" t="str">
        <f t="shared" si="6"/>
        <v>FI750107IO.MA</v>
      </c>
      <c r="I69" s="25" t="str">
        <f t="shared" si="7"/>
        <v>N/A</v>
      </c>
    </row>
    <row r="70" spans="2:9" x14ac:dyDescent="0.25">
      <c r="B70" s="27" t="s">
        <v>18</v>
      </c>
      <c r="C70" s="27" t="s">
        <v>151</v>
      </c>
      <c r="D70" s="27">
        <v>0</v>
      </c>
      <c r="E70" s="27" t="s">
        <v>152</v>
      </c>
      <c r="F70" s="28" t="str">
        <f t="shared" si="4"/>
        <v>FT750209</v>
      </c>
      <c r="G70" s="28" t="str">
        <f t="shared" si="5"/>
        <v>N/A</v>
      </c>
      <c r="H70" s="25" t="str">
        <f t="shared" si="6"/>
        <v>FI750209IO.MA</v>
      </c>
      <c r="I70" s="25" t="str">
        <f t="shared" si="7"/>
        <v>N/A</v>
      </c>
    </row>
    <row r="71" spans="2:9" x14ac:dyDescent="0.25">
      <c r="B71" s="27" t="s">
        <v>18</v>
      </c>
      <c r="C71" s="27" t="s">
        <v>153</v>
      </c>
      <c r="D71" s="27">
        <v>0</v>
      </c>
      <c r="E71" s="27" t="s">
        <v>154</v>
      </c>
      <c r="F71" s="28" t="str">
        <f t="shared" si="4"/>
        <v>FT750213</v>
      </c>
      <c r="G71" s="28" t="str">
        <f t="shared" si="5"/>
        <v>N/A</v>
      </c>
      <c r="H71" s="25" t="str">
        <f t="shared" si="6"/>
        <v>FI750213IO.MA</v>
      </c>
      <c r="I71" s="25" t="str">
        <f t="shared" si="7"/>
        <v>N/A</v>
      </c>
    </row>
    <row r="72" spans="2:9" x14ac:dyDescent="0.25">
      <c r="B72" s="27" t="s">
        <v>18</v>
      </c>
      <c r="C72" s="27" t="s">
        <v>155</v>
      </c>
      <c r="D72" s="27">
        <v>0</v>
      </c>
      <c r="E72" s="27" t="s">
        <v>156</v>
      </c>
      <c r="F72" s="28" t="str">
        <f t="shared" si="4"/>
        <v>FT750216</v>
      </c>
      <c r="G72" s="28" t="str">
        <f t="shared" si="5"/>
        <v>N/A</v>
      </c>
      <c r="H72" s="25" t="str">
        <f t="shared" si="6"/>
        <v>FI750216IO.MA</v>
      </c>
      <c r="I72" s="25" t="str">
        <f t="shared" si="7"/>
        <v>N/A</v>
      </c>
    </row>
    <row r="73" spans="2:9" x14ac:dyDescent="0.25">
      <c r="B73" s="27" t="s">
        <v>18</v>
      </c>
      <c r="C73" s="27" t="s">
        <v>157</v>
      </c>
      <c r="D73" s="27">
        <v>0</v>
      </c>
      <c r="E73" s="27" t="s">
        <v>158</v>
      </c>
      <c r="F73" s="28" t="str">
        <f t="shared" si="4"/>
        <v>FT752007</v>
      </c>
      <c r="G73" s="28" t="str">
        <f t="shared" si="5"/>
        <v>N/A</v>
      </c>
      <c r="H73" s="25" t="str">
        <f t="shared" si="6"/>
        <v>FI752007IO.MA</v>
      </c>
      <c r="I73" s="25" t="str">
        <f t="shared" si="7"/>
        <v>N/A</v>
      </c>
    </row>
    <row r="74" spans="2:9" x14ac:dyDescent="0.25">
      <c r="B74" s="27" t="s">
        <v>18</v>
      </c>
      <c r="C74" s="27" t="s">
        <v>159</v>
      </c>
      <c r="D74" s="27">
        <v>0</v>
      </c>
      <c r="E74" s="27" t="s">
        <v>160</v>
      </c>
      <c r="F74" s="28" t="str">
        <f t="shared" si="4"/>
        <v>FT752013</v>
      </c>
      <c r="G74" s="28" t="str">
        <f t="shared" si="5"/>
        <v>N/A</v>
      </c>
      <c r="H74" s="25" t="str">
        <f t="shared" si="6"/>
        <v>FI752013IO.MA</v>
      </c>
      <c r="I74" s="25" t="str">
        <f t="shared" si="7"/>
        <v>N/A</v>
      </c>
    </row>
    <row r="75" spans="2:9" x14ac:dyDescent="0.25">
      <c r="B75" s="27" t="s">
        <v>18</v>
      </c>
      <c r="C75" s="27" t="s">
        <v>161</v>
      </c>
      <c r="D75" s="27">
        <v>0</v>
      </c>
      <c r="E75" s="27" t="s">
        <v>162</v>
      </c>
      <c r="F75" s="28" t="str">
        <f t="shared" si="4"/>
        <v>FT760002</v>
      </c>
      <c r="G75" s="28" t="str">
        <f t="shared" si="5"/>
        <v>N/A</v>
      </c>
      <c r="H75" s="25" t="str">
        <f t="shared" si="6"/>
        <v>FI760002IO.MA</v>
      </c>
      <c r="I75" s="25" t="str">
        <f t="shared" si="7"/>
        <v>N/A</v>
      </c>
    </row>
    <row r="76" spans="2:9" x14ac:dyDescent="0.25">
      <c r="B76" s="27" t="s">
        <v>18</v>
      </c>
      <c r="C76" s="27" t="s">
        <v>163</v>
      </c>
      <c r="D76" s="27">
        <v>0</v>
      </c>
      <c r="E76" s="27" t="s">
        <v>164</v>
      </c>
      <c r="F76" s="28" t="str">
        <f t="shared" si="4"/>
        <v>FT760017</v>
      </c>
      <c r="G76" s="28" t="str">
        <f t="shared" si="5"/>
        <v>N/A</v>
      </c>
      <c r="H76" s="25" t="str">
        <f t="shared" si="6"/>
        <v>FI760017IO.MA</v>
      </c>
      <c r="I76" s="25" t="str">
        <f t="shared" si="7"/>
        <v>N/A</v>
      </c>
    </row>
    <row r="77" spans="2:9" x14ac:dyDescent="0.25">
      <c r="B77" s="27" t="s">
        <v>18</v>
      </c>
      <c r="C77" s="27" t="s">
        <v>165</v>
      </c>
      <c r="D77" s="27">
        <v>0</v>
      </c>
      <c r="E77" s="27" t="s">
        <v>166</v>
      </c>
      <c r="F77" s="28" t="str">
        <f t="shared" si="4"/>
        <v>FT760020</v>
      </c>
      <c r="G77" s="28" t="str">
        <f t="shared" si="5"/>
        <v>N/A</v>
      </c>
      <c r="H77" s="25" t="str">
        <f t="shared" si="6"/>
        <v>FI760020IO.MA</v>
      </c>
      <c r="I77" s="25" t="str">
        <f t="shared" si="7"/>
        <v>N/A</v>
      </c>
    </row>
    <row r="78" spans="2:9" x14ac:dyDescent="0.25">
      <c r="B78" s="27" t="s">
        <v>18</v>
      </c>
      <c r="C78" s="27" t="s">
        <v>167</v>
      </c>
      <c r="D78" s="27">
        <v>0</v>
      </c>
      <c r="E78" s="27" t="s">
        <v>168</v>
      </c>
      <c r="F78" s="28" t="str">
        <f t="shared" si="4"/>
        <v>FT760028</v>
      </c>
      <c r="G78" s="28" t="str">
        <f t="shared" si="5"/>
        <v>N/A</v>
      </c>
      <c r="H78" s="25" t="str">
        <f t="shared" si="6"/>
        <v>FI760028IO.MA</v>
      </c>
      <c r="I78" s="25" t="str">
        <f t="shared" si="7"/>
        <v>N/A</v>
      </c>
    </row>
    <row r="79" spans="2:9" x14ac:dyDescent="0.25">
      <c r="B79" s="27" t="s">
        <v>18</v>
      </c>
      <c r="C79" s="27" t="s">
        <v>169</v>
      </c>
      <c r="D79" s="27">
        <v>0</v>
      </c>
      <c r="E79" s="27" t="s">
        <v>170</v>
      </c>
      <c r="F79" s="28" t="str">
        <f t="shared" si="4"/>
        <v>FT760107</v>
      </c>
      <c r="G79" s="28" t="str">
        <f t="shared" si="5"/>
        <v>N/A</v>
      </c>
      <c r="H79" s="25" t="str">
        <f t="shared" si="6"/>
        <v>FI760107IO.MA</v>
      </c>
      <c r="I79" s="25" t="str">
        <f t="shared" si="7"/>
        <v>N/A</v>
      </c>
    </row>
    <row r="80" spans="2:9" x14ac:dyDescent="0.25">
      <c r="B80" s="27" t="s">
        <v>18</v>
      </c>
      <c r="C80" s="27" t="s">
        <v>171</v>
      </c>
      <c r="D80" s="27">
        <v>0</v>
      </c>
      <c r="E80" s="27" t="s">
        <v>172</v>
      </c>
      <c r="F80" s="28" t="str">
        <f t="shared" si="4"/>
        <v>FT760209</v>
      </c>
      <c r="G80" s="28" t="str">
        <f t="shared" si="5"/>
        <v>N/A</v>
      </c>
      <c r="H80" s="25" t="str">
        <f t="shared" si="6"/>
        <v>FI760209IO.MA</v>
      </c>
      <c r="I80" s="25" t="str">
        <f t="shared" si="7"/>
        <v>N/A</v>
      </c>
    </row>
    <row r="81" spans="2:9" x14ac:dyDescent="0.25">
      <c r="B81" s="27" t="s">
        <v>18</v>
      </c>
      <c r="C81" s="27" t="s">
        <v>173</v>
      </c>
      <c r="D81" s="27">
        <v>0</v>
      </c>
      <c r="E81" s="27" t="s">
        <v>174</v>
      </c>
      <c r="F81" s="28" t="str">
        <f t="shared" si="4"/>
        <v>FT760213</v>
      </c>
      <c r="G81" s="28" t="str">
        <f t="shared" si="5"/>
        <v>N/A</v>
      </c>
      <c r="H81" s="25" t="str">
        <f t="shared" si="6"/>
        <v>FI760213IO.MA</v>
      </c>
      <c r="I81" s="25" t="str">
        <f t="shared" si="7"/>
        <v>N/A</v>
      </c>
    </row>
    <row r="82" spans="2:9" x14ac:dyDescent="0.25">
      <c r="B82" s="27" t="s">
        <v>18</v>
      </c>
      <c r="C82" s="27" t="s">
        <v>175</v>
      </c>
      <c r="D82" s="27">
        <v>0</v>
      </c>
      <c r="E82" s="27" t="s">
        <v>176</v>
      </c>
      <c r="F82" s="28" t="str">
        <f t="shared" si="4"/>
        <v>FT760216</v>
      </c>
      <c r="G82" s="28" t="str">
        <f t="shared" si="5"/>
        <v>N/A</v>
      </c>
      <c r="H82" s="25" t="str">
        <f t="shared" si="6"/>
        <v>FI760216IO.MA</v>
      </c>
      <c r="I82" s="25" t="str">
        <f t="shared" si="7"/>
        <v>N/A</v>
      </c>
    </row>
    <row r="83" spans="2:9" x14ac:dyDescent="0.25">
      <c r="B83" s="27" t="s">
        <v>18</v>
      </c>
      <c r="C83" s="27" t="s">
        <v>177</v>
      </c>
      <c r="D83" s="27">
        <v>0</v>
      </c>
      <c r="E83" s="27" t="s">
        <v>178</v>
      </c>
      <c r="F83" s="28" t="str">
        <f t="shared" si="4"/>
        <v>FT762007</v>
      </c>
      <c r="G83" s="28" t="str">
        <f t="shared" si="5"/>
        <v>N/A</v>
      </c>
      <c r="H83" s="25" t="str">
        <f t="shared" si="6"/>
        <v>FI762007IO.MA</v>
      </c>
      <c r="I83" s="25" t="str">
        <f t="shared" si="7"/>
        <v>N/A</v>
      </c>
    </row>
    <row r="84" spans="2:9" x14ac:dyDescent="0.25">
      <c r="B84" s="27" t="s">
        <v>18</v>
      </c>
      <c r="C84" s="27" t="s">
        <v>179</v>
      </c>
      <c r="D84" s="27">
        <v>0</v>
      </c>
      <c r="E84" s="27" t="s">
        <v>180</v>
      </c>
      <c r="F84" s="28" t="str">
        <f t="shared" si="4"/>
        <v>FT762013</v>
      </c>
      <c r="G84" s="28" t="str">
        <f t="shared" si="5"/>
        <v>N/A</v>
      </c>
      <c r="H84" s="25" t="str">
        <f t="shared" si="6"/>
        <v>FI762013IO.MA</v>
      </c>
      <c r="I84" s="25" t="str">
        <f t="shared" si="7"/>
        <v>N/A</v>
      </c>
    </row>
    <row r="85" spans="2:9" x14ac:dyDescent="0.25">
      <c r="B85" s="27" t="s">
        <v>18</v>
      </c>
      <c r="C85" s="27" t="s">
        <v>181</v>
      </c>
      <c r="D85" s="27">
        <v>0</v>
      </c>
      <c r="E85" s="27" t="s">
        <v>182</v>
      </c>
      <c r="F85" s="28" t="str">
        <f t="shared" si="4"/>
        <v>FT763007</v>
      </c>
      <c r="G85" s="28" t="str">
        <f t="shared" si="5"/>
        <v>N/A</v>
      </c>
      <c r="H85" s="25" t="str">
        <f t="shared" si="6"/>
        <v>FI763007IO.MA</v>
      </c>
      <c r="I85" s="25" t="str">
        <f t="shared" si="7"/>
        <v>N/A</v>
      </c>
    </row>
    <row r="86" spans="2:9" x14ac:dyDescent="0.25">
      <c r="B86" s="27" t="s">
        <v>18</v>
      </c>
      <c r="C86" s="27" t="s">
        <v>183</v>
      </c>
      <c r="D86" s="27">
        <v>0</v>
      </c>
      <c r="E86" s="27" t="s">
        <v>184</v>
      </c>
      <c r="F86" s="28" t="str">
        <f t="shared" si="4"/>
        <v>FT763032</v>
      </c>
      <c r="G86" s="28" t="str">
        <f t="shared" si="5"/>
        <v>N/A</v>
      </c>
      <c r="H86" s="25" t="str">
        <f t="shared" si="6"/>
        <v>FI763032IO.MA</v>
      </c>
      <c r="I86" s="25" t="str">
        <f t="shared" si="7"/>
        <v>N/A</v>
      </c>
    </row>
    <row r="87" spans="2:9" x14ac:dyDescent="0.25">
      <c r="B87" s="27" t="s">
        <v>18</v>
      </c>
      <c r="C87" s="27" t="s">
        <v>185</v>
      </c>
      <c r="D87" s="27">
        <v>0</v>
      </c>
      <c r="E87" s="27" t="s">
        <v>186</v>
      </c>
      <c r="F87" s="28" t="str">
        <f t="shared" si="4"/>
        <v>FT764007</v>
      </c>
      <c r="G87" s="28" t="str">
        <f t="shared" si="5"/>
        <v>N/A</v>
      </c>
      <c r="H87" s="25" t="str">
        <f t="shared" si="6"/>
        <v>FI764007IO.MA</v>
      </c>
      <c r="I87" s="25" t="str">
        <f t="shared" si="7"/>
        <v>N/A</v>
      </c>
    </row>
    <row r="88" spans="2:9" x14ac:dyDescent="0.25">
      <c r="B88" s="27" t="s">
        <v>18</v>
      </c>
      <c r="C88" s="27" t="s">
        <v>187</v>
      </c>
      <c r="D88" s="27">
        <v>0</v>
      </c>
      <c r="E88" s="27" t="s">
        <v>188</v>
      </c>
      <c r="F88" s="28" t="str">
        <f t="shared" si="4"/>
        <v>FT764013</v>
      </c>
      <c r="G88" s="28" t="str">
        <f t="shared" si="5"/>
        <v>N/A</v>
      </c>
      <c r="H88" s="25" t="str">
        <f t="shared" si="6"/>
        <v>FI764013IO.MA</v>
      </c>
      <c r="I88" s="25" t="str">
        <f t="shared" si="7"/>
        <v>N/A</v>
      </c>
    </row>
    <row r="89" spans="2:9" x14ac:dyDescent="0.25">
      <c r="B89" s="27" t="s">
        <v>18</v>
      </c>
      <c r="C89" s="27" t="s">
        <v>189</v>
      </c>
      <c r="D89" s="27">
        <v>0</v>
      </c>
      <c r="E89" s="27" t="s">
        <v>190</v>
      </c>
      <c r="F89" s="28" t="str">
        <f t="shared" si="4"/>
        <v>FT764033</v>
      </c>
      <c r="G89" s="28" t="str">
        <f t="shared" si="5"/>
        <v>N/A</v>
      </c>
      <c r="H89" s="25" t="str">
        <f t="shared" si="6"/>
        <v>FI764033IO.MA</v>
      </c>
      <c r="I89" s="25" t="str">
        <f t="shared" si="7"/>
        <v>N/A</v>
      </c>
    </row>
    <row r="90" spans="2:9" x14ac:dyDescent="0.25">
      <c r="B90" s="27" t="s">
        <v>18</v>
      </c>
      <c r="C90" s="27" t="s">
        <v>191</v>
      </c>
      <c r="D90" s="27">
        <v>0</v>
      </c>
      <c r="E90" s="27" t="s">
        <v>192</v>
      </c>
      <c r="F90" s="28" t="str">
        <f t="shared" si="4"/>
        <v>FT770001</v>
      </c>
      <c r="G90" s="28" t="str">
        <f t="shared" si="5"/>
        <v>N/A</v>
      </c>
      <c r="H90" s="25" t="str">
        <f t="shared" si="6"/>
        <v>FI770001IO.MA</v>
      </c>
      <c r="I90" s="25" t="str">
        <f t="shared" si="7"/>
        <v>N/A</v>
      </c>
    </row>
    <row r="91" spans="2:9" x14ac:dyDescent="0.25">
      <c r="B91" s="27" t="s">
        <v>18</v>
      </c>
      <c r="C91" s="27" t="s">
        <v>193</v>
      </c>
      <c r="D91" s="27">
        <v>0</v>
      </c>
      <c r="E91" s="27" t="s">
        <v>194</v>
      </c>
      <c r="F91" s="28" t="str">
        <f t="shared" si="4"/>
        <v>FT790012</v>
      </c>
      <c r="G91" s="28" t="str">
        <f t="shared" si="5"/>
        <v>N/A</v>
      </c>
      <c r="H91" s="25" t="str">
        <f t="shared" si="6"/>
        <v>FI790012IO.MA</v>
      </c>
      <c r="I91" s="25" t="str">
        <f t="shared" si="7"/>
        <v>N/A</v>
      </c>
    </row>
    <row r="92" spans="2:9" x14ac:dyDescent="0.25">
      <c r="B92" s="27" t="s">
        <v>18</v>
      </c>
      <c r="C92" s="27" t="s">
        <v>195</v>
      </c>
      <c r="D92" s="27">
        <v>0</v>
      </c>
      <c r="E92" s="27" t="s">
        <v>194</v>
      </c>
      <c r="F92" s="28" t="str">
        <f t="shared" si="4"/>
        <v>FT790012</v>
      </c>
      <c r="G92" s="28" t="str">
        <f t="shared" si="5"/>
        <v>N/A</v>
      </c>
      <c r="H92" s="25" t="str">
        <f t="shared" si="6"/>
        <v>FI790014IO.MA</v>
      </c>
      <c r="I92" s="25" t="str">
        <f t="shared" si="7"/>
        <v>N/A</v>
      </c>
    </row>
    <row r="93" spans="2:9" x14ac:dyDescent="0.25">
      <c r="B93" s="27" t="s">
        <v>18</v>
      </c>
      <c r="C93" s="27" t="s">
        <v>196</v>
      </c>
      <c r="D93" s="27">
        <v>0</v>
      </c>
      <c r="E93" s="27" t="s">
        <v>197</v>
      </c>
      <c r="F93" s="28" t="str">
        <f t="shared" si="4"/>
        <v>FT790107</v>
      </c>
      <c r="G93" s="28" t="str">
        <f t="shared" si="5"/>
        <v>N/A</v>
      </c>
      <c r="H93" s="25" t="str">
        <f t="shared" si="6"/>
        <v>FI790107IO.MA</v>
      </c>
      <c r="I93" s="25" t="str">
        <f t="shared" si="7"/>
        <v>N/A</v>
      </c>
    </row>
    <row r="94" spans="2:9" x14ac:dyDescent="0.25">
      <c r="B94" s="27" t="s">
        <v>18</v>
      </c>
      <c r="C94" s="27" t="s">
        <v>198</v>
      </c>
      <c r="D94" s="27">
        <v>0</v>
      </c>
      <c r="E94" s="27" t="s">
        <v>199</v>
      </c>
      <c r="F94" s="28" t="str">
        <f t="shared" si="4"/>
        <v>FT791001</v>
      </c>
      <c r="G94" s="28" t="str">
        <f t="shared" si="5"/>
        <v>N/A</v>
      </c>
      <c r="H94" s="25" t="str">
        <f t="shared" si="6"/>
        <v>FI791001IO.MA</v>
      </c>
      <c r="I94" s="25" t="str">
        <f t="shared" si="7"/>
        <v>N/A</v>
      </c>
    </row>
    <row r="95" spans="2:9" x14ac:dyDescent="0.25">
      <c r="B95" s="27" t="s">
        <v>18</v>
      </c>
      <c r="C95" s="27" t="s">
        <v>200</v>
      </c>
      <c r="D95" s="27">
        <v>0</v>
      </c>
      <c r="E95" s="27" t="s">
        <v>201</v>
      </c>
      <c r="F95" s="28" t="str">
        <f t="shared" si="4"/>
        <v>FT792001</v>
      </c>
      <c r="G95" s="28" t="str">
        <f t="shared" si="5"/>
        <v>N/A</v>
      </c>
      <c r="H95" s="25" t="str">
        <f t="shared" si="6"/>
        <v>FI792001IO.MA</v>
      </c>
      <c r="I95" s="25" t="str">
        <f t="shared" si="7"/>
        <v>N/A</v>
      </c>
    </row>
    <row r="96" spans="2:9" x14ac:dyDescent="0.25">
      <c r="B96" s="27" t="s">
        <v>18</v>
      </c>
      <c r="C96" s="27" t="s">
        <v>202</v>
      </c>
      <c r="D96" s="27">
        <v>0</v>
      </c>
      <c r="E96" s="27" t="s">
        <v>203</v>
      </c>
      <c r="F96" s="28" t="str">
        <f t="shared" si="4"/>
        <v>FT794003</v>
      </c>
      <c r="G96" s="28" t="str">
        <f t="shared" si="5"/>
        <v>N/A</v>
      </c>
      <c r="H96" s="25" t="str">
        <f t="shared" si="6"/>
        <v>FI794003IO.MA</v>
      </c>
      <c r="I96" s="25" t="str">
        <f t="shared" si="7"/>
        <v>N/A</v>
      </c>
    </row>
    <row r="97" spans="2:9" x14ac:dyDescent="0.25">
      <c r="B97" s="27" t="s">
        <v>18</v>
      </c>
      <c r="C97" s="27" t="s">
        <v>204</v>
      </c>
      <c r="D97" s="27">
        <v>0</v>
      </c>
      <c r="E97" s="27" t="s">
        <v>205</v>
      </c>
      <c r="F97" s="28" t="str">
        <f t="shared" si="4"/>
        <v>FT796024</v>
      </c>
      <c r="G97" s="28" t="str">
        <f t="shared" si="5"/>
        <v>N/A</v>
      </c>
      <c r="H97" s="25" t="str">
        <f t="shared" si="6"/>
        <v>FI796024IO.MA</v>
      </c>
      <c r="I97" s="25" t="str">
        <f t="shared" si="7"/>
        <v>N/A</v>
      </c>
    </row>
    <row r="98" spans="2:9" x14ac:dyDescent="0.25">
      <c r="B98" s="27" t="s">
        <v>18</v>
      </c>
      <c r="C98" s="27" t="s">
        <v>206</v>
      </c>
      <c r="D98" s="27">
        <v>0</v>
      </c>
      <c r="E98" s="27" t="s">
        <v>207</v>
      </c>
      <c r="F98" s="28" t="str">
        <f t="shared" si="4"/>
        <v>FT798512</v>
      </c>
      <c r="G98" s="28" t="str">
        <f t="shared" si="5"/>
        <v>N/A</v>
      </c>
      <c r="H98" s="25" t="str">
        <f t="shared" si="6"/>
        <v>FI798512IO.MA</v>
      </c>
      <c r="I98" s="25" t="str">
        <f t="shared" si="7"/>
        <v>N/A</v>
      </c>
    </row>
    <row r="99" spans="2:9" x14ac:dyDescent="0.25">
      <c r="B99" s="27" t="s">
        <v>18</v>
      </c>
      <c r="C99" s="27" t="s">
        <v>208</v>
      </c>
      <c r="D99" s="27">
        <v>0</v>
      </c>
      <c r="E99" s="27" t="s">
        <v>209</v>
      </c>
      <c r="F99" s="28" t="str">
        <f t="shared" si="4"/>
        <v>FT798911</v>
      </c>
      <c r="G99" s="28" t="str">
        <f t="shared" si="5"/>
        <v>N/A</v>
      </c>
      <c r="H99" s="25" t="str">
        <f t="shared" si="6"/>
        <v>FI798911IO.MA</v>
      </c>
      <c r="I99" s="25" t="str">
        <f t="shared" si="7"/>
        <v>N/A</v>
      </c>
    </row>
    <row r="100" spans="2:9" x14ac:dyDescent="0.25">
      <c r="B100" s="27" t="s">
        <v>18</v>
      </c>
      <c r="C100" s="27" t="s">
        <v>210</v>
      </c>
      <c r="D100" s="27">
        <v>1</v>
      </c>
      <c r="E100" s="27" t="s">
        <v>211</v>
      </c>
      <c r="F100" s="28" t="str">
        <f t="shared" si="4"/>
        <v>FT799206</v>
      </c>
      <c r="G100" s="28" t="str">
        <f t="shared" si="5"/>
        <v>N/A</v>
      </c>
      <c r="H100" s="25" t="str">
        <f t="shared" si="6"/>
        <v>FI799206IO.MA</v>
      </c>
      <c r="I100" s="25" t="str">
        <f t="shared" si="7"/>
        <v>N/A</v>
      </c>
    </row>
    <row r="101" spans="2:9" x14ac:dyDescent="0.25">
      <c r="B101" s="27" t="s">
        <v>18</v>
      </c>
      <c r="C101" s="27" t="s">
        <v>212</v>
      </c>
      <c r="D101" s="27">
        <v>0</v>
      </c>
      <c r="E101" s="27" t="s">
        <v>213</v>
      </c>
      <c r="F101" s="28" t="str">
        <f t="shared" si="4"/>
        <v>JT700006</v>
      </c>
      <c r="G101" s="28" t="str">
        <f t="shared" si="5"/>
        <v>N/A</v>
      </c>
      <c r="H101" s="25" t="str">
        <f t="shared" si="6"/>
        <v>HS700006IO_Amps.MA</v>
      </c>
      <c r="I101" s="25" t="str">
        <f t="shared" si="7"/>
        <v>N/A</v>
      </c>
    </row>
    <row r="102" spans="2:9" x14ac:dyDescent="0.25">
      <c r="B102" s="27" t="s">
        <v>18</v>
      </c>
      <c r="C102" s="27" t="s">
        <v>214</v>
      </c>
      <c r="D102" s="27">
        <v>0</v>
      </c>
      <c r="E102" s="27" t="s">
        <v>215</v>
      </c>
      <c r="F102" s="28" t="str">
        <f t="shared" si="4"/>
        <v>JT700007</v>
      </c>
      <c r="G102" s="28" t="str">
        <f t="shared" si="5"/>
        <v>N/A</v>
      </c>
      <c r="H102" s="25" t="str">
        <f t="shared" si="6"/>
        <v>HS700007IO_Amps.MA</v>
      </c>
      <c r="I102" s="25" t="str">
        <f t="shared" si="7"/>
        <v>N/A</v>
      </c>
    </row>
    <row r="103" spans="2:9" x14ac:dyDescent="0.25">
      <c r="B103" s="27" t="s">
        <v>18</v>
      </c>
      <c r="C103" s="27" t="s">
        <v>216</v>
      </c>
      <c r="D103" s="27">
        <v>0</v>
      </c>
      <c r="E103" s="27" t="s">
        <v>217</v>
      </c>
      <c r="F103" s="28" t="str">
        <f t="shared" si="4"/>
        <v>JT700013</v>
      </c>
      <c r="G103" s="28" t="str">
        <f t="shared" si="5"/>
        <v>N/A</v>
      </c>
      <c r="H103" s="25" t="str">
        <f t="shared" si="6"/>
        <v>HS700013IO_Amps.MA</v>
      </c>
      <c r="I103" s="25" t="str">
        <f t="shared" si="7"/>
        <v>N/A</v>
      </c>
    </row>
    <row r="104" spans="2:9" x14ac:dyDescent="0.25">
      <c r="B104" s="27" t="s">
        <v>18</v>
      </c>
      <c r="C104" s="27" t="s">
        <v>218</v>
      </c>
      <c r="D104" s="27">
        <v>0</v>
      </c>
      <c r="E104" s="27" t="s">
        <v>219</v>
      </c>
      <c r="F104" s="28" t="str">
        <f t="shared" si="4"/>
        <v>JT700014</v>
      </c>
      <c r="G104" s="28" t="str">
        <f t="shared" si="5"/>
        <v>N/A</v>
      </c>
      <c r="H104" s="25" t="str">
        <f t="shared" si="6"/>
        <v>HS700014IO_Amps.MA</v>
      </c>
      <c r="I104" s="25" t="str">
        <f t="shared" si="7"/>
        <v>N/A</v>
      </c>
    </row>
    <row r="105" spans="2:9" x14ac:dyDescent="0.25">
      <c r="B105" s="27" t="s">
        <v>18</v>
      </c>
      <c r="C105" s="27" t="s">
        <v>220</v>
      </c>
      <c r="D105" s="27">
        <v>0</v>
      </c>
      <c r="E105" s="27" t="s">
        <v>221</v>
      </c>
      <c r="F105" s="28" t="str">
        <f t="shared" si="4"/>
        <v>JT701003</v>
      </c>
      <c r="G105" s="28" t="str">
        <f t="shared" si="5"/>
        <v>N/A</v>
      </c>
      <c r="H105" s="25" t="str">
        <f t="shared" si="6"/>
        <v>HS701003IO_Amps.MA</v>
      </c>
      <c r="I105" s="25" t="str">
        <f t="shared" si="7"/>
        <v>N/A</v>
      </c>
    </row>
    <row r="106" spans="2:9" x14ac:dyDescent="0.25">
      <c r="B106" s="27" t="s">
        <v>18</v>
      </c>
      <c r="C106" s="27" t="s">
        <v>222</v>
      </c>
      <c r="D106" s="27">
        <v>0</v>
      </c>
      <c r="E106" s="27" t="s">
        <v>223</v>
      </c>
      <c r="F106" s="28" t="str">
        <f t="shared" si="4"/>
        <v>JT701004</v>
      </c>
      <c r="G106" s="28" t="str">
        <f t="shared" si="5"/>
        <v>N/A</v>
      </c>
      <c r="H106" s="25" t="str">
        <f t="shared" si="6"/>
        <v>HS701004IO_Amps.MA</v>
      </c>
      <c r="I106" s="25" t="str">
        <f t="shared" si="7"/>
        <v>N/A</v>
      </c>
    </row>
    <row r="107" spans="2:9" x14ac:dyDescent="0.25">
      <c r="B107" s="27" t="s">
        <v>18</v>
      </c>
      <c r="C107" s="27" t="s">
        <v>224</v>
      </c>
      <c r="D107" s="27">
        <v>0</v>
      </c>
      <c r="E107" s="27" t="s">
        <v>225</v>
      </c>
      <c r="F107" s="28" t="str">
        <f t="shared" si="4"/>
        <v>JT722010</v>
      </c>
      <c r="G107" s="28" t="str">
        <f t="shared" si="5"/>
        <v>N/A</v>
      </c>
      <c r="H107" s="25" t="str">
        <f t="shared" si="6"/>
        <v>HS722010IO_Amps.MA</v>
      </c>
      <c r="I107" s="25" t="str">
        <f t="shared" si="7"/>
        <v>N/A</v>
      </c>
    </row>
    <row r="108" spans="2:9" x14ac:dyDescent="0.25">
      <c r="B108" s="27" t="s">
        <v>18</v>
      </c>
      <c r="C108" s="27" t="s">
        <v>226</v>
      </c>
      <c r="D108" s="27">
        <v>0</v>
      </c>
      <c r="E108" s="27" t="s">
        <v>227</v>
      </c>
      <c r="F108" s="28" t="str">
        <f t="shared" si="4"/>
        <v>JT722011</v>
      </c>
      <c r="G108" s="28" t="str">
        <f t="shared" si="5"/>
        <v>N/A</v>
      </c>
      <c r="H108" s="25" t="str">
        <f t="shared" si="6"/>
        <v>HS722011IO_Amps.MA</v>
      </c>
      <c r="I108" s="25" t="str">
        <f t="shared" si="7"/>
        <v>N/A</v>
      </c>
    </row>
    <row r="109" spans="2:9" x14ac:dyDescent="0.25">
      <c r="B109" s="27" t="s">
        <v>18</v>
      </c>
      <c r="C109" s="27" t="s">
        <v>228</v>
      </c>
      <c r="D109" s="27">
        <v>0</v>
      </c>
      <c r="E109" s="27" t="s">
        <v>229</v>
      </c>
      <c r="F109" s="28" t="str">
        <f t="shared" si="4"/>
        <v>JT722204</v>
      </c>
      <c r="G109" s="28" t="str">
        <f t="shared" si="5"/>
        <v>N/A</v>
      </c>
      <c r="H109" s="25" t="str">
        <f t="shared" si="6"/>
        <v>HS722204IO_Amps.MA</v>
      </c>
      <c r="I109" s="25" t="str">
        <f t="shared" si="7"/>
        <v>N/A</v>
      </c>
    </row>
    <row r="110" spans="2:9" x14ac:dyDescent="0.25">
      <c r="B110" s="27" t="s">
        <v>18</v>
      </c>
      <c r="C110" s="27" t="s">
        <v>230</v>
      </c>
      <c r="D110" s="27">
        <v>0</v>
      </c>
      <c r="E110" s="27" t="s">
        <v>231</v>
      </c>
      <c r="F110" s="28" t="str">
        <f t="shared" si="4"/>
        <v>JT722205</v>
      </c>
      <c r="G110" s="28" t="str">
        <f t="shared" si="5"/>
        <v>N/A</v>
      </c>
      <c r="H110" s="25" t="str">
        <f t="shared" si="6"/>
        <v>HS722205IO_Amps.MA</v>
      </c>
      <c r="I110" s="25" t="str">
        <f t="shared" si="7"/>
        <v>N/A</v>
      </c>
    </row>
    <row r="111" spans="2:9" x14ac:dyDescent="0.25">
      <c r="B111" s="27" t="s">
        <v>18</v>
      </c>
      <c r="C111" s="27" t="s">
        <v>232</v>
      </c>
      <c r="D111" s="27">
        <v>0</v>
      </c>
      <c r="E111" s="27" t="s">
        <v>233</v>
      </c>
      <c r="F111" s="28" t="str">
        <f t="shared" si="4"/>
        <v>JT730012</v>
      </c>
      <c r="G111" s="28" t="str">
        <f t="shared" si="5"/>
        <v>N/A</v>
      </c>
      <c r="H111" s="25" t="str">
        <f t="shared" si="6"/>
        <v>HS730012IO_Amps.MA</v>
      </c>
      <c r="I111" s="25" t="str">
        <f t="shared" si="7"/>
        <v>N/A</v>
      </c>
    </row>
    <row r="112" spans="2:9" x14ac:dyDescent="0.25">
      <c r="B112" s="27" t="s">
        <v>18</v>
      </c>
      <c r="C112" s="27" t="s">
        <v>234</v>
      </c>
      <c r="D112" s="27">
        <v>0</v>
      </c>
      <c r="E112" s="27" t="s">
        <v>235</v>
      </c>
      <c r="F112" s="28" t="str">
        <f t="shared" si="4"/>
        <v>JT730013</v>
      </c>
      <c r="G112" s="28" t="str">
        <f t="shared" si="5"/>
        <v>N/A</v>
      </c>
      <c r="H112" s="25" t="str">
        <f t="shared" si="6"/>
        <v>HS730013IO_Amps.MA</v>
      </c>
      <c r="I112" s="25" t="str">
        <f t="shared" si="7"/>
        <v>N/A</v>
      </c>
    </row>
    <row r="113" spans="2:9" x14ac:dyDescent="0.25">
      <c r="B113" s="27" t="s">
        <v>18</v>
      </c>
      <c r="C113" s="27" t="s">
        <v>236</v>
      </c>
      <c r="D113" s="27">
        <v>0</v>
      </c>
      <c r="E113" s="27" t="s">
        <v>237</v>
      </c>
      <c r="F113" s="28" t="str">
        <f t="shared" si="4"/>
        <v>JT730203</v>
      </c>
      <c r="G113" s="28" t="str">
        <f t="shared" si="5"/>
        <v>N/A</v>
      </c>
      <c r="H113" s="25" t="str">
        <f t="shared" si="6"/>
        <v>HS730203IO_Amps.MA</v>
      </c>
      <c r="I113" s="25" t="str">
        <f t="shared" si="7"/>
        <v>N/A</v>
      </c>
    </row>
    <row r="114" spans="2:9" x14ac:dyDescent="0.25">
      <c r="B114" s="27" t="s">
        <v>18</v>
      </c>
      <c r="C114" s="27" t="s">
        <v>238</v>
      </c>
      <c r="D114" s="27">
        <v>0</v>
      </c>
      <c r="E114" s="27" t="s">
        <v>239</v>
      </c>
      <c r="F114" s="28" t="str">
        <f t="shared" si="4"/>
        <v>JT730204</v>
      </c>
      <c r="G114" s="28" t="str">
        <f t="shared" si="5"/>
        <v>N/A</v>
      </c>
      <c r="H114" s="25" t="str">
        <f t="shared" si="6"/>
        <v>HS730204IO_Amps.MA</v>
      </c>
      <c r="I114" s="25" t="str">
        <f t="shared" si="7"/>
        <v>N/A</v>
      </c>
    </row>
    <row r="115" spans="2:9" x14ac:dyDescent="0.25">
      <c r="B115" s="27" t="s">
        <v>18</v>
      </c>
      <c r="C115" s="27" t="s">
        <v>240</v>
      </c>
      <c r="D115" s="27">
        <v>0</v>
      </c>
      <c r="E115" s="27" t="s">
        <v>241</v>
      </c>
      <c r="F115" s="28" t="str">
        <f t="shared" si="4"/>
        <v>JT730408</v>
      </c>
      <c r="G115" s="28" t="str">
        <f t="shared" si="5"/>
        <v>N/A</v>
      </c>
      <c r="H115" s="25" t="str">
        <f t="shared" si="6"/>
        <v>HS730408IO_Amps.MA</v>
      </c>
      <c r="I115" s="25" t="str">
        <f t="shared" si="7"/>
        <v>N/A</v>
      </c>
    </row>
    <row r="116" spans="2:9" x14ac:dyDescent="0.25">
      <c r="B116" s="27" t="s">
        <v>18</v>
      </c>
      <c r="C116" s="27" t="s">
        <v>242</v>
      </c>
      <c r="D116" s="27">
        <v>0</v>
      </c>
      <c r="E116" s="27" t="s">
        <v>243</v>
      </c>
      <c r="F116" s="28" t="str">
        <f t="shared" si="4"/>
        <v>JT730409</v>
      </c>
      <c r="G116" s="28" t="str">
        <f t="shared" si="5"/>
        <v>N/A</v>
      </c>
      <c r="H116" s="25" t="str">
        <f t="shared" si="6"/>
        <v>HS730409IO_Amps.MA</v>
      </c>
      <c r="I116" s="25" t="str">
        <f t="shared" si="7"/>
        <v>N/A</v>
      </c>
    </row>
    <row r="117" spans="2:9" x14ac:dyDescent="0.25">
      <c r="B117" s="27" t="s">
        <v>18</v>
      </c>
      <c r="C117" s="27" t="s">
        <v>244</v>
      </c>
      <c r="D117" s="27">
        <v>0</v>
      </c>
      <c r="E117" s="27" t="s">
        <v>245</v>
      </c>
      <c r="F117" s="28" t="str">
        <f t="shared" si="4"/>
        <v>JT740021</v>
      </c>
      <c r="G117" s="28" t="str">
        <f t="shared" si="5"/>
        <v>N/A</v>
      </c>
      <c r="H117" s="25" t="str">
        <f t="shared" si="6"/>
        <v>HS740021IO_Amps.MA</v>
      </c>
      <c r="I117" s="25" t="str">
        <f t="shared" si="7"/>
        <v>N/A</v>
      </c>
    </row>
    <row r="118" spans="2:9" x14ac:dyDescent="0.25">
      <c r="B118" s="27" t="s">
        <v>18</v>
      </c>
      <c r="C118" s="27" t="s">
        <v>246</v>
      </c>
      <c r="D118" s="27">
        <v>0</v>
      </c>
      <c r="E118" s="27" t="s">
        <v>247</v>
      </c>
      <c r="F118" s="28" t="str">
        <f t="shared" si="4"/>
        <v>JT740022</v>
      </c>
      <c r="G118" s="28" t="str">
        <f t="shared" si="5"/>
        <v>N/A</v>
      </c>
      <c r="H118" s="25" t="str">
        <f t="shared" si="6"/>
        <v>HS740022IO_Amps.MA</v>
      </c>
      <c r="I118" s="25" t="str">
        <f t="shared" si="7"/>
        <v>N/A</v>
      </c>
    </row>
    <row r="119" spans="2:9" x14ac:dyDescent="0.25">
      <c r="B119" s="27" t="s">
        <v>18</v>
      </c>
      <c r="C119" s="27" t="s">
        <v>248</v>
      </c>
      <c r="D119" s="27">
        <v>0</v>
      </c>
      <c r="E119" s="27" t="s">
        <v>249</v>
      </c>
      <c r="F119" s="28" t="str">
        <f t="shared" si="4"/>
        <v>JT740102</v>
      </c>
      <c r="G119" s="28" t="str">
        <f t="shared" si="5"/>
        <v>N/A</v>
      </c>
      <c r="H119" s="25" t="str">
        <f t="shared" si="6"/>
        <v>HS740102IO_Amps.MA</v>
      </c>
      <c r="I119" s="25" t="str">
        <f t="shared" si="7"/>
        <v>N/A</v>
      </c>
    </row>
    <row r="120" spans="2:9" x14ac:dyDescent="0.25">
      <c r="B120" s="27" t="s">
        <v>18</v>
      </c>
      <c r="C120" s="27" t="s">
        <v>250</v>
      </c>
      <c r="D120" s="27">
        <v>0</v>
      </c>
      <c r="E120" s="27" t="s">
        <v>251</v>
      </c>
      <c r="F120" s="28" t="str">
        <f t="shared" si="4"/>
        <v>JT740103</v>
      </c>
      <c r="G120" s="28" t="str">
        <f t="shared" si="5"/>
        <v>N/A</v>
      </c>
      <c r="H120" s="25" t="str">
        <f t="shared" si="6"/>
        <v>HS740103IO_Amps.MA</v>
      </c>
      <c r="I120" s="25" t="str">
        <f t="shared" si="7"/>
        <v>N/A</v>
      </c>
    </row>
    <row r="121" spans="2:9" x14ac:dyDescent="0.25">
      <c r="B121" s="27" t="s">
        <v>18</v>
      </c>
      <c r="C121" s="27" t="s">
        <v>252</v>
      </c>
      <c r="D121" s="27">
        <v>0</v>
      </c>
      <c r="E121" s="27" t="s">
        <v>253</v>
      </c>
      <c r="F121" s="28" t="str">
        <f t="shared" si="4"/>
        <v>JT740205</v>
      </c>
      <c r="G121" s="28" t="str">
        <f t="shared" si="5"/>
        <v>N/A</v>
      </c>
      <c r="H121" s="25" t="str">
        <f t="shared" si="6"/>
        <v>HS740205IO_Amps.MA</v>
      </c>
      <c r="I121" s="25" t="str">
        <f t="shared" si="7"/>
        <v>N/A</v>
      </c>
    </row>
    <row r="122" spans="2:9" x14ac:dyDescent="0.25">
      <c r="B122" s="27" t="s">
        <v>18</v>
      </c>
      <c r="C122" s="27" t="s">
        <v>254</v>
      </c>
      <c r="D122" s="27">
        <v>0</v>
      </c>
      <c r="E122" s="27" t="s">
        <v>255</v>
      </c>
      <c r="F122" s="28" t="str">
        <f t="shared" si="4"/>
        <v>JT740206</v>
      </c>
      <c r="G122" s="28" t="str">
        <f t="shared" si="5"/>
        <v>N/A</v>
      </c>
      <c r="H122" s="25" t="str">
        <f t="shared" si="6"/>
        <v>HS740206IO_Amps.MA</v>
      </c>
      <c r="I122" s="25" t="str">
        <f t="shared" si="7"/>
        <v>N/A</v>
      </c>
    </row>
    <row r="123" spans="2:9" x14ac:dyDescent="0.25">
      <c r="B123" s="27" t="s">
        <v>18</v>
      </c>
      <c r="C123" s="27" t="s">
        <v>256</v>
      </c>
      <c r="D123" s="27">
        <v>0</v>
      </c>
      <c r="E123" s="27" t="s">
        <v>257</v>
      </c>
      <c r="F123" s="28" t="str">
        <f t="shared" si="4"/>
        <v>JT741010</v>
      </c>
      <c r="G123" s="28" t="str">
        <f t="shared" si="5"/>
        <v>N/A</v>
      </c>
      <c r="H123" s="25" t="str">
        <f t="shared" si="6"/>
        <v>HS741010IO_Amps.MA</v>
      </c>
      <c r="I123" s="25" t="str">
        <f t="shared" si="7"/>
        <v>N/A</v>
      </c>
    </row>
    <row r="124" spans="2:9" x14ac:dyDescent="0.25">
      <c r="B124" s="27" t="s">
        <v>18</v>
      </c>
      <c r="C124" s="27" t="s">
        <v>258</v>
      </c>
      <c r="D124" s="27">
        <v>0</v>
      </c>
      <c r="E124" s="27" t="s">
        <v>259</v>
      </c>
      <c r="F124" s="28" t="str">
        <f t="shared" si="4"/>
        <v>JT742010</v>
      </c>
      <c r="G124" s="28" t="str">
        <f t="shared" si="5"/>
        <v>N/A</v>
      </c>
      <c r="H124" s="25" t="str">
        <f t="shared" si="6"/>
        <v>HS742010IO_Amps.MA</v>
      </c>
      <c r="I124" s="25" t="str">
        <f t="shared" si="7"/>
        <v>N/A</v>
      </c>
    </row>
    <row r="125" spans="2:9" x14ac:dyDescent="0.25">
      <c r="B125" s="27" t="s">
        <v>18</v>
      </c>
      <c r="C125" s="27" t="s">
        <v>260</v>
      </c>
      <c r="D125" s="27">
        <v>0</v>
      </c>
      <c r="E125" s="27" t="s">
        <v>261</v>
      </c>
      <c r="F125" s="28" t="str">
        <f t="shared" si="4"/>
        <v>JT750021</v>
      </c>
      <c r="G125" s="28" t="str">
        <f t="shared" si="5"/>
        <v>N/A</v>
      </c>
      <c r="H125" s="25" t="str">
        <f t="shared" si="6"/>
        <v>HS750021IO_Amps.MA</v>
      </c>
      <c r="I125" s="25" t="str">
        <f t="shared" si="7"/>
        <v>N/A</v>
      </c>
    </row>
    <row r="126" spans="2:9" x14ac:dyDescent="0.25">
      <c r="B126" s="27" t="s">
        <v>18</v>
      </c>
      <c r="C126" s="27" t="s">
        <v>262</v>
      </c>
      <c r="D126" s="27">
        <v>0</v>
      </c>
      <c r="E126" s="27" t="s">
        <v>263</v>
      </c>
      <c r="F126" s="28" t="str">
        <f t="shared" si="4"/>
        <v>JT750022</v>
      </c>
      <c r="G126" s="28" t="str">
        <f t="shared" si="5"/>
        <v>N/A</v>
      </c>
      <c r="H126" s="25" t="str">
        <f t="shared" si="6"/>
        <v>HS750022IO_Amps.MA</v>
      </c>
      <c r="I126" s="25" t="str">
        <f t="shared" si="7"/>
        <v>N/A</v>
      </c>
    </row>
    <row r="127" spans="2:9" x14ac:dyDescent="0.25">
      <c r="B127" s="27" t="s">
        <v>18</v>
      </c>
      <c r="C127" s="27" t="s">
        <v>264</v>
      </c>
      <c r="D127" s="27">
        <v>0</v>
      </c>
      <c r="E127" s="27" t="s">
        <v>265</v>
      </c>
      <c r="F127" s="28" t="str">
        <f t="shared" si="4"/>
        <v>JT750102</v>
      </c>
      <c r="G127" s="28" t="str">
        <f t="shared" si="5"/>
        <v>N/A</v>
      </c>
      <c r="H127" s="25" t="str">
        <f t="shared" si="6"/>
        <v>HS750102IO_Amps.MA</v>
      </c>
      <c r="I127" s="25" t="str">
        <f t="shared" si="7"/>
        <v>N/A</v>
      </c>
    </row>
    <row r="128" spans="2:9" x14ac:dyDescent="0.25">
      <c r="B128" s="27" t="s">
        <v>18</v>
      </c>
      <c r="C128" s="27" t="s">
        <v>266</v>
      </c>
      <c r="D128" s="27">
        <v>0</v>
      </c>
      <c r="E128" s="27" t="s">
        <v>267</v>
      </c>
      <c r="F128" s="28" t="str">
        <f t="shared" si="4"/>
        <v>JT750103</v>
      </c>
      <c r="G128" s="28" t="str">
        <f t="shared" si="5"/>
        <v>N/A</v>
      </c>
      <c r="H128" s="25" t="str">
        <f t="shared" si="6"/>
        <v>HS750103IO_Amps.MA</v>
      </c>
      <c r="I128" s="25" t="str">
        <f t="shared" si="7"/>
        <v>N/A</v>
      </c>
    </row>
    <row r="129" spans="2:9" x14ac:dyDescent="0.25">
      <c r="B129" s="27" t="s">
        <v>18</v>
      </c>
      <c r="C129" s="27" t="s">
        <v>268</v>
      </c>
      <c r="D129" s="27">
        <v>0</v>
      </c>
      <c r="E129" s="27" t="s">
        <v>269</v>
      </c>
      <c r="F129" s="28" t="str">
        <f t="shared" si="4"/>
        <v>JT750205</v>
      </c>
      <c r="G129" s="28" t="str">
        <f t="shared" si="5"/>
        <v>N/A</v>
      </c>
      <c r="H129" s="25" t="str">
        <f t="shared" si="6"/>
        <v>HS750205IO_Amps.MA</v>
      </c>
      <c r="I129" s="25" t="str">
        <f t="shared" si="7"/>
        <v>N/A</v>
      </c>
    </row>
    <row r="130" spans="2:9" x14ac:dyDescent="0.25">
      <c r="B130" s="27" t="s">
        <v>18</v>
      </c>
      <c r="C130" s="27" t="s">
        <v>270</v>
      </c>
      <c r="D130" s="27">
        <v>0</v>
      </c>
      <c r="E130" s="27" t="s">
        <v>271</v>
      </c>
      <c r="F130" s="28" t="str">
        <f t="shared" ref="F130:F193" si="8">+LEFT(E130,FIND(".",E130,1)-1)</f>
        <v>JT750206</v>
      </c>
      <c r="G130" s="28" t="str">
        <f t="shared" ref="G130:G193" si="9">+IFERROR(IF(LEFT(VLOOKUP(F130,DI,6,FALSE),2)="IO",2,0),"N/A")</f>
        <v>N/A</v>
      </c>
      <c r="H130" s="25" t="str">
        <f t="shared" ref="H130:H193" si="10">+CONCATENATE(C130,".MA")</f>
        <v>HS750206IO_Amps.MA</v>
      </c>
      <c r="I130" s="25" t="str">
        <f t="shared" si="7"/>
        <v>N/A</v>
      </c>
    </row>
    <row r="131" spans="2:9" x14ac:dyDescent="0.25">
      <c r="B131" s="27" t="s">
        <v>18</v>
      </c>
      <c r="C131" s="27" t="s">
        <v>272</v>
      </c>
      <c r="D131" s="27">
        <v>0</v>
      </c>
      <c r="E131" s="27" t="s">
        <v>273</v>
      </c>
      <c r="F131" s="28" t="str">
        <f t="shared" si="8"/>
        <v>JT751010</v>
      </c>
      <c r="G131" s="28" t="str">
        <f t="shared" si="9"/>
        <v>N/A</v>
      </c>
      <c r="H131" s="25" t="str">
        <f t="shared" si="10"/>
        <v>HS751010IO_Amps.MA</v>
      </c>
      <c r="I131" s="25" t="str">
        <f t="shared" ref="I131:I194" si="11">+G131</f>
        <v>N/A</v>
      </c>
    </row>
    <row r="132" spans="2:9" x14ac:dyDescent="0.25">
      <c r="B132" s="27" t="s">
        <v>18</v>
      </c>
      <c r="C132" s="27" t="s">
        <v>274</v>
      </c>
      <c r="D132" s="27">
        <v>0</v>
      </c>
      <c r="E132" s="27" t="s">
        <v>275</v>
      </c>
      <c r="F132" s="28" t="str">
        <f t="shared" si="8"/>
        <v>JT752010</v>
      </c>
      <c r="G132" s="28" t="str">
        <f t="shared" si="9"/>
        <v>N/A</v>
      </c>
      <c r="H132" s="25" t="str">
        <f t="shared" si="10"/>
        <v>HS752010IO_Amps.MA</v>
      </c>
      <c r="I132" s="25" t="str">
        <f t="shared" si="11"/>
        <v>N/A</v>
      </c>
    </row>
    <row r="133" spans="2:9" x14ac:dyDescent="0.25">
      <c r="B133" s="27" t="s">
        <v>18</v>
      </c>
      <c r="C133" s="27" t="s">
        <v>276</v>
      </c>
      <c r="D133" s="27">
        <v>0</v>
      </c>
      <c r="E133" s="27" t="s">
        <v>277</v>
      </c>
      <c r="F133" s="28" t="str">
        <f t="shared" si="8"/>
        <v>JT760021</v>
      </c>
      <c r="G133" s="28" t="str">
        <f t="shared" si="9"/>
        <v>N/A</v>
      </c>
      <c r="H133" s="25" t="str">
        <f t="shared" si="10"/>
        <v>HS760021IO_Amps.MA</v>
      </c>
      <c r="I133" s="25" t="str">
        <f t="shared" si="11"/>
        <v>N/A</v>
      </c>
    </row>
    <row r="134" spans="2:9" x14ac:dyDescent="0.25">
      <c r="B134" s="27" t="s">
        <v>18</v>
      </c>
      <c r="C134" s="27" t="s">
        <v>278</v>
      </c>
      <c r="D134" s="27">
        <v>0</v>
      </c>
      <c r="E134" s="27" t="s">
        <v>279</v>
      </c>
      <c r="F134" s="28" t="str">
        <f t="shared" si="8"/>
        <v>JT760022</v>
      </c>
      <c r="G134" s="28" t="str">
        <f t="shared" si="9"/>
        <v>N/A</v>
      </c>
      <c r="H134" s="25" t="str">
        <f t="shared" si="10"/>
        <v>HS760022IO_Amps.MA</v>
      </c>
      <c r="I134" s="25" t="str">
        <f t="shared" si="11"/>
        <v>N/A</v>
      </c>
    </row>
    <row r="135" spans="2:9" x14ac:dyDescent="0.25">
      <c r="B135" s="27" t="s">
        <v>18</v>
      </c>
      <c r="C135" s="27" t="s">
        <v>280</v>
      </c>
      <c r="D135" s="27">
        <v>0</v>
      </c>
      <c r="E135" s="27" t="s">
        <v>281</v>
      </c>
      <c r="F135" s="28" t="str">
        <f t="shared" si="8"/>
        <v>JT760102</v>
      </c>
      <c r="G135" s="28" t="str">
        <f t="shared" si="9"/>
        <v>N/A</v>
      </c>
      <c r="H135" s="25" t="str">
        <f t="shared" si="10"/>
        <v>HS760102IO_Amps.MA</v>
      </c>
      <c r="I135" s="25" t="str">
        <f t="shared" si="11"/>
        <v>N/A</v>
      </c>
    </row>
    <row r="136" spans="2:9" x14ac:dyDescent="0.25">
      <c r="B136" s="27" t="s">
        <v>18</v>
      </c>
      <c r="C136" s="27" t="s">
        <v>282</v>
      </c>
      <c r="D136" s="27">
        <v>0</v>
      </c>
      <c r="E136" s="27" t="s">
        <v>283</v>
      </c>
      <c r="F136" s="28" t="str">
        <f t="shared" si="8"/>
        <v>JT760103</v>
      </c>
      <c r="G136" s="28" t="str">
        <f t="shared" si="9"/>
        <v>N/A</v>
      </c>
      <c r="H136" s="25" t="str">
        <f t="shared" si="10"/>
        <v>HS760103IO_Amps.MA</v>
      </c>
      <c r="I136" s="25" t="str">
        <f t="shared" si="11"/>
        <v>N/A</v>
      </c>
    </row>
    <row r="137" spans="2:9" x14ac:dyDescent="0.25">
      <c r="B137" s="27" t="s">
        <v>18</v>
      </c>
      <c r="C137" s="27" t="s">
        <v>284</v>
      </c>
      <c r="D137" s="27">
        <v>0</v>
      </c>
      <c r="E137" s="27" t="s">
        <v>285</v>
      </c>
      <c r="F137" s="28" t="str">
        <f t="shared" si="8"/>
        <v>JT760205</v>
      </c>
      <c r="G137" s="28" t="str">
        <f t="shared" si="9"/>
        <v>N/A</v>
      </c>
      <c r="H137" s="25" t="str">
        <f t="shared" si="10"/>
        <v>HS760205IO_Amps.MA</v>
      </c>
      <c r="I137" s="25" t="str">
        <f t="shared" si="11"/>
        <v>N/A</v>
      </c>
    </row>
    <row r="138" spans="2:9" x14ac:dyDescent="0.25">
      <c r="B138" s="27" t="s">
        <v>18</v>
      </c>
      <c r="C138" s="27" t="s">
        <v>286</v>
      </c>
      <c r="D138" s="27">
        <v>0</v>
      </c>
      <c r="E138" s="27" t="s">
        <v>287</v>
      </c>
      <c r="F138" s="28" t="str">
        <f t="shared" si="8"/>
        <v>JT760206</v>
      </c>
      <c r="G138" s="28" t="str">
        <f t="shared" si="9"/>
        <v>N/A</v>
      </c>
      <c r="H138" s="25" t="str">
        <f t="shared" si="10"/>
        <v>HS760206IO_Amps.MA</v>
      </c>
      <c r="I138" s="25" t="str">
        <f t="shared" si="11"/>
        <v>N/A</v>
      </c>
    </row>
    <row r="139" spans="2:9" x14ac:dyDescent="0.25">
      <c r="B139" s="27" t="s">
        <v>18</v>
      </c>
      <c r="C139" s="27" t="s">
        <v>288</v>
      </c>
      <c r="D139" s="27">
        <v>0</v>
      </c>
      <c r="E139" s="27" t="s">
        <v>289</v>
      </c>
      <c r="F139" s="28" t="str">
        <f t="shared" si="8"/>
        <v>JT761010</v>
      </c>
      <c r="G139" s="28" t="str">
        <f t="shared" si="9"/>
        <v>N/A</v>
      </c>
      <c r="H139" s="25" t="str">
        <f t="shared" si="10"/>
        <v>HS761010IO_Amps.MA</v>
      </c>
      <c r="I139" s="25" t="str">
        <f t="shared" si="11"/>
        <v>N/A</v>
      </c>
    </row>
    <row r="140" spans="2:9" x14ac:dyDescent="0.25">
      <c r="B140" s="27" t="s">
        <v>18</v>
      </c>
      <c r="C140" s="27" t="s">
        <v>290</v>
      </c>
      <c r="D140" s="27">
        <v>0</v>
      </c>
      <c r="E140" s="27" t="s">
        <v>291</v>
      </c>
      <c r="F140" s="28" t="str">
        <f t="shared" si="8"/>
        <v>JT762010</v>
      </c>
      <c r="G140" s="28" t="str">
        <f t="shared" si="9"/>
        <v>N/A</v>
      </c>
      <c r="H140" s="25" t="str">
        <f t="shared" si="10"/>
        <v>HS762010IO_Amps.MA</v>
      </c>
      <c r="I140" s="25" t="str">
        <f t="shared" si="11"/>
        <v>N/A</v>
      </c>
    </row>
    <row r="141" spans="2:9" x14ac:dyDescent="0.25">
      <c r="B141" s="27" t="s">
        <v>18</v>
      </c>
      <c r="C141" s="27" t="s">
        <v>292</v>
      </c>
      <c r="D141" s="27">
        <v>0</v>
      </c>
      <c r="E141" s="27" t="s">
        <v>293</v>
      </c>
      <c r="F141" s="28" t="str">
        <f t="shared" si="8"/>
        <v>JT763010</v>
      </c>
      <c r="G141" s="28" t="str">
        <f t="shared" si="9"/>
        <v>N/A</v>
      </c>
      <c r="H141" s="25" t="str">
        <f t="shared" si="10"/>
        <v>HS763010IO_Amps.MA</v>
      </c>
      <c r="I141" s="25" t="str">
        <f t="shared" si="11"/>
        <v>N/A</v>
      </c>
    </row>
    <row r="142" spans="2:9" x14ac:dyDescent="0.25">
      <c r="B142" s="27" t="s">
        <v>18</v>
      </c>
      <c r="C142" s="27" t="s">
        <v>294</v>
      </c>
      <c r="D142" s="27">
        <v>0</v>
      </c>
      <c r="E142" s="27" t="s">
        <v>295</v>
      </c>
      <c r="F142" s="28" t="str">
        <f t="shared" si="8"/>
        <v>JT764010</v>
      </c>
      <c r="G142" s="28" t="str">
        <f t="shared" si="9"/>
        <v>N/A</v>
      </c>
      <c r="H142" s="25" t="str">
        <f t="shared" si="10"/>
        <v>HS764010IO_Amps.MA</v>
      </c>
      <c r="I142" s="25" t="str">
        <f t="shared" si="11"/>
        <v>N/A</v>
      </c>
    </row>
    <row r="143" spans="2:9" x14ac:dyDescent="0.25">
      <c r="B143" s="27" t="s">
        <v>18</v>
      </c>
      <c r="C143" s="27" t="s">
        <v>296</v>
      </c>
      <c r="D143" s="27">
        <v>0</v>
      </c>
      <c r="E143" s="27" t="s">
        <v>297</v>
      </c>
      <c r="F143" s="28" t="str">
        <f t="shared" si="8"/>
        <v>JT772002</v>
      </c>
      <c r="G143" s="28" t="str">
        <f t="shared" si="9"/>
        <v>N/A</v>
      </c>
      <c r="H143" s="25" t="str">
        <f t="shared" si="10"/>
        <v>HS772002IO_Amps.MA</v>
      </c>
      <c r="I143" s="25" t="str">
        <f t="shared" si="11"/>
        <v>N/A</v>
      </c>
    </row>
    <row r="144" spans="2:9" x14ac:dyDescent="0.25">
      <c r="B144" s="27" t="s">
        <v>18</v>
      </c>
      <c r="C144" s="27" t="s">
        <v>298</v>
      </c>
      <c r="D144" s="27">
        <v>0</v>
      </c>
      <c r="E144" s="27" t="s">
        <v>299</v>
      </c>
      <c r="F144" s="28" t="str">
        <f t="shared" si="8"/>
        <v>JT790101</v>
      </c>
      <c r="G144" s="28" t="str">
        <f t="shared" si="9"/>
        <v>N/A</v>
      </c>
      <c r="H144" s="25" t="str">
        <f t="shared" si="10"/>
        <v>HS790101IO_Amps.MA</v>
      </c>
      <c r="I144" s="25" t="str">
        <f t="shared" si="11"/>
        <v>N/A</v>
      </c>
    </row>
    <row r="145" spans="2:9" x14ac:dyDescent="0.25">
      <c r="B145" s="27" t="s">
        <v>18</v>
      </c>
      <c r="C145" s="27" t="s">
        <v>300</v>
      </c>
      <c r="D145" s="27">
        <v>0</v>
      </c>
      <c r="E145" s="27" t="s">
        <v>301</v>
      </c>
      <c r="F145" s="28" t="str">
        <f t="shared" si="8"/>
        <v>JT790102</v>
      </c>
      <c r="G145" s="28" t="str">
        <f t="shared" si="9"/>
        <v>N/A</v>
      </c>
      <c r="H145" s="25" t="str">
        <f t="shared" si="10"/>
        <v>HS790102IO_Amps.MA</v>
      </c>
      <c r="I145" s="25" t="str">
        <f t="shared" si="11"/>
        <v>N/A</v>
      </c>
    </row>
    <row r="146" spans="2:9" x14ac:dyDescent="0.25">
      <c r="B146" s="27" t="s">
        <v>18</v>
      </c>
      <c r="C146" s="27" t="s">
        <v>302</v>
      </c>
      <c r="D146" s="27">
        <v>0</v>
      </c>
      <c r="E146" s="27" t="s">
        <v>303</v>
      </c>
      <c r="F146" s="28" t="str">
        <f t="shared" si="8"/>
        <v>JT796001</v>
      </c>
      <c r="G146" s="28" t="str">
        <f t="shared" si="9"/>
        <v>N/A</v>
      </c>
      <c r="H146" s="25" t="str">
        <f t="shared" si="10"/>
        <v>HS796001IO_Amps.MA</v>
      </c>
      <c r="I146" s="25" t="str">
        <f t="shared" si="11"/>
        <v>N/A</v>
      </c>
    </row>
    <row r="147" spans="2:9" x14ac:dyDescent="0.25">
      <c r="B147" s="27" t="s">
        <v>18</v>
      </c>
      <c r="C147" s="27" t="s">
        <v>304</v>
      </c>
      <c r="D147" s="27">
        <v>1</v>
      </c>
      <c r="E147" s="27" t="s">
        <v>305</v>
      </c>
      <c r="F147" s="28" t="str">
        <f t="shared" si="8"/>
        <v>JT796002</v>
      </c>
      <c r="G147" s="28" t="str">
        <f t="shared" si="9"/>
        <v>N/A</v>
      </c>
      <c r="H147" s="25" t="str">
        <f t="shared" si="10"/>
        <v>HS796002IO_Amps.MA</v>
      </c>
      <c r="I147" s="25" t="str">
        <f t="shared" si="11"/>
        <v>N/A</v>
      </c>
    </row>
    <row r="148" spans="2:9" x14ac:dyDescent="0.25">
      <c r="B148" s="27" t="s">
        <v>18</v>
      </c>
      <c r="C148" s="27" t="s">
        <v>306</v>
      </c>
      <c r="D148" s="27">
        <v>0</v>
      </c>
      <c r="E148" s="27" t="s">
        <v>307</v>
      </c>
      <c r="F148" s="28" t="str">
        <f t="shared" si="8"/>
        <v>JT799004</v>
      </c>
      <c r="G148" s="28" t="str">
        <f t="shared" si="9"/>
        <v>N/A</v>
      </c>
      <c r="H148" s="25" t="str">
        <f t="shared" si="10"/>
        <v>HS799004IO_Amps.MA</v>
      </c>
      <c r="I148" s="25" t="str">
        <f t="shared" si="11"/>
        <v>N/A</v>
      </c>
    </row>
    <row r="149" spans="2:9" x14ac:dyDescent="0.25">
      <c r="B149" s="27" t="s">
        <v>18</v>
      </c>
      <c r="C149" s="27" t="s">
        <v>308</v>
      </c>
      <c r="D149" s="27">
        <v>0</v>
      </c>
      <c r="E149" s="27" t="s">
        <v>309</v>
      </c>
      <c r="F149" s="28" t="str">
        <f t="shared" si="8"/>
        <v>JT799005</v>
      </c>
      <c r="G149" s="28" t="str">
        <f t="shared" si="9"/>
        <v>N/A</v>
      </c>
      <c r="H149" s="25" t="str">
        <f t="shared" si="10"/>
        <v>HS799005IO_Amps.MA</v>
      </c>
      <c r="I149" s="25" t="str">
        <f t="shared" si="11"/>
        <v>N/A</v>
      </c>
    </row>
    <row r="150" spans="2:9" x14ac:dyDescent="0.25">
      <c r="B150" s="27" t="s">
        <v>18</v>
      </c>
      <c r="C150" s="27" t="s">
        <v>310</v>
      </c>
      <c r="D150" s="27">
        <v>0</v>
      </c>
      <c r="E150" s="27" t="s">
        <v>311</v>
      </c>
      <c r="F150" s="28" t="str">
        <f t="shared" si="8"/>
        <v>TI799648</v>
      </c>
      <c r="G150" s="28" t="str">
        <f t="shared" si="9"/>
        <v>N/A</v>
      </c>
      <c r="H150" s="25" t="str">
        <f t="shared" si="10"/>
        <v>II799648IO.MA</v>
      </c>
      <c r="I150" s="25" t="str">
        <f t="shared" si="11"/>
        <v>N/A</v>
      </c>
    </row>
    <row r="151" spans="2:9" x14ac:dyDescent="0.25">
      <c r="B151" s="27" t="s">
        <v>18</v>
      </c>
      <c r="C151" s="27" t="s">
        <v>312</v>
      </c>
      <c r="D151" s="27">
        <v>0</v>
      </c>
      <c r="E151" s="27" t="s">
        <v>313</v>
      </c>
      <c r="F151" s="28" t="str">
        <f t="shared" si="8"/>
        <v>TI799649</v>
      </c>
      <c r="G151" s="28" t="str">
        <f t="shared" si="9"/>
        <v>N/A</v>
      </c>
      <c r="H151" s="25" t="str">
        <f t="shared" si="10"/>
        <v>II799649IO.MA</v>
      </c>
      <c r="I151" s="25" t="str">
        <f t="shared" si="11"/>
        <v>N/A</v>
      </c>
    </row>
    <row r="152" spans="2:9" x14ac:dyDescent="0.25">
      <c r="B152" s="27" t="s">
        <v>18</v>
      </c>
      <c r="C152" s="27" t="s">
        <v>314</v>
      </c>
      <c r="D152" s="27">
        <v>0</v>
      </c>
      <c r="E152" s="27" t="s">
        <v>315</v>
      </c>
      <c r="F152" s="28" t="str">
        <f t="shared" si="8"/>
        <v>LT700003</v>
      </c>
      <c r="G152" s="28" t="str">
        <f t="shared" si="9"/>
        <v>N/A</v>
      </c>
      <c r="H152" s="25" t="str">
        <f t="shared" si="10"/>
        <v>LI700003IO.MA</v>
      </c>
      <c r="I152" s="25" t="str">
        <f t="shared" si="11"/>
        <v>N/A</v>
      </c>
    </row>
    <row r="153" spans="2:9" x14ac:dyDescent="0.25">
      <c r="B153" s="27" t="s">
        <v>18</v>
      </c>
      <c r="C153" s="27" t="s">
        <v>316</v>
      </c>
      <c r="D153" s="27">
        <v>0</v>
      </c>
      <c r="E153" s="27" t="s">
        <v>317</v>
      </c>
      <c r="F153" s="28" t="str">
        <f t="shared" si="8"/>
        <v>LT701002</v>
      </c>
      <c r="G153" s="28" t="str">
        <f t="shared" si="9"/>
        <v>N/A</v>
      </c>
      <c r="H153" s="25" t="str">
        <f t="shared" si="10"/>
        <v>LI701002IO.MA</v>
      </c>
      <c r="I153" s="25" t="str">
        <f t="shared" si="11"/>
        <v>N/A</v>
      </c>
    </row>
    <row r="154" spans="2:9" x14ac:dyDescent="0.25">
      <c r="B154" s="27" t="s">
        <v>18</v>
      </c>
      <c r="C154" s="27" t="s">
        <v>318</v>
      </c>
      <c r="D154" s="27">
        <v>0</v>
      </c>
      <c r="E154" s="27" t="s">
        <v>319</v>
      </c>
      <c r="F154" s="28" t="str">
        <f t="shared" si="8"/>
        <v>LT720005</v>
      </c>
      <c r="G154" s="28" t="str">
        <f t="shared" si="9"/>
        <v>N/A</v>
      </c>
      <c r="H154" s="25" t="str">
        <f t="shared" si="10"/>
        <v>LI720005IO.MA</v>
      </c>
      <c r="I154" s="25" t="str">
        <f t="shared" si="11"/>
        <v>N/A</v>
      </c>
    </row>
    <row r="155" spans="2:9" x14ac:dyDescent="0.25">
      <c r="B155" s="27" t="s">
        <v>18</v>
      </c>
      <c r="C155" s="27" t="s">
        <v>320</v>
      </c>
      <c r="D155" s="27">
        <v>0</v>
      </c>
      <c r="E155" s="27" t="s">
        <v>321</v>
      </c>
      <c r="F155" s="28" t="str">
        <f t="shared" si="8"/>
        <v>LT720008</v>
      </c>
      <c r="G155" s="28" t="str">
        <f t="shared" si="9"/>
        <v>N/A</v>
      </c>
      <c r="H155" s="25" t="str">
        <f t="shared" si="10"/>
        <v>LI720008IO.MA</v>
      </c>
      <c r="I155" s="25" t="str">
        <f t="shared" si="11"/>
        <v>N/A</v>
      </c>
    </row>
    <row r="156" spans="2:9" x14ac:dyDescent="0.25">
      <c r="B156" s="27" t="s">
        <v>18</v>
      </c>
      <c r="C156" s="27" t="s">
        <v>322</v>
      </c>
      <c r="D156" s="27">
        <v>0</v>
      </c>
      <c r="E156" s="27" t="s">
        <v>323</v>
      </c>
      <c r="F156" s="28" t="str">
        <f t="shared" si="8"/>
        <v>LT721005</v>
      </c>
      <c r="G156" s="28" t="str">
        <f t="shared" si="9"/>
        <v>N/A</v>
      </c>
      <c r="H156" s="25" t="str">
        <f t="shared" si="10"/>
        <v>LI721005IO.MA</v>
      </c>
      <c r="I156" s="25" t="str">
        <f t="shared" si="11"/>
        <v>N/A</v>
      </c>
    </row>
    <row r="157" spans="2:9" x14ac:dyDescent="0.25">
      <c r="B157" s="27" t="s">
        <v>18</v>
      </c>
      <c r="C157" s="27" t="s">
        <v>324</v>
      </c>
      <c r="D157" s="27">
        <v>0</v>
      </c>
      <c r="E157" s="27" t="s">
        <v>325</v>
      </c>
      <c r="F157" s="28" t="str">
        <f t="shared" si="8"/>
        <v>LT721008</v>
      </c>
      <c r="G157" s="28" t="str">
        <f t="shared" si="9"/>
        <v>N/A</v>
      </c>
      <c r="H157" s="25" t="str">
        <f t="shared" si="10"/>
        <v>LI721008IO.MA</v>
      </c>
      <c r="I157" s="25" t="str">
        <f t="shared" si="11"/>
        <v>N/A</v>
      </c>
    </row>
    <row r="158" spans="2:9" x14ac:dyDescent="0.25">
      <c r="B158" s="27" t="s">
        <v>18</v>
      </c>
      <c r="C158" s="27" t="s">
        <v>326</v>
      </c>
      <c r="D158" s="27">
        <v>0</v>
      </c>
      <c r="E158" s="27" t="s">
        <v>327</v>
      </c>
      <c r="F158" s="28" t="str">
        <f t="shared" si="8"/>
        <v>LT722005</v>
      </c>
      <c r="G158" s="28" t="str">
        <f t="shared" si="9"/>
        <v>N/A</v>
      </c>
      <c r="H158" s="25" t="str">
        <f t="shared" si="10"/>
        <v>LI722005IO.MA</v>
      </c>
      <c r="I158" s="25" t="str">
        <f t="shared" si="11"/>
        <v>N/A</v>
      </c>
    </row>
    <row r="159" spans="2:9" x14ac:dyDescent="0.25">
      <c r="B159" s="27" t="s">
        <v>18</v>
      </c>
      <c r="C159" s="27" t="s">
        <v>328</v>
      </c>
      <c r="D159" s="27">
        <v>0</v>
      </c>
      <c r="E159" s="27" t="s">
        <v>329</v>
      </c>
      <c r="F159" s="28" t="str">
        <f t="shared" si="8"/>
        <v>LT722008</v>
      </c>
      <c r="G159" s="28" t="str">
        <f t="shared" si="9"/>
        <v>N/A</v>
      </c>
      <c r="H159" s="25" t="str">
        <f t="shared" si="10"/>
        <v>LI722008IO.MA</v>
      </c>
      <c r="I159" s="25" t="str">
        <f t="shared" si="11"/>
        <v>N/A</v>
      </c>
    </row>
    <row r="160" spans="2:9" x14ac:dyDescent="0.25">
      <c r="B160" s="27" t="s">
        <v>18</v>
      </c>
      <c r="C160" s="27" t="s">
        <v>330</v>
      </c>
      <c r="D160" s="27">
        <v>1</v>
      </c>
      <c r="E160" s="27" t="s">
        <v>331</v>
      </c>
      <c r="F160" s="28" t="str">
        <f t="shared" si="8"/>
        <v>LT722014</v>
      </c>
      <c r="G160" s="28" t="str">
        <f t="shared" si="9"/>
        <v>N/A</v>
      </c>
      <c r="H160" s="25" t="str">
        <f t="shared" si="10"/>
        <v>LI722014IO.MA</v>
      </c>
      <c r="I160" s="25" t="str">
        <f t="shared" si="11"/>
        <v>N/A</v>
      </c>
    </row>
    <row r="161" spans="2:9" x14ac:dyDescent="0.25">
      <c r="B161" s="27" t="s">
        <v>18</v>
      </c>
      <c r="C161" s="27" t="s">
        <v>332</v>
      </c>
      <c r="D161" s="27">
        <v>0</v>
      </c>
      <c r="E161" s="27" t="s">
        <v>333</v>
      </c>
      <c r="F161" s="28" t="str">
        <f t="shared" si="8"/>
        <v>LT722015</v>
      </c>
      <c r="G161" s="28" t="str">
        <f t="shared" si="9"/>
        <v>N/A</v>
      </c>
      <c r="H161" s="25" t="str">
        <f t="shared" si="10"/>
        <v>LI722015IO.MA</v>
      </c>
      <c r="I161" s="25" t="str">
        <f t="shared" si="11"/>
        <v>N/A</v>
      </c>
    </row>
    <row r="162" spans="2:9" x14ac:dyDescent="0.25">
      <c r="B162" s="27" t="s">
        <v>18</v>
      </c>
      <c r="C162" s="27" t="s">
        <v>334</v>
      </c>
      <c r="D162" s="27">
        <v>0</v>
      </c>
      <c r="E162" s="27" t="s">
        <v>335</v>
      </c>
      <c r="F162" s="28" t="str">
        <f t="shared" si="8"/>
        <v>LT722202</v>
      </c>
      <c r="G162" s="28" t="str">
        <f t="shared" si="9"/>
        <v>N/A</v>
      </c>
      <c r="H162" s="25" t="str">
        <f t="shared" si="10"/>
        <v>LI722202IO.MA</v>
      </c>
      <c r="I162" s="25" t="str">
        <f t="shared" si="11"/>
        <v>N/A</v>
      </c>
    </row>
    <row r="163" spans="2:9" x14ac:dyDescent="0.25">
      <c r="B163" s="27" t="s">
        <v>18</v>
      </c>
      <c r="C163" s="27" t="s">
        <v>336</v>
      </c>
      <c r="D163" s="27">
        <v>0</v>
      </c>
      <c r="E163" s="27" t="s">
        <v>337</v>
      </c>
      <c r="F163" s="28" t="str">
        <f t="shared" si="8"/>
        <v>LT730007</v>
      </c>
      <c r="G163" s="28" t="str">
        <f t="shared" si="9"/>
        <v>N/A</v>
      </c>
      <c r="H163" s="25" t="str">
        <f t="shared" si="10"/>
        <v>LI730007IO.MA</v>
      </c>
      <c r="I163" s="25" t="str">
        <f t="shared" si="11"/>
        <v>N/A</v>
      </c>
    </row>
    <row r="164" spans="2:9" x14ac:dyDescent="0.25">
      <c r="B164" s="27" t="s">
        <v>18</v>
      </c>
      <c r="C164" s="27" t="s">
        <v>338</v>
      </c>
      <c r="D164" s="27">
        <v>0</v>
      </c>
      <c r="E164" s="27" t="s">
        <v>339</v>
      </c>
      <c r="F164" s="28" t="str">
        <f t="shared" si="8"/>
        <v>LT730010</v>
      </c>
      <c r="G164" s="28" t="str">
        <f t="shared" si="9"/>
        <v>N/A</v>
      </c>
      <c r="H164" s="25" t="str">
        <f t="shared" si="10"/>
        <v>LI730010IO.MA</v>
      </c>
      <c r="I164" s="25" t="str">
        <f t="shared" si="11"/>
        <v>N/A</v>
      </c>
    </row>
    <row r="165" spans="2:9" x14ac:dyDescent="0.25">
      <c r="B165" s="27" t="s">
        <v>18</v>
      </c>
      <c r="C165" s="27" t="s">
        <v>340</v>
      </c>
      <c r="D165" s="27">
        <v>0</v>
      </c>
      <c r="E165" s="27" t="s">
        <v>341</v>
      </c>
      <c r="F165" s="28" t="str">
        <f t="shared" si="8"/>
        <v>LT730029</v>
      </c>
      <c r="G165" s="28" t="str">
        <f t="shared" si="9"/>
        <v>N/A</v>
      </c>
      <c r="H165" s="25" t="str">
        <f t="shared" si="10"/>
        <v>LI730029IO.MA</v>
      </c>
      <c r="I165" s="25" t="str">
        <f t="shared" si="11"/>
        <v>N/A</v>
      </c>
    </row>
    <row r="166" spans="2:9" x14ac:dyDescent="0.25">
      <c r="B166" s="27" t="s">
        <v>18</v>
      </c>
      <c r="C166" s="27" t="s">
        <v>342</v>
      </c>
      <c r="D166" s="27">
        <v>0</v>
      </c>
      <c r="E166" s="27" t="s">
        <v>343</v>
      </c>
      <c r="F166" s="28" t="str">
        <f t="shared" si="8"/>
        <v>LT730030</v>
      </c>
      <c r="G166" s="28" t="str">
        <f t="shared" si="9"/>
        <v>N/A</v>
      </c>
      <c r="H166" s="25" t="str">
        <f t="shared" si="10"/>
        <v>LI730030IO.MA</v>
      </c>
      <c r="I166" s="25" t="str">
        <f t="shared" si="11"/>
        <v>N/A</v>
      </c>
    </row>
    <row r="167" spans="2:9" x14ac:dyDescent="0.25">
      <c r="B167" s="27" t="s">
        <v>18</v>
      </c>
      <c r="C167" s="27" t="s">
        <v>344</v>
      </c>
      <c r="D167" s="27">
        <v>0</v>
      </c>
      <c r="E167" s="27" t="s">
        <v>345</v>
      </c>
      <c r="F167" s="28" t="str">
        <f t="shared" si="8"/>
        <v>LT730201</v>
      </c>
      <c r="G167" s="28" t="str">
        <f t="shared" si="9"/>
        <v>N/A</v>
      </c>
      <c r="H167" s="25" t="str">
        <f t="shared" si="10"/>
        <v>LI730201IO.MA</v>
      </c>
      <c r="I167" s="25" t="str">
        <f t="shared" si="11"/>
        <v>N/A</v>
      </c>
    </row>
    <row r="168" spans="2:9" x14ac:dyDescent="0.25">
      <c r="B168" s="27" t="s">
        <v>18</v>
      </c>
      <c r="C168" s="27" t="s">
        <v>346</v>
      </c>
      <c r="D168" s="27">
        <v>0</v>
      </c>
      <c r="E168" s="27" t="s">
        <v>347</v>
      </c>
      <c r="F168" s="28" t="str">
        <f t="shared" si="8"/>
        <v>LT730402A</v>
      </c>
      <c r="G168" s="28" t="str">
        <f t="shared" si="9"/>
        <v>N/A</v>
      </c>
      <c r="H168" s="25" t="str">
        <f t="shared" si="10"/>
        <v>LI730402AIO.MA</v>
      </c>
      <c r="I168" s="25" t="str">
        <f t="shared" si="11"/>
        <v>N/A</v>
      </c>
    </row>
    <row r="169" spans="2:9" x14ac:dyDescent="0.25">
      <c r="B169" s="27" t="s">
        <v>18</v>
      </c>
      <c r="C169" s="27" t="s">
        <v>348</v>
      </c>
      <c r="D169" s="27">
        <v>0</v>
      </c>
      <c r="E169" s="27" t="s">
        <v>349</v>
      </c>
      <c r="F169" s="28" t="str">
        <f t="shared" si="8"/>
        <v>LT730402B</v>
      </c>
      <c r="G169" s="28" t="str">
        <f t="shared" si="9"/>
        <v>N/A</v>
      </c>
      <c r="H169" s="25" t="str">
        <f t="shared" si="10"/>
        <v>LI730402BIO.MA</v>
      </c>
      <c r="I169" s="25" t="str">
        <f t="shared" si="11"/>
        <v>N/A</v>
      </c>
    </row>
    <row r="170" spans="2:9" x14ac:dyDescent="0.25">
      <c r="B170" s="27" t="s">
        <v>18</v>
      </c>
      <c r="C170" s="27" t="s">
        <v>350</v>
      </c>
      <c r="D170" s="27">
        <v>0</v>
      </c>
      <c r="E170" s="27" t="s">
        <v>351</v>
      </c>
      <c r="F170" s="28" t="str">
        <f t="shared" si="8"/>
        <v>LT730425</v>
      </c>
      <c r="G170" s="28" t="str">
        <f t="shared" si="9"/>
        <v>N/A</v>
      </c>
      <c r="H170" s="25" t="str">
        <f t="shared" si="10"/>
        <v>LI730425IO.MA</v>
      </c>
      <c r="I170" s="25" t="str">
        <f t="shared" si="11"/>
        <v>N/A</v>
      </c>
    </row>
    <row r="171" spans="2:9" x14ac:dyDescent="0.25">
      <c r="B171" s="27" t="s">
        <v>18</v>
      </c>
      <c r="C171" s="27" t="s">
        <v>352</v>
      </c>
      <c r="D171" s="27">
        <v>0</v>
      </c>
      <c r="E171" s="27" t="s">
        <v>353</v>
      </c>
      <c r="F171" s="28" t="str">
        <f t="shared" si="8"/>
        <v>LT730435</v>
      </c>
      <c r="G171" s="28" t="str">
        <f t="shared" si="9"/>
        <v>N/A</v>
      </c>
      <c r="H171" s="25" t="str">
        <f t="shared" si="10"/>
        <v>LI730435IO.MA</v>
      </c>
      <c r="I171" s="25" t="str">
        <f t="shared" si="11"/>
        <v>N/A</v>
      </c>
    </row>
    <row r="172" spans="2:9" x14ac:dyDescent="0.25">
      <c r="B172" s="27" t="s">
        <v>18</v>
      </c>
      <c r="C172" s="27" t="s">
        <v>354</v>
      </c>
      <c r="D172" s="27">
        <v>0</v>
      </c>
      <c r="E172" s="27" t="s">
        <v>355</v>
      </c>
      <c r="F172" s="28" t="str">
        <f t="shared" si="8"/>
        <v>LT740012</v>
      </c>
      <c r="G172" s="28" t="str">
        <f t="shared" si="9"/>
        <v>N/A</v>
      </c>
      <c r="H172" s="25" t="str">
        <f t="shared" si="10"/>
        <v>LI740012IO.MA</v>
      </c>
      <c r="I172" s="25" t="str">
        <f t="shared" si="11"/>
        <v>N/A</v>
      </c>
    </row>
    <row r="173" spans="2:9" x14ac:dyDescent="0.25">
      <c r="B173" s="27" t="s">
        <v>18</v>
      </c>
      <c r="C173" s="27" t="s">
        <v>356</v>
      </c>
      <c r="D173" s="27">
        <v>0</v>
      </c>
      <c r="E173" s="27" t="s">
        <v>357</v>
      </c>
      <c r="F173" s="28" t="str">
        <f t="shared" si="8"/>
        <v>LT740015</v>
      </c>
      <c r="G173" s="28" t="str">
        <f t="shared" si="9"/>
        <v>N/A</v>
      </c>
      <c r="H173" s="25" t="str">
        <f t="shared" si="10"/>
        <v>LI740015IO.MA</v>
      </c>
      <c r="I173" s="25" t="str">
        <f t="shared" si="11"/>
        <v>N/A</v>
      </c>
    </row>
    <row r="174" spans="2:9" x14ac:dyDescent="0.25">
      <c r="B174" s="27" t="s">
        <v>18</v>
      </c>
      <c r="C174" s="27" t="s">
        <v>358</v>
      </c>
      <c r="D174" s="27">
        <v>0</v>
      </c>
      <c r="E174" s="27" t="s">
        <v>359</v>
      </c>
      <c r="F174" s="28" t="str">
        <f t="shared" si="8"/>
        <v>LT740023</v>
      </c>
      <c r="G174" s="28" t="str">
        <f t="shared" si="9"/>
        <v>N/A</v>
      </c>
      <c r="H174" s="25" t="str">
        <f t="shared" si="10"/>
        <v>LI740023IO.MA</v>
      </c>
      <c r="I174" s="25" t="str">
        <f t="shared" si="11"/>
        <v>N/A</v>
      </c>
    </row>
    <row r="175" spans="2:9" x14ac:dyDescent="0.25">
      <c r="B175" s="27" t="s">
        <v>18</v>
      </c>
      <c r="C175" s="27" t="s">
        <v>360</v>
      </c>
      <c r="D175" s="27">
        <v>0</v>
      </c>
      <c r="E175" s="27" t="s">
        <v>361</v>
      </c>
      <c r="F175" s="28" t="str">
        <f t="shared" si="8"/>
        <v>LT740101</v>
      </c>
      <c r="G175" s="28" t="str">
        <f t="shared" si="9"/>
        <v>N/A</v>
      </c>
      <c r="H175" s="25" t="str">
        <f t="shared" si="10"/>
        <v>LI740101IO.MA</v>
      </c>
      <c r="I175" s="25" t="str">
        <f t="shared" si="11"/>
        <v>N/A</v>
      </c>
    </row>
    <row r="176" spans="2:9" x14ac:dyDescent="0.25">
      <c r="B176" s="27" t="s">
        <v>18</v>
      </c>
      <c r="C176" s="27" t="s">
        <v>362</v>
      </c>
      <c r="D176" s="27">
        <v>0</v>
      </c>
      <c r="E176" s="27" t="s">
        <v>363</v>
      </c>
      <c r="F176" s="28" t="str">
        <f t="shared" si="8"/>
        <v>LT740125</v>
      </c>
      <c r="G176" s="28" t="str">
        <f t="shared" si="9"/>
        <v>N/A</v>
      </c>
      <c r="H176" s="25" t="str">
        <f t="shared" si="10"/>
        <v>LI740125IO.MA</v>
      </c>
      <c r="I176" s="25" t="str">
        <f t="shared" si="11"/>
        <v>N/A</v>
      </c>
    </row>
    <row r="177" spans="2:9" x14ac:dyDescent="0.25">
      <c r="B177" s="27" t="s">
        <v>18</v>
      </c>
      <c r="C177" s="27" t="s">
        <v>364</v>
      </c>
      <c r="D177" s="27">
        <v>0</v>
      </c>
      <c r="E177" s="27" t="s">
        <v>365</v>
      </c>
      <c r="F177" s="28" t="str">
        <f t="shared" si="8"/>
        <v>LT740135</v>
      </c>
      <c r="G177" s="28" t="str">
        <f t="shared" si="9"/>
        <v>N/A</v>
      </c>
      <c r="H177" s="25" t="str">
        <f t="shared" si="10"/>
        <v>LI740135IO.MA</v>
      </c>
      <c r="I177" s="25" t="str">
        <f t="shared" si="11"/>
        <v>N/A</v>
      </c>
    </row>
    <row r="178" spans="2:9" x14ac:dyDescent="0.25">
      <c r="B178" s="27" t="s">
        <v>18</v>
      </c>
      <c r="C178" s="27" t="s">
        <v>366</v>
      </c>
      <c r="D178" s="27">
        <v>0</v>
      </c>
      <c r="E178" s="27" t="s">
        <v>367</v>
      </c>
      <c r="F178" s="28" t="str">
        <f t="shared" si="8"/>
        <v>LT740203</v>
      </c>
      <c r="G178" s="28" t="str">
        <f t="shared" si="9"/>
        <v>N/A</v>
      </c>
      <c r="H178" s="25" t="str">
        <f t="shared" si="10"/>
        <v>LI740203IO.MA</v>
      </c>
      <c r="I178" s="25" t="str">
        <f t="shared" si="11"/>
        <v>N/A</v>
      </c>
    </row>
    <row r="179" spans="2:9" x14ac:dyDescent="0.25">
      <c r="B179" s="27" t="s">
        <v>18</v>
      </c>
      <c r="C179" s="27" t="s">
        <v>368</v>
      </c>
      <c r="D179" s="27">
        <v>0</v>
      </c>
      <c r="E179" s="27" t="s">
        <v>369</v>
      </c>
      <c r="F179" s="28" t="str">
        <f t="shared" si="8"/>
        <v>LT740229</v>
      </c>
      <c r="G179" s="28" t="str">
        <f t="shared" si="9"/>
        <v>N/A</v>
      </c>
      <c r="H179" s="25" t="str">
        <f t="shared" si="10"/>
        <v>LI740229IO.MA</v>
      </c>
      <c r="I179" s="25" t="str">
        <f t="shared" si="11"/>
        <v>N/A</v>
      </c>
    </row>
    <row r="180" spans="2:9" x14ac:dyDescent="0.25">
      <c r="B180" s="27" t="s">
        <v>18</v>
      </c>
      <c r="C180" s="27" t="s">
        <v>370</v>
      </c>
      <c r="D180" s="27">
        <v>0</v>
      </c>
      <c r="E180" s="27" t="s">
        <v>371</v>
      </c>
      <c r="F180" s="28" t="str">
        <f t="shared" si="8"/>
        <v>LT740239</v>
      </c>
      <c r="G180" s="28" t="str">
        <f t="shared" si="9"/>
        <v>N/A</v>
      </c>
      <c r="H180" s="25" t="str">
        <f t="shared" si="10"/>
        <v>LI740239IO.MA</v>
      </c>
      <c r="I180" s="25" t="str">
        <f t="shared" si="11"/>
        <v>N/A</v>
      </c>
    </row>
    <row r="181" spans="2:9" x14ac:dyDescent="0.25">
      <c r="B181" s="27" t="s">
        <v>18</v>
      </c>
      <c r="C181" s="27" t="s">
        <v>372</v>
      </c>
      <c r="D181" s="27">
        <v>0</v>
      </c>
      <c r="E181" s="27" t="s">
        <v>373</v>
      </c>
      <c r="F181" s="28" t="str">
        <f t="shared" si="8"/>
        <v>LT741002A</v>
      </c>
      <c r="G181" s="28" t="str">
        <f t="shared" si="9"/>
        <v>N/A</v>
      </c>
      <c r="H181" s="25" t="str">
        <f t="shared" si="10"/>
        <v>LI741002AIO.MA</v>
      </c>
      <c r="I181" s="25" t="str">
        <f t="shared" si="11"/>
        <v>N/A</v>
      </c>
    </row>
    <row r="182" spans="2:9" x14ac:dyDescent="0.25">
      <c r="B182" s="27" t="s">
        <v>18</v>
      </c>
      <c r="C182" s="27" t="s">
        <v>374</v>
      </c>
      <c r="D182" s="27">
        <v>0</v>
      </c>
      <c r="E182" s="27" t="s">
        <v>375</v>
      </c>
      <c r="F182" s="28" t="str">
        <f t="shared" si="8"/>
        <v>LT741002B</v>
      </c>
      <c r="G182" s="28" t="str">
        <f t="shared" si="9"/>
        <v>N/A</v>
      </c>
      <c r="H182" s="25" t="str">
        <f t="shared" si="10"/>
        <v>LI741002BIO.MA</v>
      </c>
      <c r="I182" s="25" t="str">
        <f t="shared" si="11"/>
        <v>N/A</v>
      </c>
    </row>
    <row r="183" spans="2:9" x14ac:dyDescent="0.25">
      <c r="B183" s="27" t="s">
        <v>18</v>
      </c>
      <c r="C183" s="27" t="s">
        <v>376</v>
      </c>
      <c r="D183" s="27">
        <v>0</v>
      </c>
      <c r="E183" s="27" t="s">
        <v>377</v>
      </c>
      <c r="F183" s="28" t="str">
        <f t="shared" si="8"/>
        <v>LT741017</v>
      </c>
      <c r="G183" s="28" t="str">
        <f t="shared" si="9"/>
        <v>N/A</v>
      </c>
      <c r="H183" s="25" t="str">
        <f t="shared" si="10"/>
        <v>LI741017IO.MA</v>
      </c>
      <c r="I183" s="25" t="str">
        <f t="shared" si="11"/>
        <v>N/A</v>
      </c>
    </row>
    <row r="184" spans="2:9" x14ac:dyDescent="0.25">
      <c r="B184" s="27" t="s">
        <v>18</v>
      </c>
      <c r="C184" s="27" t="s">
        <v>378</v>
      </c>
      <c r="D184" s="27">
        <v>1</v>
      </c>
      <c r="E184" s="27" t="s">
        <v>379</v>
      </c>
      <c r="F184" s="28" t="str">
        <f t="shared" si="8"/>
        <v>LT742025</v>
      </c>
      <c r="G184" s="28" t="str">
        <f t="shared" si="9"/>
        <v>N/A</v>
      </c>
      <c r="H184" s="25" t="str">
        <f t="shared" si="10"/>
        <v>LI742025IO.MA</v>
      </c>
      <c r="I184" s="25" t="str">
        <f t="shared" si="11"/>
        <v>N/A</v>
      </c>
    </row>
    <row r="185" spans="2:9" x14ac:dyDescent="0.25">
      <c r="B185" s="27" t="s">
        <v>18</v>
      </c>
      <c r="C185" s="27" t="s">
        <v>380</v>
      </c>
      <c r="D185" s="27">
        <v>0</v>
      </c>
      <c r="E185" s="27" t="s">
        <v>381</v>
      </c>
      <c r="F185" s="28" t="str">
        <f t="shared" si="8"/>
        <v>LT750012</v>
      </c>
      <c r="G185" s="28" t="str">
        <f t="shared" si="9"/>
        <v>N/A</v>
      </c>
      <c r="H185" s="25" t="str">
        <f t="shared" si="10"/>
        <v>LI750012IO.MA</v>
      </c>
      <c r="I185" s="25" t="str">
        <f t="shared" si="11"/>
        <v>N/A</v>
      </c>
    </row>
    <row r="186" spans="2:9" x14ac:dyDescent="0.25">
      <c r="B186" s="27" t="s">
        <v>18</v>
      </c>
      <c r="C186" s="27" t="s">
        <v>382</v>
      </c>
      <c r="D186" s="27">
        <v>0</v>
      </c>
      <c r="E186" s="27" t="s">
        <v>383</v>
      </c>
      <c r="F186" s="28" t="str">
        <f t="shared" si="8"/>
        <v>LT750015</v>
      </c>
      <c r="G186" s="28" t="str">
        <f t="shared" si="9"/>
        <v>N/A</v>
      </c>
      <c r="H186" s="25" t="str">
        <f t="shared" si="10"/>
        <v>LI750015IO.MA</v>
      </c>
      <c r="I186" s="25" t="str">
        <f t="shared" si="11"/>
        <v>N/A</v>
      </c>
    </row>
    <row r="187" spans="2:9" x14ac:dyDescent="0.25">
      <c r="B187" s="27" t="s">
        <v>18</v>
      </c>
      <c r="C187" s="27" t="s">
        <v>384</v>
      </c>
      <c r="D187" s="27">
        <v>1</v>
      </c>
      <c r="E187" s="27" t="s">
        <v>385</v>
      </c>
      <c r="F187" s="28" t="str">
        <f t="shared" si="8"/>
        <v>LT750024</v>
      </c>
      <c r="G187" s="28" t="str">
        <f t="shared" si="9"/>
        <v>N/A</v>
      </c>
      <c r="H187" s="25" t="str">
        <f t="shared" si="10"/>
        <v>LI750024IO.MA</v>
      </c>
      <c r="I187" s="25" t="str">
        <f t="shared" si="11"/>
        <v>N/A</v>
      </c>
    </row>
    <row r="188" spans="2:9" x14ac:dyDescent="0.25">
      <c r="B188" s="27" t="s">
        <v>18</v>
      </c>
      <c r="C188" s="27" t="s">
        <v>386</v>
      </c>
      <c r="D188" s="27">
        <v>0</v>
      </c>
      <c r="E188" s="27" t="s">
        <v>387</v>
      </c>
      <c r="F188" s="28" t="str">
        <f t="shared" si="8"/>
        <v>LT750101</v>
      </c>
      <c r="G188" s="28" t="str">
        <f t="shared" si="9"/>
        <v>N/A</v>
      </c>
      <c r="H188" s="25" t="str">
        <f t="shared" si="10"/>
        <v>LI750101IO.MA</v>
      </c>
      <c r="I188" s="25" t="str">
        <f t="shared" si="11"/>
        <v>N/A</v>
      </c>
    </row>
    <row r="189" spans="2:9" x14ac:dyDescent="0.25">
      <c r="B189" s="27" t="s">
        <v>18</v>
      </c>
      <c r="C189" s="27" t="s">
        <v>388</v>
      </c>
      <c r="D189" s="27">
        <v>0</v>
      </c>
      <c r="E189" s="27" t="s">
        <v>389</v>
      </c>
      <c r="F189" s="28" t="str">
        <f t="shared" si="8"/>
        <v>LT750125</v>
      </c>
      <c r="G189" s="28" t="str">
        <f t="shared" si="9"/>
        <v>N/A</v>
      </c>
      <c r="H189" s="25" t="str">
        <f t="shared" si="10"/>
        <v>LI750125IO.MA</v>
      </c>
      <c r="I189" s="25" t="str">
        <f t="shared" si="11"/>
        <v>N/A</v>
      </c>
    </row>
    <row r="190" spans="2:9" x14ac:dyDescent="0.25">
      <c r="B190" s="27" t="s">
        <v>18</v>
      </c>
      <c r="C190" s="27" t="s">
        <v>390</v>
      </c>
      <c r="D190" s="27">
        <v>0</v>
      </c>
      <c r="E190" s="27" t="s">
        <v>391</v>
      </c>
      <c r="F190" s="28" t="str">
        <f t="shared" si="8"/>
        <v>LT750135</v>
      </c>
      <c r="G190" s="28" t="str">
        <f t="shared" si="9"/>
        <v>N/A</v>
      </c>
      <c r="H190" s="25" t="str">
        <f t="shared" si="10"/>
        <v>LI750135IO.MA</v>
      </c>
      <c r="I190" s="25" t="str">
        <f t="shared" si="11"/>
        <v>N/A</v>
      </c>
    </row>
    <row r="191" spans="2:9" x14ac:dyDescent="0.25">
      <c r="B191" s="27" t="s">
        <v>18</v>
      </c>
      <c r="C191" s="27" t="s">
        <v>392</v>
      </c>
      <c r="D191" s="27">
        <v>0</v>
      </c>
      <c r="E191" s="27" t="s">
        <v>393</v>
      </c>
      <c r="F191" s="28" t="str">
        <f t="shared" si="8"/>
        <v>LT750203</v>
      </c>
      <c r="G191" s="28" t="str">
        <f t="shared" si="9"/>
        <v>N/A</v>
      </c>
      <c r="H191" s="25" t="str">
        <f t="shared" si="10"/>
        <v>LI750203IO.MA</v>
      </c>
      <c r="I191" s="25" t="str">
        <f t="shared" si="11"/>
        <v>N/A</v>
      </c>
    </row>
    <row r="192" spans="2:9" x14ac:dyDescent="0.25">
      <c r="B192" s="27" t="s">
        <v>18</v>
      </c>
      <c r="C192" s="27" t="s">
        <v>394</v>
      </c>
      <c r="D192" s="27">
        <v>0</v>
      </c>
      <c r="E192" s="27" t="s">
        <v>395</v>
      </c>
      <c r="F192" s="28" t="str">
        <f t="shared" si="8"/>
        <v>LT750229</v>
      </c>
      <c r="G192" s="28" t="str">
        <f t="shared" si="9"/>
        <v>N/A</v>
      </c>
      <c r="H192" s="25" t="str">
        <f t="shared" si="10"/>
        <v>LI750229IO.MA</v>
      </c>
      <c r="I192" s="25" t="str">
        <f t="shared" si="11"/>
        <v>N/A</v>
      </c>
    </row>
    <row r="193" spans="2:9" x14ac:dyDescent="0.25">
      <c r="B193" s="27" t="s">
        <v>18</v>
      </c>
      <c r="C193" s="27" t="s">
        <v>396</v>
      </c>
      <c r="D193" s="27">
        <v>0</v>
      </c>
      <c r="E193" s="27" t="s">
        <v>397</v>
      </c>
      <c r="F193" s="28" t="str">
        <f t="shared" si="8"/>
        <v>LT750237</v>
      </c>
      <c r="G193" s="28" t="str">
        <f t="shared" si="9"/>
        <v>N/A</v>
      </c>
      <c r="H193" s="25" t="str">
        <f t="shared" si="10"/>
        <v>LI750237IO.MA</v>
      </c>
      <c r="I193" s="25" t="str">
        <f t="shared" si="11"/>
        <v>N/A</v>
      </c>
    </row>
    <row r="194" spans="2:9" x14ac:dyDescent="0.25">
      <c r="B194" s="27" t="s">
        <v>18</v>
      </c>
      <c r="C194" s="27" t="s">
        <v>398</v>
      </c>
      <c r="D194" s="27">
        <v>0</v>
      </c>
      <c r="E194" s="27" t="s">
        <v>399</v>
      </c>
      <c r="F194" s="28" t="str">
        <f t="shared" ref="F194:F257" si="12">+LEFT(E194,FIND(".",E194,1)-1)</f>
        <v>LT751002A</v>
      </c>
      <c r="G194" s="28" t="str">
        <f t="shared" ref="G194:G257" si="13">+IFERROR(IF(LEFT(VLOOKUP(F194,DI,6,FALSE),2)="IO",2,0),"N/A")</f>
        <v>N/A</v>
      </c>
      <c r="H194" s="25" t="str">
        <f t="shared" ref="H194:H257" si="14">+CONCATENATE(C194,".MA")</f>
        <v>LI751002AIO.MA</v>
      </c>
      <c r="I194" s="25" t="str">
        <f t="shared" si="11"/>
        <v>N/A</v>
      </c>
    </row>
    <row r="195" spans="2:9" x14ac:dyDescent="0.25">
      <c r="B195" s="27" t="s">
        <v>18</v>
      </c>
      <c r="C195" s="27" t="s">
        <v>400</v>
      </c>
      <c r="D195" s="27">
        <v>0</v>
      </c>
      <c r="E195" s="27" t="s">
        <v>401</v>
      </c>
      <c r="F195" s="28" t="str">
        <f t="shared" si="12"/>
        <v>LT751002B</v>
      </c>
      <c r="G195" s="28" t="str">
        <f t="shared" si="13"/>
        <v>N/A</v>
      </c>
      <c r="H195" s="25" t="str">
        <f t="shared" si="14"/>
        <v>LI751002BIO.MA</v>
      </c>
      <c r="I195" s="25" t="str">
        <f t="shared" ref="I195:I258" si="15">+G195</f>
        <v>N/A</v>
      </c>
    </row>
    <row r="196" spans="2:9" x14ac:dyDescent="0.25">
      <c r="B196" s="27" t="s">
        <v>18</v>
      </c>
      <c r="C196" s="27" t="s">
        <v>402</v>
      </c>
      <c r="D196" s="27">
        <v>1</v>
      </c>
      <c r="E196" s="27" t="s">
        <v>403</v>
      </c>
      <c r="F196" s="28" t="str">
        <f t="shared" si="12"/>
        <v>LT751017</v>
      </c>
      <c r="G196" s="28" t="str">
        <f t="shared" si="13"/>
        <v>N/A</v>
      </c>
      <c r="H196" s="25" t="str">
        <f t="shared" si="14"/>
        <v>LI751017IO.MA</v>
      </c>
      <c r="I196" s="25" t="str">
        <f t="shared" si="15"/>
        <v>N/A</v>
      </c>
    </row>
    <row r="197" spans="2:9" x14ac:dyDescent="0.25">
      <c r="B197" s="27" t="s">
        <v>18</v>
      </c>
      <c r="C197" s="27" t="s">
        <v>404</v>
      </c>
      <c r="D197" s="27">
        <v>1</v>
      </c>
      <c r="E197" s="27" t="s">
        <v>405</v>
      </c>
      <c r="F197" s="28" t="str">
        <f t="shared" si="12"/>
        <v>LT752025</v>
      </c>
      <c r="G197" s="28" t="str">
        <f t="shared" si="13"/>
        <v>N/A</v>
      </c>
      <c r="H197" s="25" t="str">
        <f t="shared" si="14"/>
        <v>LI752025IO.MA</v>
      </c>
      <c r="I197" s="25" t="str">
        <f t="shared" si="15"/>
        <v>N/A</v>
      </c>
    </row>
    <row r="198" spans="2:9" x14ac:dyDescent="0.25">
      <c r="B198" s="27" t="s">
        <v>18</v>
      </c>
      <c r="C198" s="27" t="s">
        <v>406</v>
      </c>
      <c r="D198" s="27">
        <v>0</v>
      </c>
      <c r="E198" s="27" t="s">
        <v>407</v>
      </c>
      <c r="F198" s="28" t="str">
        <f t="shared" si="12"/>
        <v>LT760012</v>
      </c>
      <c r="G198" s="28" t="str">
        <f t="shared" si="13"/>
        <v>N/A</v>
      </c>
      <c r="H198" s="25" t="str">
        <f t="shared" si="14"/>
        <v>LI760012IO.MA</v>
      </c>
      <c r="I198" s="25" t="str">
        <f t="shared" si="15"/>
        <v>N/A</v>
      </c>
    </row>
    <row r="199" spans="2:9" x14ac:dyDescent="0.25">
      <c r="B199" s="27" t="s">
        <v>18</v>
      </c>
      <c r="C199" s="27" t="s">
        <v>408</v>
      </c>
      <c r="D199" s="27">
        <v>0</v>
      </c>
      <c r="E199" s="27" t="s">
        <v>409</v>
      </c>
      <c r="F199" s="28" t="str">
        <f t="shared" si="12"/>
        <v>LT760015</v>
      </c>
      <c r="G199" s="28" t="str">
        <f t="shared" si="13"/>
        <v>N/A</v>
      </c>
      <c r="H199" s="25" t="str">
        <f t="shared" si="14"/>
        <v>LI760015IO.MA</v>
      </c>
      <c r="I199" s="25" t="str">
        <f t="shared" si="15"/>
        <v>N/A</v>
      </c>
    </row>
    <row r="200" spans="2:9" x14ac:dyDescent="0.25">
      <c r="B200" s="27" t="s">
        <v>18</v>
      </c>
      <c r="C200" s="27" t="s">
        <v>410</v>
      </c>
      <c r="D200" s="27">
        <v>1</v>
      </c>
      <c r="E200" s="27" t="s">
        <v>411</v>
      </c>
      <c r="F200" s="28" t="str">
        <f t="shared" si="12"/>
        <v>LT760023</v>
      </c>
      <c r="G200" s="28" t="str">
        <f t="shared" si="13"/>
        <v>N/A</v>
      </c>
      <c r="H200" s="25" t="str">
        <f t="shared" si="14"/>
        <v>LI760023IO.MA</v>
      </c>
      <c r="I200" s="25" t="str">
        <f t="shared" si="15"/>
        <v>N/A</v>
      </c>
    </row>
    <row r="201" spans="2:9" x14ac:dyDescent="0.25">
      <c r="B201" s="27" t="s">
        <v>18</v>
      </c>
      <c r="C201" s="27" t="s">
        <v>412</v>
      </c>
      <c r="D201" s="27">
        <v>0</v>
      </c>
      <c r="E201" s="27" t="s">
        <v>413</v>
      </c>
      <c r="F201" s="28" t="str">
        <f t="shared" si="12"/>
        <v>LT760024</v>
      </c>
      <c r="G201" s="28" t="str">
        <f t="shared" si="13"/>
        <v>N/A</v>
      </c>
      <c r="H201" s="25" t="str">
        <f t="shared" si="14"/>
        <v>LI760024IO.MA</v>
      </c>
      <c r="I201" s="25" t="str">
        <f t="shared" si="15"/>
        <v>N/A</v>
      </c>
    </row>
    <row r="202" spans="2:9" x14ac:dyDescent="0.25">
      <c r="B202" s="27" t="s">
        <v>18</v>
      </c>
      <c r="C202" s="27" t="s">
        <v>414</v>
      </c>
      <c r="D202" s="27">
        <v>0</v>
      </c>
      <c r="E202" s="27" t="s">
        <v>415</v>
      </c>
      <c r="F202" s="28" t="str">
        <f t="shared" si="12"/>
        <v>LT760101</v>
      </c>
      <c r="G202" s="28" t="str">
        <f t="shared" si="13"/>
        <v>N/A</v>
      </c>
      <c r="H202" s="25" t="str">
        <f t="shared" si="14"/>
        <v>LI760101IO.MA</v>
      </c>
      <c r="I202" s="25" t="str">
        <f t="shared" si="15"/>
        <v>N/A</v>
      </c>
    </row>
    <row r="203" spans="2:9" x14ac:dyDescent="0.25">
      <c r="B203" s="27" t="s">
        <v>18</v>
      </c>
      <c r="C203" s="27" t="s">
        <v>416</v>
      </c>
      <c r="D203" s="27">
        <v>0</v>
      </c>
      <c r="E203" s="27" t="s">
        <v>417</v>
      </c>
      <c r="F203" s="28" t="str">
        <f t="shared" si="12"/>
        <v>LT760125</v>
      </c>
      <c r="G203" s="28" t="str">
        <f t="shared" si="13"/>
        <v>N/A</v>
      </c>
      <c r="H203" s="25" t="str">
        <f t="shared" si="14"/>
        <v>LI760125IO.MA</v>
      </c>
      <c r="I203" s="25" t="str">
        <f t="shared" si="15"/>
        <v>N/A</v>
      </c>
    </row>
    <row r="204" spans="2:9" x14ac:dyDescent="0.25">
      <c r="B204" s="27" t="s">
        <v>18</v>
      </c>
      <c r="C204" s="27" t="s">
        <v>418</v>
      </c>
      <c r="D204" s="27">
        <v>0</v>
      </c>
      <c r="E204" s="27" t="s">
        <v>419</v>
      </c>
      <c r="F204" s="28" t="str">
        <f t="shared" si="12"/>
        <v>LT760135</v>
      </c>
      <c r="G204" s="28" t="str">
        <f t="shared" si="13"/>
        <v>N/A</v>
      </c>
      <c r="H204" s="25" t="str">
        <f t="shared" si="14"/>
        <v>LI760135IO.MA</v>
      </c>
      <c r="I204" s="25" t="str">
        <f t="shared" si="15"/>
        <v>N/A</v>
      </c>
    </row>
    <row r="205" spans="2:9" x14ac:dyDescent="0.25">
      <c r="B205" s="27" t="s">
        <v>18</v>
      </c>
      <c r="C205" s="27" t="s">
        <v>420</v>
      </c>
      <c r="D205" s="27">
        <v>0</v>
      </c>
      <c r="E205" s="27" t="s">
        <v>421</v>
      </c>
      <c r="F205" s="28" t="str">
        <f t="shared" si="12"/>
        <v>LT760203</v>
      </c>
      <c r="G205" s="28" t="str">
        <f t="shared" si="13"/>
        <v>N/A</v>
      </c>
      <c r="H205" s="25" t="str">
        <f t="shared" si="14"/>
        <v>LI760203IO.MA</v>
      </c>
      <c r="I205" s="25" t="str">
        <f t="shared" si="15"/>
        <v>N/A</v>
      </c>
    </row>
    <row r="206" spans="2:9" x14ac:dyDescent="0.25">
      <c r="B206" s="27" t="s">
        <v>18</v>
      </c>
      <c r="C206" s="27" t="s">
        <v>422</v>
      </c>
      <c r="D206" s="27">
        <v>0</v>
      </c>
      <c r="E206" s="27" t="s">
        <v>423</v>
      </c>
      <c r="F206" s="28" t="str">
        <f t="shared" si="12"/>
        <v>LT760229</v>
      </c>
      <c r="G206" s="28" t="str">
        <f t="shared" si="13"/>
        <v>N/A</v>
      </c>
      <c r="H206" s="25" t="str">
        <f t="shared" si="14"/>
        <v>LI760229IO.MA</v>
      </c>
      <c r="I206" s="25" t="str">
        <f t="shared" si="15"/>
        <v>N/A</v>
      </c>
    </row>
    <row r="207" spans="2:9" x14ac:dyDescent="0.25">
      <c r="B207" s="27" t="s">
        <v>18</v>
      </c>
      <c r="C207" s="27" t="s">
        <v>424</v>
      </c>
      <c r="D207" s="27">
        <v>0</v>
      </c>
      <c r="E207" s="27" t="s">
        <v>425</v>
      </c>
      <c r="F207" s="28" t="str">
        <f t="shared" si="12"/>
        <v>LT760239</v>
      </c>
      <c r="G207" s="28" t="str">
        <f t="shared" si="13"/>
        <v>N/A</v>
      </c>
      <c r="H207" s="25" t="str">
        <f t="shared" si="14"/>
        <v>LI760239IO.MA</v>
      </c>
      <c r="I207" s="25" t="str">
        <f t="shared" si="15"/>
        <v>N/A</v>
      </c>
    </row>
    <row r="208" spans="2:9" x14ac:dyDescent="0.25">
      <c r="B208" s="27" t="s">
        <v>18</v>
      </c>
      <c r="C208" s="27" t="s">
        <v>426</v>
      </c>
      <c r="D208" s="27">
        <v>0</v>
      </c>
      <c r="E208" s="27" t="s">
        <v>427</v>
      </c>
      <c r="F208" s="28" t="str">
        <f t="shared" si="12"/>
        <v>LT761002A</v>
      </c>
      <c r="G208" s="28" t="str">
        <f t="shared" si="13"/>
        <v>N/A</v>
      </c>
      <c r="H208" s="25" t="str">
        <f t="shared" si="14"/>
        <v>LI761002AIO.MA</v>
      </c>
      <c r="I208" s="25" t="str">
        <f t="shared" si="15"/>
        <v>N/A</v>
      </c>
    </row>
    <row r="209" spans="2:9" x14ac:dyDescent="0.25">
      <c r="B209" s="27" t="s">
        <v>18</v>
      </c>
      <c r="C209" s="27" t="s">
        <v>428</v>
      </c>
      <c r="D209" s="27">
        <v>0</v>
      </c>
      <c r="E209" s="27" t="s">
        <v>429</v>
      </c>
      <c r="F209" s="28" t="str">
        <f t="shared" si="12"/>
        <v>LT761002B</v>
      </c>
      <c r="G209" s="28" t="str">
        <f t="shared" si="13"/>
        <v>N/A</v>
      </c>
      <c r="H209" s="25" t="str">
        <f t="shared" si="14"/>
        <v>LI761002BIO.MA</v>
      </c>
      <c r="I209" s="25" t="str">
        <f t="shared" si="15"/>
        <v>N/A</v>
      </c>
    </row>
    <row r="210" spans="2:9" x14ac:dyDescent="0.25">
      <c r="B210" s="27" t="s">
        <v>18</v>
      </c>
      <c r="C210" s="27" t="s">
        <v>430</v>
      </c>
      <c r="D210" s="27">
        <v>1</v>
      </c>
      <c r="E210" s="27" t="s">
        <v>431</v>
      </c>
      <c r="F210" s="28" t="str">
        <f t="shared" si="12"/>
        <v>LT761017</v>
      </c>
      <c r="G210" s="28" t="str">
        <f t="shared" si="13"/>
        <v>N/A</v>
      </c>
      <c r="H210" s="25" t="str">
        <f t="shared" si="14"/>
        <v>LI761017IO.MA</v>
      </c>
      <c r="I210" s="25" t="str">
        <f t="shared" si="15"/>
        <v>N/A</v>
      </c>
    </row>
    <row r="211" spans="2:9" x14ac:dyDescent="0.25">
      <c r="B211" s="27" t="s">
        <v>18</v>
      </c>
      <c r="C211" s="27" t="s">
        <v>432</v>
      </c>
      <c r="D211" s="27">
        <v>1</v>
      </c>
      <c r="E211" s="27" t="s">
        <v>433</v>
      </c>
      <c r="F211" s="28" t="str">
        <f t="shared" si="12"/>
        <v>LT762020</v>
      </c>
      <c r="G211" s="28" t="str">
        <f t="shared" si="13"/>
        <v>N/A</v>
      </c>
      <c r="H211" s="25" t="str">
        <f t="shared" si="14"/>
        <v>LI762020IO.MA</v>
      </c>
      <c r="I211" s="25" t="str">
        <f t="shared" si="15"/>
        <v>N/A</v>
      </c>
    </row>
    <row r="212" spans="2:9" x14ac:dyDescent="0.25">
      <c r="B212" s="27" t="s">
        <v>18</v>
      </c>
      <c r="C212" s="27" t="s">
        <v>434</v>
      </c>
      <c r="D212" s="27">
        <v>0</v>
      </c>
      <c r="E212" s="27" t="s">
        <v>435</v>
      </c>
      <c r="F212" s="28" t="str">
        <f t="shared" si="12"/>
        <v>LT763002A</v>
      </c>
      <c r="G212" s="28" t="str">
        <f t="shared" si="13"/>
        <v>N/A</v>
      </c>
      <c r="H212" s="25" t="str">
        <f t="shared" si="14"/>
        <v>LI763002AIO.MA</v>
      </c>
      <c r="I212" s="25" t="str">
        <f t="shared" si="15"/>
        <v>N/A</v>
      </c>
    </row>
    <row r="213" spans="2:9" x14ac:dyDescent="0.25">
      <c r="B213" s="27" t="s">
        <v>18</v>
      </c>
      <c r="C213" s="27" t="s">
        <v>436</v>
      </c>
      <c r="D213" s="27">
        <v>0</v>
      </c>
      <c r="E213" s="27" t="s">
        <v>437</v>
      </c>
      <c r="F213" s="28" t="str">
        <f t="shared" si="12"/>
        <v>LT763002B</v>
      </c>
      <c r="G213" s="28" t="str">
        <f t="shared" si="13"/>
        <v>N/A</v>
      </c>
      <c r="H213" s="25" t="str">
        <f t="shared" si="14"/>
        <v>LI763002BIO.MA</v>
      </c>
      <c r="I213" s="25" t="str">
        <f t="shared" si="15"/>
        <v>N/A</v>
      </c>
    </row>
    <row r="214" spans="2:9" x14ac:dyDescent="0.25">
      <c r="B214" s="27" t="s">
        <v>18</v>
      </c>
      <c r="C214" s="27" t="s">
        <v>438</v>
      </c>
      <c r="D214" s="27">
        <v>0</v>
      </c>
      <c r="E214" s="27" t="s">
        <v>439</v>
      </c>
      <c r="F214" s="28" t="str">
        <f t="shared" si="12"/>
        <v>LT763020</v>
      </c>
      <c r="G214" s="28" t="str">
        <f t="shared" si="13"/>
        <v>N/A</v>
      </c>
      <c r="H214" s="25" t="str">
        <f t="shared" si="14"/>
        <v>LI763020IO.MA</v>
      </c>
      <c r="I214" s="25" t="str">
        <f t="shared" si="15"/>
        <v>N/A</v>
      </c>
    </row>
    <row r="215" spans="2:9" x14ac:dyDescent="0.25">
      <c r="B215" s="27" t="s">
        <v>18</v>
      </c>
      <c r="C215" s="27" t="s">
        <v>440</v>
      </c>
      <c r="D215" s="27">
        <v>0</v>
      </c>
      <c r="E215" s="27" t="s">
        <v>441</v>
      </c>
      <c r="F215" s="28" t="str">
        <f t="shared" si="12"/>
        <v>LT764002A</v>
      </c>
      <c r="G215" s="28" t="str">
        <f t="shared" si="13"/>
        <v>N/A</v>
      </c>
      <c r="H215" s="25" t="str">
        <f t="shared" si="14"/>
        <v>LI764002AIO.MA</v>
      </c>
      <c r="I215" s="25" t="str">
        <f t="shared" si="15"/>
        <v>N/A</v>
      </c>
    </row>
    <row r="216" spans="2:9" x14ac:dyDescent="0.25">
      <c r="B216" s="27" t="s">
        <v>18</v>
      </c>
      <c r="C216" s="27" t="s">
        <v>442</v>
      </c>
      <c r="D216" s="27">
        <v>0</v>
      </c>
      <c r="E216" s="27" t="s">
        <v>443</v>
      </c>
      <c r="F216" s="28" t="str">
        <f t="shared" si="12"/>
        <v>LT764002B</v>
      </c>
      <c r="G216" s="28" t="str">
        <f t="shared" si="13"/>
        <v>N/A</v>
      </c>
      <c r="H216" s="25" t="str">
        <f t="shared" si="14"/>
        <v>LI764002BIO.MA</v>
      </c>
      <c r="I216" s="25" t="str">
        <f t="shared" si="15"/>
        <v>N/A</v>
      </c>
    </row>
    <row r="217" spans="2:9" x14ac:dyDescent="0.25">
      <c r="B217" s="27" t="s">
        <v>18</v>
      </c>
      <c r="C217" s="27" t="s">
        <v>444</v>
      </c>
      <c r="D217" s="27">
        <v>0</v>
      </c>
      <c r="E217" s="27" t="s">
        <v>445</v>
      </c>
      <c r="F217" s="28" t="str">
        <f t="shared" si="12"/>
        <v>LT764020</v>
      </c>
      <c r="G217" s="28" t="str">
        <f t="shared" si="13"/>
        <v>N/A</v>
      </c>
      <c r="H217" s="25" t="str">
        <f t="shared" si="14"/>
        <v>LI764020IO.MA</v>
      </c>
      <c r="I217" s="25" t="str">
        <f t="shared" si="15"/>
        <v>N/A</v>
      </c>
    </row>
    <row r="218" spans="2:9" x14ac:dyDescent="0.25">
      <c r="B218" s="27" t="s">
        <v>18</v>
      </c>
      <c r="C218" s="27" t="s">
        <v>446</v>
      </c>
      <c r="D218" s="27">
        <v>0</v>
      </c>
      <c r="E218" s="27" t="s">
        <v>447</v>
      </c>
      <c r="F218" s="28" t="str">
        <f t="shared" si="12"/>
        <v>LT772001</v>
      </c>
      <c r="G218" s="28" t="str">
        <f t="shared" si="13"/>
        <v>N/A</v>
      </c>
      <c r="H218" s="25" t="str">
        <f t="shared" si="14"/>
        <v>LI772001IO.MA</v>
      </c>
      <c r="I218" s="25" t="str">
        <f t="shared" si="15"/>
        <v>N/A</v>
      </c>
    </row>
    <row r="219" spans="2:9" x14ac:dyDescent="0.25">
      <c r="B219" s="27" t="s">
        <v>18</v>
      </c>
      <c r="C219" s="27" t="s">
        <v>448</v>
      </c>
      <c r="D219" s="27">
        <v>0</v>
      </c>
      <c r="E219" s="27" t="s">
        <v>449</v>
      </c>
      <c r="F219" s="28" t="str">
        <f t="shared" si="12"/>
        <v>LT790010A</v>
      </c>
      <c r="G219" s="28" t="str">
        <f t="shared" si="13"/>
        <v>N/A</v>
      </c>
      <c r="H219" s="25" t="str">
        <f t="shared" si="14"/>
        <v>LI790010AIO.MA</v>
      </c>
      <c r="I219" s="25" t="str">
        <f t="shared" si="15"/>
        <v>N/A</v>
      </c>
    </row>
    <row r="220" spans="2:9" x14ac:dyDescent="0.25">
      <c r="B220" s="27" t="s">
        <v>18</v>
      </c>
      <c r="C220" s="27" t="s">
        <v>450</v>
      </c>
      <c r="D220" s="27">
        <v>0</v>
      </c>
      <c r="E220" s="27" t="s">
        <v>451</v>
      </c>
      <c r="F220" s="28" t="str">
        <f t="shared" si="12"/>
        <v>LT790010B</v>
      </c>
      <c r="G220" s="28" t="str">
        <f t="shared" si="13"/>
        <v>N/A</v>
      </c>
      <c r="H220" s="25" t="str">
        <f t="shared" si="14"/>
        <v>LI790010BIO.MA</v>
      </c>
      <c r="I220" s="25" t="str">
        <f t="shared" si="15"/>
        <v>N/A</v>
      </c>
    </row>
    <row r="221" spans="2:9" x14ac:dyDescent="0.25">
      <c r="B221" s="27" t="s">
        <v>18</v>
      </c>
      <c r="C221" s="27" t="s">
        <v>452</v>
      </c>
      <c r="D221" s="27">
        <v>1</v>
      </c>
      <c r="E221" s="27" t="s">
        <v>453</v>
      </c>
      <c r="F221" s="28" t="str">
        <f t="shared" si="12"/>
        <v>LT796005</v>
      </c>
      <c r="G221" s="28" t="str">
        <f t="shared" si="13"/>
        <v>N/A</v>
      </c>
      <c r="H221" s="25" t="str">
        <f t="shared" si="14"/>
        <v>LI796005IO.MA</v>
      </c>
      <c r="I221" s="25" t="str">
        <f t="shared" si="15"/>
        <v>N/A</v>
      </c>
    </row>
    <row r="222" spans="2:9" x14ac:dyDescent="0.25">
      <c r="B222" s="27" t="s">
        <v>18</v>
      </c>
      <c r="C222" s="27" t="s">
        <v>454</v>
      </c>
      <c r="D222" s="27">
        <v>0</v>
      </c>
      <c r="E222" s="27" t="s">
        <v>455</v>
      </c>
      <c r="F222" s="28" t="str">
        <f t="shared" si="12"/>
        <v>LT799016A</v>
      </c>
      <c r="G222" s="28" t="str">
        <f t="shared" si="13"/>
        <v>N/A</v>
      </c>
      <c r="H222" s="25" t="str">
        <f t="shared" si="14"/>
        <v>LI799016AIO.MA</v>
      </c>
      <c r="I222" s="25" t="str">
        <f t="shared" si="15"/>
        <v>N/A</v>
      </c>
    </row>
    <row r="223" spans="2:9" x14ac:dyDescent="0.25">
      <c r="B223" s="27" t="s">
        <v>18</v>
      </c>
      <c r="C223" s="27" t="s">
        <v>456</v>
      </c>
      <c r="D223" s="27">
        <v>0</v>
      </c>
      <c r="E223" s="27" t="s">
        <v>457</v>
      </c>
      <c r="F223" s="28" t="str">
        <f t="shared" si="12"/>
        <v>LT799016B</v>
      </c>
      <c r="G223" s="28" t="str">
        <f t="shared" si="13"/>
        <v>N/A</v>
      </c>
      <c r="H223" s="25" t="str">
        <f t="shared" si="14"/>
        <v>LI799016BIO.MA</v>
      </c>
      <c r="I223" s="25" t="str">
        <f t="shared" si="15"/>
        <v>N/A</v>
      </c>
    </row>
    <row r="224" spans="2:9" x14ac:dyDescent="0.25">
      <c r="B224" s="27" t="s">
        <v>18</v>
      </c>
      <c r="C224" s="27" t="s">
        <v>458</v>
      </c>
      <c r="D224" s="27">
        <v>0</v>
      </c>
      <c r="E224" s="27" t="s">
        <v>459</v>
      </c>
      <c r="F224" s="28" t="str">
        <f t="shared" si="12"/>
        <v>PDT701011</v>
      </c>
      <c r="G224" s="28" t="str">
        <f t="shared" si="13"/>
        <v>N/A</v>
      </c>
      <c r="H224" s="25" t="str">
        <f t="shared" si="14"/>
        <v>PDI701011IO.MA</v>
      </c>
      <c r="I224" s="25" t="str">
        <f t="shared" si="15"/>
        <v>N/A</v>
      </c>
    </row>
    <row r="225" spans="2:9" x14ac:dyDescent="0.25">
      <c r="B225" s="27" t="s">
        <v>18</v>
      </c>
      <c r="C225" s="27" t="s">
        <v>460</v>
      </c>
      <c r="D225" s="27">
        <v>0</v>
      </c>
      <c r="E225" s="27" t="s">
        <v>461</v>
      </c>
      <c r="F225" s="28" t="str">
        <f t="shared" si="12"/>
        <v>PDT701016</v>
      </c>
      <c r="G225" s="28" t="str">
        <f t="shared" si="13"/>
        <v>N/A</v>
      </c>
      <c r="H225" s="25" t="str">
        <f t="shared" si="14"/>
        <v>PDI701016IO.MA</v>
      </c>
      <c r="I225" s="25" t="str">
        <f t="shared" si="15"/>
        <v>N/A</v>
      </c>
    </row>
    <row r="226" spans="2:9" x14ac:dyDescent="0.25">
      <c r="B226" s="27" t="s">
        <v>18</v>
      </c>
      <c r="C226" s="27" t="s">
        <v>462</v>
      </c>
      <c r="D226" s="27">
        <v>0</v>
      </c>
      <c r="E226" s="27" t="s">
        <v>463</v>
      </c>
      <c r="F226" s="28" t="str">
        <f t="shared" si="12"/>
        <v>PDT701130</v>
      </c>
      <c r="G226" s="28" t="str">
        <f t="shared" si="13"/>
        <v>N/A</v>
      </c>
      <c r="H226" s="25" t="str">
        <f t="shared" si="14"/>
        <v>PDI701130IO.MA</v>
      </c>
      <c r="I226" s="25" t="str">
        <f t="shared" si="15"/>
        <v>N/A</v>
      </c>
    </row>
    <row r="227" spans="2:9" x14ac:dyDescent="0.25">
      <c r="B227" s="27" t="s">
        <v>18</v>
      </c>
      <c r="C227" s="27" t="s">
        <v>464</v>
      </c>
      <c r="D227" s="27">
        <v>0</v>
      </c>
      <c r="E227" s="27" t="s">
        <v>465</v>
      </c>
      <c r="F227" s="28" t="str">
        <f t="shared" si="12"/>
        <v>PDT703007A</v>
      </c>
      <c r="G227" s="28" t="str">
        <f t="shared" si="13"/>
        <v>N/A</v>
      </c>
      <c r="H227" s="25" t="str">
        <f t="shared" si="14"/>
        <v>PDI703007AIO.MA</v>
      </c>
      <c r="I227" s="25" t="str">
        <f t="shared" si="15"/>
        <v>N/A</v>
      </c>
    </row>
    <row r="228" spans="2:9" x14ac:dyDescent="0.25">
      <c r="B228" s="27" t="s">
        <v>18</v>
      </c>
      <c r="C228" s="27" t="s">
        <v>466</v>
      </c>
      <c r="D228" s="27">
        <v>0</v>
      </c>
      <c r="E228" s="27" t="s">
        <v>467</v>
      </c>
      <c r="F228" s="28" t="str">
        <f t="shared" si="12"/>
        <v>PDT703007B</v>
      </c>
      <c r="G228" s="28" t="str">
        <f t="shared" si="13"/>
        <v>N/A</v>
      </c>
      <c r="H228" s="25" t="str">
        <f t="shared" si="14"/>
        <v>PDI703007BIO.MA</v>
      </c>
      <c r="I228" s="25" t="str">
        <f t="shared" si="15"/>
        <v>N/A</v>
      </c>
    </row>
    <row r="229" spans="2:9" x14ac:dyDescent="0.25">
      <c r="B229" s="27" t="s">
        <v>18</v>
      </c>
      <c r="C229" s="27" t="s">
        <v>468</v>
      </c>
      <c r="D229" s="27">
        <v>0</v>
      </c>
      <c r="E229" s="27" t="s">
        <v>469</v>
      </c>
      <c r="F229" s="28" t="str">
        <f t="shared" si="12"/>
        <v>PDT703013</v>
      </c>
      <c r="G229" s="28" t="str">
        <f t="shared" si="13"/>
        <v>N/A</v>
      </c>
      <c r="H229" s="25" t="str">
        <f t="shared" si="14"/>
        <v>PDI703013IO.MA</v>
      </c>
      <c r="I229" s="25" t="str">
        <f t="shared" si="15"/>
        <v>N/A</v>
      </c>
    </row>
    <row r="230" spans="2:9" x14ac:dyDescent="0.25">
      <c r="B230" s="27" t="s">
        <v>18</v>
      </c>
      <c r="C230" s="27" t="s">
        <v>470</v>
      </c>
      <c r="D230" s="27">
        <v>0</v>
      </c>
      <c r="E230" s="27" t="s">
        <v>471</v>
      </c>
      <c r="F230" s="28" t="str">
        <f t="shared" si="12"/>
        <v>PDT703027</v>
      </c>
      <c r="G230" s="28" t="str">
        <f t="shared" si="13"/>
        <v>N/A</v>
      </c>
      <c r="H230" s="25" t="str">
        <f t="shared" si="14"/>
        <v>PDI703027IO.MA</v>
      </c>
      <c r="I230" s="25" t="str">
        <f t="shared" si="15"/>
        <v>N/A</v>
      </c>
    </row>
    <row r="231" spans="2:9" x14ac:dyDescent="0.25">
      <c r="B231" s="27" t="s">
        <v>18</v>
      </c>
      <c r="C231" s="27" t="s">
        <v>472</v>
      </c>
      <c r="D231" s="27">
        <v>1</v>
      </c>
      <c r="E231" s="27" t="s">
        <v>473</v>
      </c>
      <c r="F231" s="28" t="str">
        <f t="shared" si="12"/>
        <v>PDT705001</v>
      </c>
      <c r="G231" s="28" t="str">
        <f t="shared" si="13"/>
        <v>N/A</v>
      </c>
      <c r="H231" s="25" t="str">
        <f t="shared" si="14"/>
        <v>PDI705001IO.MA</v>
      </c>
      <c r="I231" s="25" t="str">
        <f t="shared" si="15"/>
        <v>N/A</v>
      </c>
    </row>
    <row r="232" spans="2:9" x14ac:dyDescent="0.25">
      <c r="B232" s="27" t="s">
        <v>18</v>
      </c>
      <c r="C232" s="27" t="s">
        <v>474</v>
      </c>
      <c r="D232" s="27">
        <v>0</v>
      </c>
      <c r="E232" s="27" t="s">
        <v>475</v>
      </c>
      <c r="F232" s="28" t="str">
        <f t="shared" si="12"/>
        <v>PDT722210</v>
      </c>
      <c r="G232" s="28" t="str">
        <f t="shared" si="13"/>
        <v>N/A</v>
      </c>
      <c r="H232" s="25" t="str">
        <f t="shared" si="14"/>
        <v>PDI722210IO.MA</v>
      </c>
      <c r="I232" s="25" t="str">
        <f t="shared" si="15"/>
        <v>N/A</v>
      </c>
    </row>
    <row r="233" spans="2:9" x14ac:dyDescent="0.25">
      <c r="B233" s="27" t="s">
        <v>18</v>
      </c>
      <c r="C233" s="27" t="s">
        <v>476</v>
      </c>
      <c r="D233" s="27">
        <v>0</v>
      </c>
      <c r="E233" s="27" t="s">
        <v>477</v>
      </c>
      <c r="F233" s="28" t="str">
        <f t="shared" si="12"/>
        <v>PDT730025</v>
      </c>
      <c r="G233" s="28" t="str">
        <f t="shared" si="13"/>
        <v>N/A</v>
      </c>
      <c r="H233" s="25" t="str">
        <f t="shared" si="14"/>
        <v>PDI730025IO.MA</v>
      </c>
      <c r="I233" s="25" t="str">
        <f t="shared" si="15"/>
        <v>N/A</v>
      </c>
    </row>
    <row r="234" spans="2:9" x14ac:dyDescent="0.25">
      <c r="B234" s="27" t="s">
        <v>18</v>
      </c>
      <c r="C234" s="27" t="s">
        <v>478</v>
      </c>
      <c r="D234" s="27">
        <v>0</v>
      </c>
      <c r="E234" s="27" t="s">
        <v>479</v>
      </c>
      <c r="F234" s="28" t="str">
        <f t="shared" si="12"/>
        <v>PDT730026</v>
      </c>
      <c r="G234" s="28" t="str">
        <f t="shared" si="13"/>
        <v>N/A</v>
      </c>
      <c r="H234" s="25" t="str">
        <f t="shared" si="14"/>
        <v>PDI730026IO.MA</v>
      </c>
      <c r="I234" s="25" t="str">
        <f t="shared" si="15"/>
        <v>N/A</v>
      </c>
    </row>
    <row r="235" spans="2:9" x14ac:dyDescent="0.25">
      <c r="B235" s="27" t="s">
        <v>18</v>
      </c>
      <c r="C235" s="27" t="s">
        <v>480</v>
      </c>
      <c r="D235" s="27">
        <v>0</v>
      </c>
      <c r="E235" s="27" t="s">
        <v>481</v>
      </c>
      <c r="F235" s="28" t="str">
        <f t="shared" si="12"/>
        <v>PDT730027</v>
      </c>
      <c r="G235" s="28" t="str">
        <f t="shared" si="13"/>
        <v>N/A</v>
      </c>
      <c r="H235" s="25" t="str">
        <f t="shared" si="14"/>
        <v>PDI730027IO.MA</v>
      </c>
      <c r="I235" s="25" t="str">
        <f t="shared" si="15"/>
        <v>N/A</v>
      </c>
    </row>
    <row r="236" spans="2:9" x14ac:dyDescent="0.25">
      <c r="B236" s="27" t="s">
        <v>18</v>
      </c>
      <c r="C236" s="27" t="s">
        <v>482</v>
      </c>
      <c r="D236" s="27">
        <v>0</v>
      </c>
      <c r="E236" s="27" t="s">
        <v>483</v>
      </c>
      <c r="F236" s="28" t="str">
        <f t="shared" si="12"/>
        <v>PDT730213</v>
      </c>
      <c r="G236" s="28" t="str">
        <f t="shared" si="13"/>
        <v>N/A</v>
      </c>
      <c r="H236" s="25" t="str">
        <f t="shared" si="14"/>
        <v>PDI730213IO.MA</v>
      </c>
      <c r="I236" s="25" t="str">
        <f t="shared" si="15"/>
        <v>N/A</v>
      </c>
    </row>
    <row r="237" spans="2:9" x14ac:dyDescent="0.25">
      <c r="B237" s="27" t="s">
        <v>18</v>
      </c>
      <c r="C237" s="27" t="s">
        <v>484</v>
      </c>
      <c r="D237" s="27">
        <v>0</v>
      </c>
      <c r="E237" s="27" t="s">
        <v>485</v>
      </c>
      <c r="F237" s="28" t="str">
        <f t="shared" si="12"/>
        <v>PDT740001</v>
      </c>
      <c r="G237" s="28" t="str">
        <f t="shared" si="13"/>
        <v>N/A</v>
      </c>
      <c r="H237" s="25" t="str">
        <f t="shared" si="14"/>
        <v>PDI740001IO.MA</v>
      </c>
      <c r="I237" s="25" t="str">
        <f t="shared" si="15"/>
        <v>N/A</v>
      </c>
    </row>
    <row r="238" spans="2:9" x14ac:dyDescent="0.25">
      <c r="B238" s="27" t="s">
        <v>18</v>
      </c>
      <c r="C238" s="27" t="s">
        <v>486</v>
      </c>
      <c r="D238" s="27">
        <v>0</v>
      </c>
      <c r="E238" s="27" t="s">
        <v>487</v>
      </c>
      <c r="F238" s="28" t="str">
        <f t="shared" si="12"/>
        <v>PDT740005</v>
      </c>
      <c r="G238" s="28" t="str">
        <f t="shared" si="13"/>
        <v>N/A</v>
      </c>
      <c r="H238" s="25" t="str">
        <f t="shared" si="14"/>
        <v>PDI740005IO.MA</v>
      </c>
      <c r="I238" s="25" t="str">
        <f t="shared" si="15"/>
        <v>N/A</v>
      </c>
    </row>
    <row r="239" spans="2:9" x14ac:dyDescent="0.25">
      <c r="B239" s="27" t="s">
        <v>18</v>
      </c>
      <c r="C239" s="27" t="s">
        <v>488</v>
      </c>
      <c r="D239" s="27">
        <v>0</v>
      </c>
      <c r="E239" s="27" t="s">
        <v>489</v>
      </c>
      <c r="F239" s="28" t="str">
        <f t="shared" si="12"/>
        <v>PDT740006</v>
      </c>
      <c r="G239" s="28" t="str">
        <f t="shared" si="13"/>
        <v>N/A</v>
      </c>
      <c r="H239" s="25" t="str">
        <f t="shared" si="14"/>
        <v>PDI740006IO.MA</v>
      </c>
      <c r="I239" s="25" t="str">
        <f t="shared" si="15"/>
        <v>N/A</v>
      </c>
    </row>
    <row r="240" spans="2:9" x14ac:dyDescent="0.25">
      <c r="B240" s="27" t="s">
        <v>18</v>
      </c>
      <c r="C240" s="27" t="s">
        <v>490</v>
      </c>
      <c r="D240" s="27">
        <v>0</v>
      </c>
      <c r="E240" s="27" t="s">
        <v>491</v>
      </c>
      <c r="F240" s="28" t="str">
        <f t="shared" si="12"/>
        <v>PDT740014</v>
      </c>
      <c r="G240" s="28" t="str">
        <f t="shared" si="13"/>
        <v>N/A</v>
      </c>
      <c r="H240" s="25" t="str">
        <f t="shared" si="14"/>
        <v>PDI740014IO.MA</v>
      </c>
      <c r="I240" s="25" t="str">
        <f t="shared" si="15"/>
        <v>N/A</v>
      </c>
    </row>
    <row r="241" spans="2:9" x14ac:dyDescent="0.25">
      <c r="B241" s="27" t="s">
        <v>18</v>
      </c>
      <c r="C241" s="27" t="s">
        <v>492</v>
      </c>
      <c r="D241" s="27">
        <v>0</v>
      </c>
      <c r="E241" s="27" t="s">
        <v>493</v>
      </c>
      <c r="F241" s="28" t="str">
        <f t="shared" si="12"/>
        <v>PDT740219</v>
      </c>
      <c r="G241" s="28" t="str">
        <f t="shared" si="13"/>
        <v>N/A</v>
      </c>
      <c r="H241" s="25" t="str">
        <f t="shared" si="14"/>
        <v>PDI740219IO.MA</v>
      </c>
      <c r="I241" s="25" t="str">
        <f t="shared" si="15"/>
        <v>N/A</v>
      </c>
    </row>
    <row r="242" spans="2:9" x14ac:dyDescent="0.25">
      <c r="B242" s="27" t="s">
        <v>18</v>
      </c>
      <c r="C242" s="27" t="s">
        <v>494</v>
      </c>
      <c r="D242" s="27">
        <v>0</v>
      </c>
      <c r="E242" s="27" t="s">
        <v>495</v>
      </c>
      <c r="F242" s="28" t="str">
        <f t="shared" si="12"/>
        <v>PDT742015</v>
      </c>
      <c r="G242" s="28" t="str">
        <f t="shared" si="13"/>
        <v>N/A</v>
      </c>
      <c r="H242" s="25" t="str">
        <f t="shared" si="14"/>
        <v>PDI742015IO.MA</v>
      </c>
      <c r="I242" s="25" t="str">
        <f t="shared" si="15"/>
        <v>N/A</v>
      </c>
    </row>
    <row r="243" spans="2:9" x14ac:dyDescent="0.25">
      <c r="B243" s="27" t="s">
        <v>18</v>
      </c>
      <c r="C243" s="27" t="s">
        <v>496</v>
      </c>
      <c r="D243" s="27">
        <v>0</v>
      </c>
      <c r="E243" s="27" t="s">
        <v>497</v>
      </c>
      <c r="F243" s="28" t="str">
        <f t="shared" si="12"/>
        <v>PDT742017</v>
      </c>
      <c r="G243" s="28" t="str">
        <f t="shared" si="13"/>
        <v>N/A</v>
      </c>
      <c r="H243" s="25" t="str">
        <f t="shared" si="14"/>
        <v>PDI742017IO.MA</v>
      </c>
      <c r="I243" s="25" t="str">
        <f t="shared" si="15"/>
        <v>N/A</v>
      </c>
    </row>
    <row r="244" spans="2:9" x14ac:dyDescent="0.25">
      <c r="B244" s="27" t="s">
        <v>18</v>
      </c>
      <c r="C244" s="27" t="s">
        <v>498</v>
      </c>
      <c r="D244" s="27">
        <v>0</v>
      </c>
      <c r="E244" s="27" t="s">
        <v>499</v>
      </c>
      <c r="F244" s="28" t="str">
        <f t="shared" si="12"/>
        <v>PDT742019</v>
      </c>
      <c r="G244" s="28" t="str">
        <f t="shared" si="13"/>
        <v>N/A</v>
      </c>
      <c r="H244" s="25" t="str">
        <f t="shared" si="14"/>
        <v>PDI742019IO.MA</v>
      </c>
      <c r="I244" s="25" t="str">
        <f t="shared" si="15"/>
        <v>N/A</v>
      </c>
    </row>
    <row r="245" spans="2:9" x14ac:dyDescent="0.25">
      <c r="B245" s="27" t="s">
        <v>18</v>
      </c>
      <c r="C245" s="27" t="s">
        <v>500</v>
      </c>
      <c r="D245" s="27">
        <v>0</v>
      </c>
      <c r="E245" s="27" t="s">
        <v>501</v>
      </c>
      <c r="F245" s="28" t="str">
        <f t="shared" si="12"/>
        <v>PDT750001</v>
      </c>
      <c r="G245" s="28" t="str">
        <f t="shared" si="13"/>
        <v>N/A</v>
      </c>
      <c r="H245" s="25" t="str">
        <f t="shared" si="14"/>
        <v>PDI750001IO.MA</v>
      </c>
      <c r="I245" s="25" t="str">
        <f t="shared" si="15"/>
        <v>N/A</v>
      </c>
    </row>
    <row r="246" spans="2:9" x14ac:dyDescent="0.25">
      <c r="B246" s="27" t="s">
        <v>18</v>
      </c>
      <c r="C246" s="27" t="s">
        <v>502</v>
      </c>
      <c r="D246" s="27">
        <v>0</v>
      </c>
      <c r="E246" s="27" t="s">
        <v>503</v>
      </c>
      <c r="F246" s="28" t="str">
        <f t="shared" si="12"/>
        <v>PDT750005</v>
      </c>
      <c r="G246" s="28" t="str">
        <f t="shared" si="13"/>
        <v>N/A</v>
      </c>
      <c r="H246" s="25" t="str">
        <f t="shared" si="14"/>
        <v>PDI750005IO.MA</v>
      </c>
      <c r="I246" s="25" t="str">
        <f t="shared" si="15"/>
        <v>N/A</v>
      </c>
    </row>
    <row r="247" spans="2:9" x14ac:dyDescent="0.25">
      <c r="B247" s="27" t="s">
        <v>18</v>
      </c>
      <c r="C247" s="27" t="s">
        <v>504</v>
      </c>
      <c r="D247" s="27">
        <v>0</v>
      </c>
      <c r="E247" s="27" t="s">
        <v>505</v>
      </c>
      <c r="F247" s="28" t="str">
        <f t="shared" si="12"/>
        <v>PDT750006</v>
      </c>
      <c r="G247" s="28" t="str">
        <f t="shared" si="13"/>
        <v>N/A</v>
      </c>
      <c r="H247" s="25" t="str">
        <f t="shared" si="14"/>
        <v>PDI750006IO.MA</v>
      </c>
      <c r="I247" s="25" t="str">
        <f t="shared" si="15"/>
        <v>N/A</v>
      </c>
    </row>
    <row r="248" spans="2:9" x14ac:dyDescent="0.25">
      <c r="B248" s="27" t="s">
        <v>18</v>
      </c>
      <c r="C248" s="27" t="s">
        <v>506</v>
      </c>
      <c r="D248" s="27">
        <v>0</v>
      </c>
      <c r="E248" s="27" t="s">
        <v>507</v>
      </c>
      <c r="F248" s="28" t="str">
        <f t="shared" si="12"/>
        <v>PDT750014</v>
      </c>
      <c r="G248" s="28" t="str">
        <f t="shared" si="13"/>
        <v>N/A</v>
      </c>
      <c r="H248" s="25" t="str">
        <f t="shared" si="14"/>
        <v>PDI750014IO.MA</v>
      </c>
      <c r="I248" s="25" t="str">
        <f t="shared" si="15"/>
        <v>N/A</v>
      </c>
    </row>
    <row r="249" spans="2:9" x14ac:dyDescent="0.25">
      <c r="B249" s="27" t="s">
        <v>18</v>
      </c>
      <c r="C249" s="27" t="s">
        <v>508</v>
      </c>
      <c r="D249" s="27">
        <v>0</v>
      </c>
      <c r="E249" s="27" t="s">
        <v>509</v>
      </c>
      <c r="F249" s="28" t="str">
        <f t="shared" si="12"/>
        <v>PDT750219</v>
      </c>
      <c r="G249" s="28" t="str">
        <f t="shared" si="13"/>
        <v>N/A</v>
      </c>
      <c r="H249" s="25" t="str">
        <f t="shared" si="14"/>
        <v>PDI750219IO.MA</v>
      </c>
      <c r="I249" s="25" t="str">
        <f t="shared" si="15"/>
        <v>N/A</v>
      </c>
    </row>
    <row r="250" spans="2:9" x14ac:dyDescent="0.25">
      <c r="B250" s="27" t="s">
        <v>18</v>
      </c>
      <c r="C250" s="27" t="s">
        <v>510</v>
      </c>
      <c r="D250" s="27">
        <v>0</v>
      </c>
      <c r="E250" s="27" t="s">
        <v>511</v>
      </c>
      <c r="F250" s="28" t="str">
        <f t="shared" si="12"/>
        <v>PDT752015</v>
      </c>
      <c r="G250" s="28" t="str">
        <f t="shared" si="13"/>
        <v>N/A</v>
      </c>
      <c r="H250" s="25" t="str">
        <f t="shared" si="14"/>
        <v>PDI752015IO.MA</v>
      </c>
      <c r="I250" s="25" t="str">
        <f t="shared" si="15"/>
        <v>N/A</v>
      </c>
    </row>
    <row r="251" spans="2:9" x14ac:dyDescent="0.25">
      <c r="B251" s="27" t="s">
        <v>18</v>
      </c>
      <c r="C251" s="27" t="s">
        <v>512</v>
      </c>
      <c r="D251" s="27">
        <v>0</v>
      </c>
      <c r="E251" s="27" t="s">
        <v>513</v>
      </c>
      <c r="F251" s="28" t="str">
        <f t="shared" si="12"/>
        <v>PDT760001</v>
      </c>
      <c r="G251" s="28" t="str">
        <f t="shared" si="13"/>
        <v>N/A</v>
      </c>
      <c r="H251" s="25" t="str">
        <f t="shared" si="14"/>
        <v>PDI760001IO.MA</v>
      </c>
      <c r="I251" s="25" t="str">
        <f t="shared" si="15"/>
        <v>N/A</v>
      </c>
    </row>
    <row r="252" spans="2:9" x14ac:dyDescent="0.25">
      <c r="B252" s="27" t="s">
        <v>18</v>
      </c>
      <c r="C252" s="27" t="s">
        <v>514</v>
      </c>
      <c r="D252" s="27">
        <v>0</v>
      </c>
      <c r="E252" s="27" t="s">
        <v>515</v>
      </c>
      <c r="F252" s="28" t="str">
        <f t="shared" si="12"/>
        <v>PDT760005</v>
      </c>
      <c r="G252" s="28" t="str">
        <f t="shared" si="13"/>
        <v>N/A</v>
      </c>
      <c r="H252" s="25" t="str">
        <f t="shared" si="14"/>
        <v>PDI760005IO.MA</v>
      </c>
      <c r="I252" s="25" t="str">
        <f t="shared" si="15"/>
        <v>N/A</v>
      </c>
    </row>
    <row r="253" spans="2:9" x14ac:dyDescent="0.25">
      <c r="B253" s="27" t="s">
        <v>18</v>
      </c>
      <c r="C253" s="27" t="s">
        <v>516</v>
      </c>
      <c r="D253" s="27">
        <v>0</v>
      </c>
      <c r="E253" s="27" t="s">
        <v>517</v>
      </c>
      <c r="F253" s="28" t="str">
        <f t="shared" si="12"/>
        <v>PDT760006</v>
      </c>
      <c r="G253" s="28" t="str">
        <f t="shared" si="13"/>
        <v>N/A</v>
      </c>
      <c r="H253" s="25" t="str">
        <f t="shared" si="14"/>
        <v>PDI760006IO.MA</v>
      </c>
      <c r="I253" s="25" t="str">
        <f t="shared" si="15"/>
        <v>N/A</v>
      </c>
    </row>
    <row r="254" spans="2:9" x14ac:dyDescent="0.25">
      <c r="B254" s="27" t="s">
        <v>18</v>
      </c>
      <c r="C254" s="27" t="s">
        <v>518</v>
      </c>
      <c r="D254" s="27">
        <v>0</v>
      </c>
      <c r="E254" s="27" t="s">
        <v>519</v>
      </c>
      <c r="F254" s="28" t="str">
        <f t="shared" si="12"/>
        <v>PDT760014</v>
      </c>
      <c r="G254" s="28" t="str">
        <f t="shared" si="13"/>
        <v>N/A</v>
      </c>
      <c r="H254" s="25" t="str">
        <f t="shared" si="14"/>
        <v>PDI760014IO.MA</v>
      </c>
      <c r="I254" s="25" t="str">
        <f t="shared" si="15"/>
        <v>N/A</v>
      </c>
    </row>
    <row r="255" spans="2:9" x14ac:dyDescent="0.25">
      <c r="B255" s="27" t="s">
        <v>18</v>
      </c>
      <c r="C255" s="27" t="s">
        <v>520</v>
      </c>
      <c r="D255" s="27">
        <v>0</v>
      </c>
      <c r="E255" s="27" t="s">
        <v>521</v>
      </c>
      <c r="F255" s="28" t="str">
        <f t="shared" si="12"/>
        <v>PDT760219</v>
      </c>
      <c r="G255" s="28" t="str">
        <f t="shared" si="13"/>
        <v>N/A</v>
      </c>
      <c r="H255" s="25" t="str">
        <f t="shared" si="14"/>
        <v>PDI760219IO.MA</v>
      </c>
      <c r="I255" s="25" t="str">
        <f t="shared" si="15"/>
        <v>N/A</v>
      </c>
    </row>
    <row r="256" spans="2:9" x14ac:dyDescent="0.25">
      <c r="B256" s="27" t="s">
        <v>18</v>
      </c>
      <c r="C256" s="27" t="s">
        <v>522</v>
      </c>
      <c r="D256" s="27">
        <v>0</v>
      </c>
      <c r="E256" s="27" t="s">
        <v>523</v>
      </c>
      <c r="F256" s="28" t="str">
        <f t="shared" si="12"/>
        <v>PDT790016</v>
      </c>
      <c r="G256" s="28" t="str">
        <f t="shared" si="13"/>
        <v>N/A</v>
      </c>
      <c r="H256" s="25" t="str">
        <f t="shared" si="14"/>
        <v>PDI790016IO.MA</v>
      </c>
      <c r="I256" s="25" t="str">
        <f t="shared" si="15"/>
        <v>N/A</v>
      </c>
    </row>
    <row r="257" spans="2:9" x14ac:dyDescent="0.25">
      <c r="B257" s="27" t="s">
        <v>18</v>
      </c>
      <c r="C257" s="27" t="s">
        <v>524</v>
      </c>
      <c r="D257" s="27">
        <v>1</v>
      </c>
      <c r="E257" s="27" t="s">
        <v>525</v>
      </c>
      <c r="F257" s="28" t="str">
        <f t="shared" si="12"/>
        <v>PDT791008</v>
      </c>
      <c r="G257" s="28" t="str">
        <f t="shared" si="13"/>
        <v>N/A</v>
      </c>
      <c r="H257" s="25" t="str">
        <f t="shared" si="14"/>
        <v>PDI791008IO.MA</v>
      </c>
      <c r="I257" s="25" t="str">
        <f t="shared" si="15"/>
        <v>N/A</v>
      </c>
    </row>
    <row r="258" spans="2:9" x14ac:dyDescent="0.25">
      <c r="B258" s="27" t="s">
        <v>18</v>
      </c>
      <c r="C258" s="27" t="s">
        <v>526</v>
      </c>
      <c r="D258" s="27">
        <v>1</v>
      </c>
      <c r="E258" s="27" t="s">
        <v>527</v>
      </c>
      <c r="F258" s="28" t="str">
        <f t="shared" ref="F258:F321" si="16">+LEFT(E258,FIND(".",E258,1)-1)</f>
        <v>PDT792003</v>
      </c>
      <c r="G258" s="28" t="str">
        <f t="shared" ref="G258:G321" si="17">+IFERROR(IF(LEFT(VLOOKUP(F258,DI,6,FALSE),2)="IO",2,0),"N/A")</f>
        <v>N/A</v>
      </c>
      <c r="H258" s="25" t="str">
        <f t="shared" ref="H258:H321" si="18">+CONCATENATE(C258,".MA")</f>
        <v>PDI792003IO.MA</v>
      </c>
      <c r="I258" s="25" t="str">
        <f t="shared" si="15"/>
        <v>N/A</v>
      </c>
    </row>
    <row r="259" spans="2:9" x14ac:dyDescent="0.25">
      <c r="B259" s="27" t="s">
        <v>18</v>
      </c>
      <c r="C259" s="27" t="s">
        <v>528</v>
      </c>
      <c r="D259" s="27">
        <v>1</v>
      </c>
      <c r="E259" s="27" t="s">
        <v>529</v>
      </c>
      <c r="F259" s="28" t="str">
        <f t="shared" si="16"/>
        <v>PDT794004</v>
      </c>
      <c r="G259" s="28" t="str">
        <f t="shared" si="17"/>
        <v>N/A</v>
      </c>
      <c r="H259" s="25" t="str">
        <f t="shared" si="18"/>
        <v>PDI794004IO.MA</v>
      </c>
      <c r="I259" s="25" t="str">
        <f t="shared" ref="I259:I322" si="19">+G259</f>
        <v>N/A</v>
      </c>
    </row>
    <row r="260" spans="2:9" x14ac:dyDescent="0.25">
      <c r="B260" s="27" t="s">
        <v>18</v>
      </c>
      <c r="C260" s="27" t="s">
        <v>530</v>
      </c>
      <c r="D260" s="27">
        <v>0</v>
      </c>
      <c r="E260" s="27" t="s">
        <v>531</v>
      </c>
      <c r="F260" s="28" t="str">
        <f t="shared" si="16"/>
        <v>PDT794006</v>
      </c>
      <c r="G260" s="28" t="str">
        <f t="shared" si="17"/>
        <v>N/A</v>
      </c>
      <c r="H260" s="25" t="str">
        <f t="shared" si="18"/>
        <v>PDI794006IO.MA</v>
      </c>
      <c r="I260" s="25" t="str">
        <f t="shared" si="19"/>
        <v>N/A</v>
      </c>
    </row>
    <row r="261" spans="2:9" x14ac:dyDescent="0.25">
      <c r="B261" s="27" t="s">
        <v>18</v>
      </c>
      <c r="C261" s="27" t="s">
        <v>532</v>
      </c>
      <c r="D261" s="27">
        <v>0</v>
      </c>
      <c r="E261" s="27" t="s">
        <v>533</v>
      </c>
      <c r="F261" s="28" t="str">
        <f t="shared" si="16"/>
        <v>PDT796011</v>
      </c>
      <c r="G261" s="28" t="str">
        <f t="shared" si="17"/>
        <v>N/A</v>
      </c>
      <c r="H261" s="25" t="str">
        <f t="shared" si="18"/>
        <v>PDI796011IO.MA</v>
      </c>
      <c r="I261" s="25" t="str">
        <f t="shared" si="19"/>
        <v>N/A</v>
      </c>
    </row>
    <row r="262" spans="2:9" x14ac:dyDescent="0.25">
      <c r="B262" s="27" t="s">
        <v>18</v>
      </c>
      <c r="C262" s="27" t="s">
        <v>534</v>
      </c>
      <c r="D262" s="27">
        <v>0</v>
      </c>
      <c r="E262" s="27" t="s">
        <v>535</v>
      </c>
      <c r="F262" s="28" t="str">
        <f t="shared" si="16"/>
        <v>PT700005</v>
      </c>
      <c r="G262" s="28" t="str">
        <f t="shared" si="17"/>
        <v>N/A</v>
      </c>
      <c r="H262" s="25" t="str">
        <f t="shared" si="18"/>
        <v>PI700005IO.MA</v>
      </c>
      <c r="I262" s="25" t="str">
        <f t="shared" si="19"/>
        <v>N/A</v>
      </c>
    </row>
    <row r="263" spans="2:9" x14ac:dyDescent="0.25">
      <c r="B263" s="27" t="s">
        <v>18</v>
      </c>
      <c r="C263" s="27" t="s">
        <v>536</v>
      </c>
      <c r="D263" s="27">
        <v>0</v>
      </c>
      <c r="E263" s="27" t="s">
        <v>537</v>
      </c>
      <c r="F263" s="28" t="str">
        <f t="shared" si="16"/>
        <v>PT700012</v>
      </c>
      <c r="G263" s="28" t="str">
        <f t="shared" si="17"/>
        <v>N/A</v>
      </c>
      <c r="H263" s="25" t="str">
        <f t="shared" si="18"/>
        <v>PI700012IO.MA</v>
      </c>
      <c r="I263" s="25" t="str">
        <f t="shared" si="19"/>
        <v>N/A</v>
      </c>
    </row>
    <row r="264" spans="2:9" x14ac:dyDescent="0.25">
      <c r="B264" s="27" t="s">
        <v>18</v>
      </c>
      <c r="C264" s="27" t="s">
        <v>538</v>
      </c>
      <c r="D264" s="27">
        <v>0</v>
      </c>
      <c r="E264" s="27" t="s">
        <v>539</v>
      </c>
      <c r="F264" s="28" t="str">
        <f t="shared" si="16"/>
        <v>PT701017</v>
      </c>
      <c r="G264" s="28" t="str">
        <f t="shared" si="17"/>
        <v>N/A</v>
      </c>
      <c r="H264" s="25" t="str">
        <f t="shared" si="18"/>
        <v>PI701017IO.MA</v>
      </c>
      <c r="I264" s="25" t="str">
        <f t="shared" si="19"/>
        <v>N/A</v>
      </c>
    </row>
    <row r="265" spans="2:9" x14ac:dyDescent="0.25">
      <c r="B265" s="27" t="s">
        <v>18</v>
      </c>
      <c r="C265" s="27" t="s">
        <v>540</v>
      </c>
      <c r="D265" s="27">
        <v>0</v>
      </c>
      <c r="E265" s="27" t="s">
        <v>541</v>
      </c>
      <c r="F265" s="28" t="str">
        <f t="shared" si="16"/>
        <v>PT701101</v>
      </c>
      <c r="G265" s="28" t="str">
        <f t="shared" si="17"/>
        <v>N/A</v>
      </c>
      <c r="H265" s="25" t="str">
        <f t="shared" si="18"/>
        <v>PI701101IO.MA</v>
      </c>
      <c r="I265" s="25" t="str">
        <f t="shared" si="19"/>
        <v>N/A</v>
      </c>
    </row>
    <row r="266" spans="2:9" x14ac:dyDescent="0.25">
      <c r="B266" s="27" t="s">
        <v>18</v>
      </c>
      <c r="C266" s="27" t="s">
        <v>542</v>
      </c>
      <c r="D266" s="27">
        <v>0</v>
      </c>
      <c r="E266" s="27" t="s">
        <v>543</v>
      </c>
      <c r="F266" s="28" t="str">
        <f t="shared" si="16"/>
        <v>PT701104</v>
      </c>
      <c r="G266" s="28" t="str">
        <f t="shared" si="17"/>
        <v>N/A</v>
      </c>
      <c r="H266" s="25" t="str">
        <f t="shared" si="18"/>
        <v>PI701104IO.MA</v>
      </c>
      <c r="I266" s="25" t="str">
        <f t="shared" si="19"/>
        <v>N/A</v>
      </c>
    </row>
    <row r="267" spans="2:9" x14ac:dyDescent="0.25">
      <c r="B267" s="27" t="s">
        <v>18</v>
      </c>
      <c r="C267" s="27" t="s">
        <v>544</v>
      </c>
      <c r="D267" s="27">
        <v>0</v>
      </c>
      <c r="E267" s="27" t="s">
        <v>545</v>
      </c>
      <c r="F267" s="28" t="str">
        <f t="shared" si="16"/>
        <v>PT703016</v>
      </c>
      <c r="G267" s="28" t="str">
        <f t="shared" si="17"/>
        <v>N/A</v>
      </c>
      <c r="H267" s="25" t="str">
        <f t="shared" si="18"/>
        <v>PI703016IO.MA</v>
      </c>
      <c r="I267" s="25" t="str">
        <f t="shared" si="19"/>
        <v>N/A</v>
      </c>
    </row>
    <row r="268" spans="2:9" x14ac:dyDescent="0.25">
      <c r="B268" s="27" t="s">
        <v>18</v>
      </c>
      <c r="C268" s="27" t="s">
        <v>546</v>
      </c>
      <c r="D268" s="27">
        <v>0</v>
      </c>
      <c r="E268" s="27" t="s">
        <v>547</v>
      </c>
      <c r="F268" s="28" t="str">
        <f t="shared" si="16"/>
        <v>PT703035</v>
      </c>
      <c r="G268" s="28" t="str">
        <f t="shared" si="17"/>
        <v>N/A</v>
      </c>
      <c r="H268" s="25" t="str">
        <f t="shared" si="18"/>
        <v>PI703035IO.MA</v>
      </c>
      <c r="I268" s="25" t="str">
        <f t="shared" si="19"/>
        <v>N/A</v>
      </c>
    </row>
    <row r="269" spans="2:9" x14ac:dyDescent="0.25">
      <c r="B269" s="27" t="s">
        <v>18</v>
      </c>
      <c r="C269" s="27" t="s">
        <v>548</v>
      </c>
      <c r="D269" s="27">
        <v>0</v>
      </c>
      <c r="E269" s="27" t="s">
        <v>549</v>
      </c>
      <c r="F269" s="28" t="str">
        <f t="shared" si="16"/>
        <v>PT703037</v>
      </c>
      <c r="G269" s="28" t="str">
        <f t="shared" si="17"/>
        <v>N/A</v>
      </c>
      <c r="H269" s="25" t="str">
        <f t="shared" si="18"/>
        <v>PI703037IO.MA</v>
      </c>
      <c r="I269" s="25" t="str">
        <f t="shared" si="19"/>
        <v>N/A</v>
      </c>
    </row>
    <row r="270" spans="2:9" x14ac:dyDescent="0.25">
      <c r="B270" s="27" t="s">
        <v>18</v>
      </c>
      <c r="C270" s="27" t="s">
        <v>550</v>
      </c>
      <c r="D270" s="27">
        <v>0</v>
      </c>
      <c r="E270" s="27" t="s">
        <v>551</v>
      </c>
      <c r="F270" s="28" t="str">
        <f t="shared" si="16"/>
        <v>PT704008A</v>
      </c>
      <c r="G270" s="28" t="str">
        <f t="shared" si="17"/>
        <v>N/A</v>
      </c>
      <c r="H270" s="25" t="str">
        <f t="shared" si="18"/>
        <v>PI704008A_1oo2IO_MA1.MA</v>
      </c>
      <c r="I270" s="25" t="str">
        <f t="shared" si="19"/>
        <v>N/A</v>
      </c>
    </row>
    <row r="271" spans="2:9" x14ac:dyDescent="0.25">
      <c r="B271" s="27" t="s">
        <v>18</v>
      </c>
      <c r="C271" s="27" t="s">
        <v>552</v>
      </c>
      <c r="D271" s="27">
        <v>0</v>
      </c>
      <c r="E271" s="27" t="s">
        <v>553</v>
      </c>
      <c r="F271" s="28" t="str">
        <f t="shared" si="16"/>
        <v>PT704008B</v>
      </c>
      <c r="G271" s="28" t="str">
        <f t="shared" si="17"/>
        <v>N/A</v>
      </c>
      <c r="H271" s="25" t="str">
        <f t="shared" si="18"/>
        <v>PI704008A_1oo2IO_MA2.MA</v>
      </c>
      <c r="I271" s="25" t="str">
        <f t="shared" si="19"/>
        <v>N/A</v>
      </c>
    </row>
    <row r="272" spans="2:9" x14ac:dyDescent="0.25">
      <c r="B272" s="27" t="s">
        <v>18</v>
      </c>
      <c r="C272" s="27" t="s">
        <v>554</v>
      </c>
      <c r="D272" s="27">
        <v>0</v>
      </c>
      <c r="E272" s="27" t="s">
        <v>555</v>
      </c>
      <c r="F272" s="28" t="str">
        <f t="shared" si="16"/>
        <v>PT720003A</v>
      </c>
      <c r="G272" s="28" t="str">
        <f t="shared" si="17"/>
        <v>N/A</v>
      </c>
      <c r="H272" s="25" t="str">
        <f t="shared" si="18"/>
        <v>PI720003AIO.MA</v>
      </c>
      <c r="I272" s="25" t="str">
        <f t="shared" si="19"/>
        <v>N/A</v>
      </c>
    </row>
    <row r="273" spans="2:9" x14ac:dyDescent="0.25">
      <c r="B273" s="27" t="s">
        <v>18</v>
      </c>
      <c r="C273" s="27" t="s">
        <v>556</v>
      </c>
      <c r="D273" s="27">
        <v>0</v>
      </c>
      <c r="E273" s="27" t="s">
        <v>557</v>
      </c>
      <c r="F273" s="28" t="str">
        <f t="shared" si="16"/>
        <v>PT720003B</v>
      </c>
      <c r="G273" s="28" t="str">
        <f t="shared" si="17"/>
        <v>N/A</v>
      </c>
      <c r="H273" s="25" t="str">
        <f t="shared" si="18"/>
        <v>PI720003BIO.MA</v>
      </c>
      <c r="I273" s="25" t="str">
        <f t="shared" si="19"/>
        <v>N/A</v>
      </c>
    </row>
    <row r="274" spans="2:9" x14ac:dyDescent="0.25">
      <c r="B274" s="27" t="s">
        <v>18</v>
      </c>
      <c r="C274" s="27" t="s">
        <v>558</v>
      </c>
      <c r="D274" s="27">
        <v>0</v>
      </c>
      <c r="E274" s="27" t="s">
        <v>559</v>
      </c>
      <c r="F274" s="28" t="str">
        <f t="shared" si="16"/>
        <v>PT720007</v>
      </c>
      <c r="G274" s="28" t="str">
        <f t="shared" si="17"/>
        <v>N/A</v>
      </c>
      <c r="H274" s="25" t="str">
        <f t="shared" si="18"/>
        <v>PI720007IO.MA</v>
      </c>
      <c r="I274" s="25" t="str">
        <f t="shared" si="19"/>
        <v>N/A</v>
      </c>
    </row>
    <row r="275" spans="2:9" x14ac:dyDescent="0.25">
      <c r="B275" s="27" t="s">
        <v>18</v>
      </c>
      <c r="C275" s="27" t="s">
        <v>560</v>
      </c>
      <c r="D275" s="27">
        <v>0</v>
      </c>
      <c r="E275" s="27" t="s">
        <v>561</v>
      </c>
      <c r="F275" s="28" t="str">
        <f t="shared" si="16"/>
        <v>PT721003</v>
      </c>
      <c r="G275" s="28" t="str">
        <f t="shared" si="17"/>
        <v>N/A</v>
      </c>
      <c r="H275" s="25" t="str">
        <f t="shared" si="18"/>
        <v>PI721003IO.MA</v>
      </c>
      <c r="I275" s="25" t="str">
        <f t="shared" si="19"/>
        <v>N/A</v>
      </c>
    </row>
    <row r="276" spans="2:9" x14ac:dyDescent="0.25">
      <c r="B276" s="27" t="s">
        <v>18</v>
      </c>
      <c r="C276" s="27" t="s">
        <v>562</v>
      </c>
      <c r="D276" s="27">
        <v>0</v>
      </c>
      <c r="E276" s="27" t="s">
        <v>563</v>
      </c>
      <c r="F276" s="28" t="str">
        <f t="shared" si="16"/>
        <v>PT721007</v>
      </c>
      <c r="G276" s="28" t="str">
        <f t="shared" si="17"/>
        <v>N/A</v>
      </c>
      <c r="H276" s="25" t="str">
        <f t="shared" si="18"/>
        <v>PI721007IO.MA</v>
      </c>
      <c r="I276" s="25" t="str">
        <f t="shared" si="19"/>
        <v>N/A</v>
      </c>
    </row>
    <row r="277" spans="2:9" x14ac:dyDescent="0.25">
      <c r="B277" s="27" t="s">
        <v>18</v>
      </c>
      <c r="C277" s="27" t="s">
        <v>564</v>
      </c>
      <c r="D277" s="27">
        <v>0</v>
      </c>
      <c r="E277" s="27" t="s">
        <v>565</v>
      </c>
      <c r="F277" s="28" t="str">
        <f t="shared" si="16"/>
        <v>PT722003</v>
      </c>
      <c r="G277" s="28" t="str">
        <f t="shared" si="17"/>
        <v>N/A</v>
      </c>
      <c r="H277" s="25" t="str">
        <f t="shared" si="18"/>
        <v>PI722003IO.MA</v>
      </c>
      <c r="I277" s="25" t="str">
        <f t="shared" si="19"/>
        <v>N/A</v>
      </c>
    </row>
    <row r="278" spans="2:9" x14ac:dyDescent="0.25">
      <c r="B278" s="27" t="s">
        <v>18</v>
      </c>
      <c r="C278" s="27" t="s">
        <v>566</v>
      </c>
      <c r="D278" s="27">
        <v>0</v>
      </c>
      <c r="E278" s="27" t="s">
        <v>567</v>
      </c>
      <c r="F278" s="28" t="str">
        <f t="shared" si="16"/>
        <v>PT722007</v>
      </c>
      <c r="G278" s="28" t="str">
        <f t="shared" si="17"/>
        <v>N/A</v>
      </c>
      <c r="H278" s="25" t="str">
        <f t="shared" si="18"/>
        <v>PI722007IO.MA</v>
      </c>
      <c r="I278" s="25" t="str">
        <f t="shared" si="19"/>
        <v>N/A</v>
      </c>
    </row>
    <row r="279" spans="2:9" x14ac:dyDescent="0.25">
      <c r="B279" s="27" t="s">
        <v>18</v>
      </c>
      <c r="C279" s="27" t="s">
        <v>568</v>
      </c>
      <c r="D279" s="27">
        <v>0</v>
      </c>
      <c r="E279" s="27" t="s">
        <v>569</v>
      </c>
      <c r="F279" s="28" t="str">
        <f t="shared" si="16"/>
        <v>PT722027</v>
      </c>
      <c r="G279" s="28" t="str">
        <f t="shared" si="17"/>
        <v>N/A</v>
      </c>
      <c r="H279" s="25" t="str">
        <f t="shared" si="18"/>
        <v>PI722027IO.MA</v>
      </c>
      <c r="I279" s="25" t="str">
        <f t="shared" si="19"/>
        <v>N/A</v>
      </c>
    </row>
    <row r="280" spans="2:9" x14ac:dyDescent="0.25">
      <c r="B280" s="27" t="s">
        <v>18</v>
      </c>
      <c r="C280" s="27" t="s">
        <v>570</v>
      </c>
      <c r="D280" s="27">
        <v>0</v>
      </c>
      <c r="E280" s="27" t="s">
        <v>571</v>
      </c>
      <c r="F280" s="28" t="str">
        <f t="shared" si="16"/>
        <v>PT722037</v>
      </c>
      <c r="G280" s="28" t="str">
        <f t="shared" si="17"/>
        <v>N/A</v>
      </c>
      <c r="H280" s="25" t="str">
        <f t="shared" si="18"/>
        <v>PI722037IO.MA</v>
      </c>
      <c r="I280" s="25" t="str">
        <f t="shared" si="19"/>
        <v>N/A</v>
      </c>
    </row>
    <row r="281" spans="2:9" x14ac:dyDescent="0.25">
      <c r="B281" s="27" t="s">
        <v>18</v>
      </c>
      <c r="C281" s="27" t="s">
        <v>572</v>
      </c>
      <c r="D281" s="27">
        <v>0</v>
      </c>
      <c r="E281" s="27" t="s">
        <v>573</v>
      </c>
      <c r="F281" s="28" t="str">
        <f t="shared" si="16"/>
        <v>PT730005</v>
      </c>
      <c r="G281" s="28" t="str">
        <f t="shared" si="17"/>
        <v>N/A</v>
      </c>
      <c r="H281" s="25" t="str">
        <f t="shared" si="18"/>
        <v>PI730005IO.MA</v>
      </c>
      <c r="I281" s="25" t="str">
        <f t="shared" si="19"/>
        <v>N/A</v>
      </c>
    </row>
    <row r="282" spans="2:9" x14ac:dyDescent="0.25">
      <c r="B282" s="27" t="s">
        <v>18</v>
      </c>
      <c r="C282" s="27" t="s">
        <v>574</v>
      </c>
      <c r="D282" s="27">
        <v>0</v>
      </c>
      <c r="E282" s="27" t="s">
        <v>575</v>
      </c>
      <c r="F282" s="28" t="str">
        <f t="shared" si="16"/>
        <v>PT730006</v>
      </c>
      <c r="G282" s="28" t="str">
        <f t="shared" si="17"/>
        <v>N/A</v>
      </c>
      <c r="H282" s="25" t="str">
        <f t="shared" si="18"/>
        <v>PI730006IO.MA</v>
      </c>
      <c r="I282" s="25" t="str">
        <f t="shared" si="19"/>
        <v>N/A</v>
      </c>
    </row>
    <row r="283" spans="2:9" x14ac:dyDescent="0.25">
      <c r="B283" s="27" t="s">
        <v>18</v>
      </c>
      <c r="C283" s="27" t="s">
        <v>576</v>
      </c>
      <c r="D283" s="27">
        <v>0</v>
      </c>
      <c r="E283" s="27" t="s">
        <v>577</v>
      </c>
      <c r="F283" s="28" t="str">
        <f t="shared" si="16"/>
        <v>PT730028</v>
      </c>
      <c r="G283" s="28" t="str">
        <f t="shared" si="17"/>
        <v>N/A</v>
      </c>
      <c r="H283" s="25" t="str">
        <f t="shared" si="18"/>
        <v>PI730028IO.MA</v>
      </c>
      <c r="I283" s="25" t="str">
        <f t="shared" si="19"/>
        <v>N/A</v>
      </c>
    </row>
    <row r="284" spans="2:9" x14ac:dyDescent="0.25">
      <c r="B284" s="27" t="s">
        <v>18</v>
      </c>
      <c r="C284" s="27" t="s">
        <v>578</v>
      </c>
      <c r="D284" s="27">
        <v>0</v>
      </c>
      <c r="E284" s="27" t="s">
        <v>579</v>
      </c>
      <c r="F284" s="28" t="str">
        <f t="shared" si="16"/>
        <v>PT730038</v>
      </c>
      <c r="G284" s="28" t="str">
        <f t="shared" si="17"/>
        <v>N/A</v>
      </c>
      <c r="H284" s="25" t="str">
        <f t="shared" si="18"/>
        <v>PI730038IO.MA</v>
      </c>
      <c r="I284" s="25" t="str">
        <f t="shared" si="19"/>
        <v>N/A</v>
      </c>
    </row>
    <row r="285" spans="2:9" x14ac:dyDescent="0.25">
      <c r="B285" s="27" t="s">
        <v>18</v>
      </c>
      <c r="C285" s="27" t="s">
        <v>580</v>
      </c>
      <c r="D285" s="27">
        <v>0</v>
      </c>
      <c r="E285" s="27" t="s">
        <v>581</v>
      </c>
      <c r="F285" s="28" t="str">
        <f t="shared" si="16"/>
        <v>PT730045</v>
      </c>
      <c r="G285" s="28" t="str">
        <f t="shared" si="17"/>
        <v>N/A</v>
      </c>
      <c r="H285" s="25" t="str">
        <f t="shared" si="18"/>
        <v>PI730045IO.MA</v>
      </c>
      <c r="I285" s="25" t="str">
        <f t="shared" si="19"/>
        <v>N/A</v>
      </c>
    </row>
    <row r="286" spans="2:9" x14ac:dyDescent="0.25">
      <c r="B286" s="27" t="s">
        <v>18</v>
      </c>
      <c r="C286" s="27" t="s">
        <v>582</v>
      </c>
      <c r="D286" s="27">
        <v>0</v>
      </c>
      <c r="E286" s="27" t="s">
        <v>583</v>
      </c>
      <c r="F286" s="28" t="str">
        <f t="shared" si="16"/>
        <v>PT730055</v>
      </c>
      <c r="G286" s="28" t="str">
        <f t="shared" si="17"/>
        <v>N/A</v>
      </c>
      <c r="H286" s="25" t="str">
        <f t="shared" si="18"/>
        <v>PI730055IO.MA</v>
      </c>
      <c r="I286" s="25" t="str">
        <f t="shared" si="19"/>
        <v>N/A</v>
      </c>
    </row>
    <row r="287" spans="2:9" x14ac:dyDescent="0.25">
      <c r="B287" s="27" t="s">
        <v>18</v>
      </c>
      <c r="C287" s="27" t="s">
        <v>584</v>
      </c>
      <c r="D287" s="27">
        <v>1</v>
      </c>
      <c r="E287" s="27" t="s">
        <v>585</v>
      </c>
      <c r="F287" s="28" t="str">
        <f t="shared" si="16"/>
        <v>PT730404</v>
      </c>
      <c r="G287" s="28" t="str">
        <f t="shared" si="17"/>
        <v>N/A</v>
      </c>
      <c r="H287" s="25" t="str">
        <f t="shared" si="18"/>
        <v>PI730404IO.MA</v>
      </c>
      <c r="I287" s="25" t="str">
        <f t="shared" si="19"/>
        <v>N/A</v>
      </c>
    </row>
    <row r="288" spans="2:9" x14ac:dyDescent="0.25">
      <c r="B288" s="27" t="s">
        <v>18</v>
      </c>
      <c r="C288" s="27" t="s">
        <v>586</v>
      </c>
      <c r="D288" s="27">
        <v>0</v>
      </c>
      <c r="E288" s="27" t="s">
        <v>587</v>
      </c>
      <c r="F288" s="28" t="str">
        <f t="shared" si="16"/>
        <v>PT730423</v>
      </c>
      <c r="G288" s="28" t="str">
        <f t="shared" si="17"/>
        <v>N/A</v>
      </c>
      <c r="H288" s="25" t="str">
        <f t="shared" si="18"/>
        <v>PI730423IO.MA</v>
      </c>
      <c r="I288" s="25" t="str">
        <f t="shared" si="19"/>
        <v>N/A</v>
      </c>
    </row>
    <row r="289" spans="2:9" x14ac:dyDescent="0.25">
      <c r="B289" s="27" t="s">
        <v>18</v>
      </c>
      <c r="C289" s="27" t="s">
        <v>588</v>
      </c>
      <c r="D289" s="27">
        <v>0</v>
      </c>
      <c r="E289" s="27" t="s">
        <v>589</v>
      </c>
      <c r="F289" s="28" t="str">
        <f t="shared" si="16"/>
        <v>PT730433</v>
      </c>
      <c r="G289" s="28" t="str">
        <f t="shared" si="17"/>
        <v>N/A</v>
      </c>
      <c r="H289" s="25" t="str">
        <f t="shared" si="18"/>
        <v>PI730433IO.MA</v>
      </c>
      <c r="I289" s="25" t="str">
        <f t="shared" si="19"/>
        <v>N/A</v>
      </c>
    </row>
    <row r="290" spans="2:9" x14ac:dyDescent="0.25">
      <c r="B290" s="27" t="s">
        <v>18</v>
      </c>
      <c r="C290" s="27" t="s">
        <v>590</v>
      </c>
      <c r="D290" s="27">
        <v>0</v>
      </c>
      <c r="E290" s="27" t="s">
        <v>591</v>
      </c>
      <c r="F290" s="28" t="str">
        <f t="shared" si="16"/>
        <v>PT740011</v>
      </c>
      <c r="G290" s="28" t="str">
        <f t="shared" si="17"/>
        <v>N/A</v>
      </c>
      <c r="H290" s="25" t="str">
        <f t="shared" si="18"/>
        <v>PI740011IO.MA</v>
      </c>
      <c r="I290" s="25" t="str">
        <f t="shared" si="19"/>
        <v>N/A</v>
      </c>
    </row>
    <row r="291" spans="2:9" x14ac:dyDescent="0.25">
      <c r="B291" s="27" t="s">
        <v>18</v>
      </c>
      <c r="C291" s="27" t="s">
        <v>592</v>
      </c>
      <c r="D291" s="27">
        <v>0</v>
      </c>
      <c r="E291" s="27" t="s">
        <v>593</v>
      </c>
      <c r="F291" s="28" t="str">
        <f t="shared" si="16"/>
        <v>PT740019</v>
      </c>
      <c r="G291" s="28" t="str">
        <f t="shared" si="17"/>
        <v>N/A</v>
      </c>
      <c r="H291" s="25" t="str">
        <f t="shared" si="18"/>
        <v>PI740019IO.MA</v>
      </c>
      <c r="I291" s="25" t="str">
        <f t="shared" si="19"/>
        <v>N/A</v>
      </c>
    </row>
    <row r="292" spans="2:9" x14ac:dyDescent="0.25">
      <c r="B292" s="27" t="s">
        <v>18</v>
      </c>
      <c r="C292" s="27" t="s">
        <v>594</v>
      </c>
      <c r="D292" s="27">
        <v>0</v>
      </c>
      <c r="E292" s="27" t="s">
        <v>595</v>
      </c>
      <c r="F292" s="28" t="str">
        <f t="shared" si="16"/>
        <v>PT740045</v>
      </c>
      <c r="G292" s="28" t="str">
        <f t="shared" si="17"/>
        <v>N/A</v>
      </c>
      <c r="H292" s="25" t="str">
        <f t="shared" si="18"/>
        <v>PI740045IO.MA</v>
      </c>
      <c r="I292" s="25" t="str">
        <f t="shared" si="19"/>
        <v>N/A</v>
      </c>
    </row>
    <row r="293" spans="2:9" x14ac:dyDescent="0.25">
      <c r="B293" s="27" t="s">
        <v>18</v>
      </c>
      <c r="C293" s="27" t="s">
        <v>596</v>
      </c>
      <c r="D293" s="27">
        <v>0</v>
      </c>
      <c r="E293" s="27" t="s">
        <v>597</v>
      </c>
      <c r="F293" s="28" t="str">
        <f t="shared" si="16"/>
        <v>PT740055</v>
      </c>
      <c r="G293" s="28" t="str">
        <f t="shared" si="17"/>
        <v>N/A</v>
      </c>
      <c r="H293" s="25" t="str">
        <f t="shared" si="18"/>
        <v>PI740055IO.MA</v>
      </c>
      <c r="I293" s="25" t="str">
        <f t="shared" si="19"/>
        <v>N/A</v>
      </c>
    </row>
    <row r="294" spans="2:9" x14ac:dyDescent="0.25">
      <c r="B294" s="27" t="s">
        <v>18</v>
      </c>
      <c r="C294" s="27" t="s">
        <v>598</v>
      </c>
      <c r="D294" s="27">
        <v>0</v>
      </c>
      <c r="E294" s="27" t="s">
        <v>599</v>
      </c>
      <c r="F294" s="28" t="str">
        <f t="shared" si="16"/>
        <v>PT740123</v>
      </c>
      <c r="G294" s="28" t="str">
        <f t="shared" si="17"/>
        <v>N/A</v>
      </c>
      <c r="H294" s="25" t="str">
        <f t="shared" si="18"/>
        <v>PI740123IO.MA</v>
      </c>
      <c r="I294" s="25" t="str">
        <f t="shared" si="19"/>
        <v>N/A</v>
      </c>
    </row>
    <row r="295" spans="2:9" x14ac:dyDescent="0.25">
      <c r="B295" s="27" t="s">
        <v>18</v>
      </c>
      <c r="C295" s="27" t="s">
        <v>600</v>
      </c>
      <c r="D295" s="27">
        <v>0</v>
      </c>
      <c r="E295" s="27" t="s">
        <v>601</v>
      </c>
      <c r="F295" s="28" t="str">
        <f t="shared" si="16"/>
        <v>PT740133</v>
      </c>
      <c r="G295" s="28" t="str">
        <f t="shared" si="17"/>
        <v>N/A</v>
      </c>
      <c r="H295" s="25" t="str">
        <f t="shared" si="18"/>
        <v>PI740133IO.MA</v>
      </c>
      <c r="I295" s="25" t="str">
        <f t="shared" si="19"/>
        <v>N/A</v>
      </c>
    </row>
    <row r="296" spans="2:9" x14ac:dyDescent="0.25">
      <c r="B296" s="27" t="s">
        <v>18</v>
      </c>
      <c r="C296" s="27" t="s">
        <v>602</v>
      </c>
      <c r="D296" s="27">
        <v>0</v>
      </c>
      <c r="E296" s="27" t="s">
        <v>603</v>
      </c>
      <c r="F296" s="28" t="str">
        <f t="shared" si="16"/>
        <v>PT740201</v>
      </c>
      <c r="G296" s="28" t="str">
        <f t="shared" si="17"/>
        <v>N/A</v>
      </c>
      <c r="H296" s="25" t="str">
        <f t="shared" si="18"/>
        <v>PI740201IO.MA</v>
      </c>
      <c r="I296" s="25" t="str">
        <f t="shared" si="19"/>
        <v>N/A</v>
      </c>
    </row>
    <row r="297" spans="2:9" x14ac:dyDescent="0.25">
      <c r="B297" s="27" t="s">
        <v>18</v>
      </c>
      <c r="C297" s="27" t="s">
        <v>604</v>
      </c>
      <c r="D297" s="27">
        <v>0</v>
      </c>
      <c r="E297" s="27" t="s">
        <v>605</v>
      </c>
      <c r="F297" s="28" t="str">
        <f t="shared" si="16"/>
        <v>PT740202</v>
      </c>
      <c r="G297" s="28" t="str">
        <f t="shared" si="17"/>
        <v>N/A</v>
      </c>
      <c r="H297" s="25" t="str">
        <f t="shared" si="18"/>
        <v>PI740202IO.MA</v>
      </c>
      <c r="I297" s="25" t="str">
        <f t="shared" si="19"/>
        <v>N/A</v>
      </c>
    </row>
    <row r="298" spans="2:9" x14ac:dyDescent="0.25">
      <c r="B298" s="27" t="s">
        <v>18</v>
      </c>
      <c r="C298" s="27" t="s">
        <v>606</v>
      </c>
      <c r="D298" s="27">
        <v>0</v>
      </c>
      <c r="E298" s="27" t="s">
        <v>607</v>
      </c>
      <c r="F298" s="28" t="str">
        <f t="shared" si="16"/>
        <v>PT740227</v>
      </c>
      <c r="G298" s="28" t="str">
        <f t="shared" si="17"/>
        <v>N/A</v>
      </c>
      <c r="H298" s="25" t="str">
        <f t="shared" si="18"/>
        <v>PI740227IO.MA</v>
      </c>
      <c r="I298" s="25" t="str">
        <f t="shared" si="19"/>
        <v>N/A</v>
      </c>
    </row>
    <row r="299" spans="2:9" x14ac:dyDescent="0.25">
      <c r="B299" s="27" t="s">
        <v>18</v>
      </c>
      <c r="C299" s="27" t="s">
        <v>608</v>
      </c>
      <c r="D299" s="27">
        <v>0</v>
      </c>
      <c r="E299" s="27" t="s">
        <v>609</v>
      </c>
      <c r="F299" s="28" t="str">
        <f t="shared" si="16"/>
        <v>PT740237</v>
      </c>
      <c r="G299" s="28" t="str">
        <f t="shared" si="17"/>
        <v>N/A</v>
      </c>
      <c r="H299" s="25" t="str">
        <f t="shared" si="18"/>
        <v>PI740237IO.MA</v>
      </c>
      <c r="I299" s="25" t="str">
        <f t="shared" si="19"/>
        <v>N/A</v>
      </c>
    </row>
    <row r="300" spans="2:9" x14ac:dyDescent="0.25">
      <c r="B300" s="27" t="s">
        <v>18</v>
      </c>
      <c r="C300" s="27" t="s">
        <v>610</v>
      </c>
      <c r="D300" s="27">
        <v>0</v>
      </c>
      <c r="E300" s="27" t="s">
        <v>611</v>
      </c>
      <c r="F300" s="28" t="str">
        <f t="shared" si="16"/>
        <v>PT741004</v>
      </c>
      <c r="G300" s="28" t="str">
        <f t="shared" si="17"/>
        <v>N/A</v>
      </c>
      <c r="H300" s="25" t="str">
        <f t="shared" si="18"/>
        <v>PI741004IO.MA</v>
      </c>
      <c r="I300" s="25" t="str">
        <f t="shared" si="19"/>
        <v>N/A</v>
      </c>
    </row>
    <row r="301" spans="2:9" x14ac:dyDescent="0.25">
      <c r="B301" s="27" t="s">
        <v>18</v>
      </c>
      <c r="C301" s="27" t="s">
        <v>612</v>
      </c>
      <c r="D301" s="27">
        <v>1</v>
      </c>
      <c r="E301" s="27" t="s">
        <v>613</v>
      </c>
      <c r="F301" s="28" t="str">
        <f t="shared" si="16"/>
        <v>PT741015</v>
      </c>
      <c r="G301" s="28" t="str">
        <f t="shared" si="17"/>
        <v>N/A</v>
      </c>
      <c r="H301" s="25" t="str">
        <f t="shared" si="18"/>
        <v>PI741015IO.MA</v>
      </c>
      <c r="I301" s="25" t="str">
        <f t="shared" si="19"/>
        <v>N/A</v>
      </c>
    </row>
    <row r="302" spans="2:9" x14ac:dyDescent="0.25">
      <c r="B302" s="27" t="s">
        <v>18</v>
      </c>
      <c r="C302" s="27" t="s">
        <v>614</v>
      </c>
      <c r="D302" s="27">
        <v>1</v>
      </c>
      <c r="E302" s="27" t="s">
        <v>615</v>
      </c>
      <c r="F302" s="28" t="str">
        <f t="shared" si="16"/>
        <v>PT742023</v>
      </c>
      <c r="G302" s="28" t="str">
        <f t="shared" si="17"/>
        <v>N/A</v>
      </c>
      <c r="H302" s="25" t="str">
        <f t="shared" si="18"/>
        <v>PI742023IO.MA</v>
      </c>
      <c r="I302" s="25" t="str">
        <f t="shared" si="19"/>
        <v>N/A</v>
      </c>
    </row>
    <row r="303" spans="2:9" x14ac:dyDescent="0.25">
      <c r="B303" s="27" t="s">
        <v>18</v>
      </c>
      <c r="C303" s="27" t="s">
        <v>616</v>
      </c>
      <c r="D303" s="27">
        <v>0</v>
      </c>
      <c r="E303" s="27" t="s">
        <v>617</v>
      </c>
      <c r="F303" s="28" t="str">
        <f t="shared" si="16"/>
        <v>PT750011</v>
      </c>
      <c r="G303" s="28" t="str">
        <f t="shared" si="17"/>
        <v>N/A</v>
      </c>
      <c r="H303" s="25" t="str">
        <f t="shared" si="18"/>
        <v>PI750011IO.MA</v>
      </c>
      <c r="I303" s="25" t="str">
        <f t="shared" si="19"/>
        <v>N/A</v>
      </c>
    </row>
    <row r="304" spans="2:9" x14ac:dyDescent="0.25">
      <c r="B304" s="27" t="s">
        <v>18</v>
      </c>
      <c r="C304" s="27" t="s">
        <v>618</v>
      </c>
      <c r="D304" s="27">
        <v>0</v>
      </c>
      <c r="E304" s="27" t="s">
        <v>619</v>
      </c>
      <c r="F304" s="28" t="str">
        <f t="shared" si="16"/>
        <v>PT750019</v>
      </c>
      <c r="G304" s="28" t="str">
        <f t="shared" si="17"/>
        <v>N/A</v>
      </c>
      <c r="H304" s="25" t="str">
        <f t="shared" si="18"/>
        <v>PI750019IO.MA</v>
      </c>
      <c r="I304" s="25" t="str">
        <f t="shared" si="19"/>
        <v>N/A</v>
      </c>
    </row>
    <row r="305" spans="2:9" x14ac:dyDescent="0.25">
      <c r="B305" s="27" t="s">
        <v>18</v>
      </c>
      <c r="C305" s="27" t="s">
        <v>620</v>
      </c>
      <c r="D305" s="27">
        <v>0</v>
      </c>
      <c r="E305" s="27" t="s">
        <v>621</v>
      </c>
      <c r="F305" s="28" t="str">
        <f t="shared" si="16"/>
        <v>PT750045</v>
      </c>
      <c r="G305" s="28" t="str">
        <f t="shared" si="17"/>
        <v>N/A</v>
      </c>
      <c r="H305" s="25" t="str">
        <f t="shared" si="18"/>
        <v>PI750045IO.MA</v>
      </c>
      <c r="I305" s="25" t="str">
        <f t="shared" si="19"/>
        <v>N/A</v>
      </c>
    </row>
    <row r="306" spans="2:9" x14ac:dyDescent="0.25">
      <c r="B306" s="27" t="s">
        <v>18</v>
      </c>
      <c r="C306" s="27" t="s">
        <v>622</v>
      </c>
      <c r="D306" s="27">
        <v>0</v>
      </c>
      <c r="E306" s="27" t="s">
        <v>623</v>
      </c>
      <c r="F306" s="28" t="str">
        <f t="shared" si="16"/>
        <v>PT750055</v>
      </c>
      <c r="G306" s="28" t="str">
        <f t="shared" si="17"/>
        <v>N/A</v>
      </c>
      <c r="H306" s="25" t="str">
        <f t="shared" si="18"/>
        <v>PI750055IO.MA</v>
      </c>
      <c r="I306" s="25" t="str">
        <f t="shared" si="19"/>
        <v>N/A</v>
      </c>
    </row>
    <row r="307" spans="2:9" x14ac:dyDescent="0.25">
      <c r="B307" s="27" t="s">
        <v>18</v>
      </c>
      <c r="C307" s="27" t="s">
        <v>624</v>
      </c>
      <c r="D307" s="27">
        <v>0</v>
      </c>
      <c r="E307" s="27" t="s">
        <v>625</v>
      </c>
      <c r="F307" s="28" t="str">
        <f t="shared" si="16"/>
        <v>PT750123</v>
      </c>
      <c r="G307" s="28" t="str">
        <f t="shared" si="17"/>
        <v>N/A</v>
      </c>
      <c r="H307" s="25" t="str">
        <f t="shared" si="18"/>
        <v>PI750123IO.MA</v>
      </c>
      <c r="I307" s="25" t="str">
        <f t="shared" si="19"/>
        <v>N/A</v>
      </c>
    </row>
    <row r="308" spans="2:9" x14ac:dyDescent="0.25">
      <c r="B308" s="27" t="s">
        <v>18</v>
      </c>
      <c r="C308" s="27" t="s">
        <v>626</v>
      </c>
      <c r="D308" s="27">
        <v>0</v>
      </c>
      <c r="E308" s="27" t="s">
        <v>627</v>
      </c>
      <c r="F308" s="28" t="str">
        <f t="shared" si="16"/>
        <v>PT750133</v>
      </c>
      <c r="G308" s="28" t="str">
        <f t="shared" si="17"/>
        <v>N/A</v>
      </c>
      <c r="H308" s="25" t="str">
        <f t="shared" si="18"/>
        <v>PI750133IO.MA</v>
      </c>
      <c r="I308" s="25" t="str">
        <f t="shared" si="19"/>
        <v>N/A</v>
      </c>
    </row>
    <row r="309" spans="2:9" x14ac:dyDescent="0.25">
      <c r="B309" s="27" t="s">
        <v>18</v>
      </c>
      <c r="C309" s="27" t="s">
        <v>628</v>
      </c>
      <c r="D309" s="27">
        <v>0</v>
      </c>
      <c r="E309" s="27" t="s">
        <v>629</v>
      </c>
      <c r="F309" s="28" t="str">
        <f t="shared" si="16"/>
        <v>PT750201</v>
      </c>
      <c r="G309" s="28" t="str">
        <f t="shared" si="17"/>
        <v>N/A</v>
      </c>
      <c r="H309" s="25" t="str">
        <f t="shared" si="18"/>
        <v>PI750201IO.MA</v>
      </c>
      <c r="I309" s="25" t="str">
        <f t="shared" si="19"/>
        <v>N/A</v>
      </c>
    </row>
    <row r="310" spans="2:9" x14ac:dyDescent="0.25">
      <c r="B310" s="27" t="s">
        <v>18</v>
      </c>
      <c r="C310" s="27" t="s">
        <v>630</v>
      </c>
      <c r="D310" s="27">
        <v>0</v>
      </c>
      <c r="E310" s="27" t="s">
        <v>631</v>
      </c>
      <c r="F310" s="28" t="str">
        <f t="shared" si="16"/>
        <v>PT750202</v>
      </c>
      <c r="G310" s="28" t="str">
        <f t="shared" si="17"/>
        <v>N/A</v>
      </c>
      <c r="H310" s="25" t="str">
        <f t="shared" si="18"/>
        <v>PI750202IO.MA</v>
      </c>
      <c r="I310" s="25" t="str">
        <f t="shared" si="19"/>
        <v>N/A</v>
      </c>
    </row>
    <row r="311" spans="2:9" x14ac:dyDescent="0.25">
      <c r="B311" s="27" t="s">
        <v>18</v>
      </c>
      <c r="C311" s="27" t="s">
        <v>632</v>
      </c>
      <c r="D311" s="27">
        <v>0</v>
      </c>
      <c r="E311" s="27" t="s">
        <v>633</v>
      </c>
      <c r="F311" s="28" t="str">
        <f t="shared" si="16"/>
        <v>PT750227</v>
      </c>
      <c r="G311" s="28" t="str">
        <f t="shared" si="17"/>
        <v>N/A</v>
      </c>
      <c r="H311" s="25" t="str">
        <f t="shared" si="18"/>
        <v>PI750227IO.MA</v>
      </c>
      <c r="I311" s="25" t="str">
        <f t="shared" si="19"/>
        <v>N/A</v>
      </c>
    </row>
    <row r="312" spans="2:9" x14ac:dyDescent="0.25">
      <c r="B312" s="27" t="s">
        <v>18</v>
      </c>
      <c r="C312" s="27" t="s">
        <v>634</v>
      </c>
      <c r="D312" s="27">
        <v>0</v>
      </c>
      <c r="E312" s="27" t="s">
        <v>635</v>
      </c>
      <c r="F312" s="28" t="str">
        <f t="shared" si="16"/>
        <v>PT750237</v>
      </c>
      <c r="G312" s="28" t="str">
        <f t="shared" si="17"/>
        <v>N/A</v>
      </c>
      <c r="H312" s="25" t="str">
        <f t="shared" si="18"/>
        <v>PI750237IO.MA</v>
      </c>
      <c r="I312" s="25" t="str">
        <f t="shared" si="19"/>
        <v>N/A</v>
      </c>
    </row>
    <row r="313" spans="2:9" x14ac:dyDescent="0.25">
      <c r="B313" s="27" t="s">
        <v>18</v>
      </c>
      <c r="C313" s="27" t="s">
        <v>636</v>
      </c>
      <c r="D313" s="27">
        <v>0</v>
      </c>
      <c r="E313" s="27" t="s">
        <v>637</v>
      </c>
      <c r="F313" s="28" t="str">
        <f t="shared" si="16"/>
        <v>PT751004</v>
      </c>
      <c r="G313" s="28" t="str">
        <f t="shared" si="17"/>
        <v>N/A</v>
      </c>
      <c r="H313" s="25" t="str">
        <f t="shared" si="18"/>
        <v>PI751004IO.MA</v>
      </c>
      <c r="I313" s="25" t="str">
        <f t="shared" si="19"/>
        <v>N/A</v>
      </c>
    </row>
    <row r="314" spans="2:9" x14ac:dyDescent="0.25">
      <c r="B314" s="27" t="s">
        <v>18</v>
      </c>
      <c r="C314" s="27" t="s">
        <v>638</v>
      </c>
      <c r="D314" s="27">
        <v>1</v>
      </c>
      <c r="E314" s="27" t="s">
        <v>639</v>
      </c>
      <c r="F314" s="28" t="str">
        <f t="shared" si="16"/>
        <v>PT751015</v>
      </c>
      <c r="G314" s="28" t="str">
        <f t="shared" si="17"/>
        <v>N/A</v>
      </c>
      <c r="H314" s="25" t="str">
        <f t="shared" si="18"/>
        <v>PI751015IO.MA</v>
      </c>
      <c r="I314" s="25" t="str">
        <f t="shared" si="19"/>
        <v>N/A</v>
      </c>
    </row>
    <row r="315" spans="2:9" x14ac:dyDescent="0.25">
      <c r="B315" s="27" t="s">
        <v>18</v>
      </c>
      <c r="C315" s="27" t="s">
        <v>640</v>
      </c>
      <c r="D315" s="27">
        <v>1</v>
      </c>
      <c r="E315" s="27" t="s">
        <v>641</v>
      </c>
      <c r="F315" s="28" t="str">
        <f t="shared" si="16"/>
        <v>PT752023</v>
      </c>
      <c r="G315" s="28" t="str">
        <f t="shared" si="17"/>
        <v>N/A</v>
      </c>
      <c r="H315" s="25" t="str">
        <f t="shared" si="18"/>
        <v>PI752023IO.MA</v>
      </c>
      <c r="I315" s="25" t="str">
        <f t="shared" si="19"/>
        <v>N/A</v>
      </c>
    </row>
    <row r="316" spans="2:9" x14ac:dyDescent="0.25">
      <c r="B316" s="27" t="s">
        <v>18</v>
      </c>
      <c r="C316" s="27" t="s">
        <v>642</v>
      </c>
      <c r="D316" s="27">
        <v>0</v>
      </c>
      <c r="E316" s="27" t="s">
        <v>643</v>
      </c>
      <c r="F316" s="28" t="str">
        <f t="shared" si="16"/>
        <v>PT760011</v>
      </c>
      <c r="G316" s="28" t="str">
        <f t="shared" si="17"/>
        <v>N/A</v>
      </c>
      <c r="H316" s="25" t="str">
        <f t="shared" si="18"/>
        <v>PI760011IO.MA</v>
      </c>
      <c r="I316" s="25" t="str">
        <f t="shared" si="19"/>
        <v>N/A</v>
      </c>
    </row>
    <row r="317" spans="2:9" x14ac:dyDescent="0.25">
      <c r="B317" s="27" t="s">
        <v>18</v>
      </c>
      <c r="C317" s="27" t="s">
        <v>644</v>
      </c>
      <c r="D317" s="27">
        <v>0</v>
      </c>
      <c r="E317" s="27" t="s">
        <v>645</v>
      </c>
      <c r="F317" s="28" t="str">
        <f t="shared" si="16"/>
        <v>PT760019</v>
      </c>
      <c r="G317" s="28" t="str">
        <f t="shared" si="17"/>
        <v>N/A</v>
      </c>
      <c r="H317" s="25" t="str">
        <f t="shared" si="18"/>
        <v>PI760019IO.MA</v>
      </c>
      <c r="I317" s="25" t="str">
        <f t="shared" si="19"/>
        <v>N/A</v>
      </c>
    </row>
    <row r="318" spans="2:9" x14ac:dyDescent="0.25">
      <c r="B318" s="27" t="s">
        <v>18</v>
      </c>
      <c r="C318" s="27" t="s">
        <v>646</v>
      </c>
      <c r="D318" s="27">
        <v>0</v>
      </c>
      <c r="E318" s="27" t="s">
        <v>647</v>
      </c>
      <c r="F318" s="28" t="str">
        <f t="shared" si="16"/>
        <v>PT760045</v>
      </c>
      <c r="G318" s="28" t="str">
        <f t="shared" si="17"/>
        <v>N/A</v>
      </c>
      <c r="H318" s="25" t="str">
        <f t="shared" si="18"/>
        <v>PI760045IO.MA</v>
      </c>
      <c r="I318" s="25" t="str">
        <f t="shared" si="19"/>
        <v>N/A</v>
      </c>
    </row>
    <row r="319" spans="2:9" x14ac:dyDescent="0.25">
      <c r="B319" s="27" t="s">
        <v>18</v>
      </c>
      <c r="C319" s="27" t="s">
        <v>648</v>
      </c>
      <c r="D319" s="27">
        <v>0</v>
      </c>
      <c r="E319" s="27" t="s">
        <v>649</v>
      </c>
      <c r="F319" s="28" t="str">
        <f t="shared" si="16"/>
        <v>PT760055</v>
      </c>
      <c r="G319" s="28" t="str">
        <f t="shared" si="17"/>
        <v>N/A</v>
      </c>
      <c r="H319" s="25" t="str">
        <f t="shared" si="18"/>
        <v>PI760055IO.MA</v>
      </c>
      <c r="I319" s="25" t="str">
        <f t="shared" si="19"/>
        <v>N/A</v>
      </c>
    </row>
    <row r="320" spans="2:9" x14ac:dyDescent="0.25">
      <c r="B320" s="27" t="s">
        <v>18</v>
      </c>
      <c r="C320" s="27" t="s">
        <v>650</v>
      </c>
      <c r="D320" s="27">
        <v>0</v>
      </c>
      <c r="E320" s="27" t="s">
        <v>651</v>
      </c>
      <c r="F320" s="28" t="str">
        <f t="shared" si="16"/>
        <v>PT760123</v>
      </c>
      <c r="G320" s="28" t="str">
        <f t="shared" si="17"/>
        <v>N/A</v>
      </c>
      <c r="H320" s="25" t="str">
        <f t="shared" si="18"/>
        <v>PI760123IO.MA</v>
      </c>
      <c r="I320" s="25" t="str">
        <f t="shared" si="19"/>
        <v>N/A</v>
      </c>
    </row>
    <row r="321" spans="2:9" x14ac:dyDescent="0.25">
      <c r="B321" s="27" t="s">
        <v>18</v>
      </c>
      <c r="C321" s="27" t="s">
        <v>652</v>
      </c>
      <c r="D321" s="27">
        <v>0</v>
      </c>
      <c r="E321" s="27" t="s">
        <v>653</v>
      </c>
      <c r="F321" s="28" t="str">
        <f t="shared" si="16"/>
        <v>PT760133</v>
      </c>
      <c r="G321" s="28" t="str">
        <f t="shared" si="17"/>
        <v>N/A</v>
      </c>
      <c r="H321" s="25" t="str">
        <f t="shared" si="18"/>
        <v>PI760133IO.MA</v>
      </c>
      <c r="I321" s="25" t="str">
        <f t="shared" si="19"/>
        <v>N/A</v>
      </c>
    </row>
    <row r="322" spans="2:9" x14ac:dyDescent="0.25">
      <c r="B322" s="27" t="s">
        <v>18</v>
      </c>
      <c r="C322" s="27" t="s">
        <v>654</v>
      </c>
      <c r="D322" s="27">
        <v>0</v>
      </c>
      <c r="E322" s="27" t="s">
        <v>655</v>
      </c>
      <c r="F322" s="28" t="str">
        <f t="shared" ref="F322:F385" si="20">+LEFT(E322,FIND(".",E322,1)-1)</f>
        <v>PT760201</v>
      </c>
      <c r="G322" s="28" t="str">
        <f t="shared" ref="G322:G385" si="21">+IFERROR(IF(LEFT(VLOOKUP(F322,DI,6,FALSE),2)="IO",2,0),"N/A")</f>
        <v>N/A</v>
      </c>
      <c r="H322" s="25" t="str">
        <f t="shared" ref="H322:H385" si="22">+CONCATENATE(C322,".MA")</f>
        <v>PI760201IO.MA</v>
      </c>
      <c r="I322" s="25" t="str">
        <f t="shared" si="19"/>
        <v>N/A</v>
      </c>
    </row>
    <row r="323" spans="2:9" x14ac:dyDescent="0.25">
      <c r="B323" s="27" t="s">
        <v>18</v>
      </c>
      <c r="C323" s="27" t="s">
        <v>656</v>
      </c>
      <c r="D323" s="27">
        <v>0</v>
      </c>
      <c r="E323" s="27" t="s">
        <v>657</v>
      </c>
      <c r="F323" s="28" t="str">
        <f t="shared" si="20"/>
        <v>PT760202</v>
      </c>
      <c r="G323" s="28" t="str">
        <f t="shared" si="21"/>
        <v>N/A</v>
      </c>
      <c r="H323" s="25" t="str">
        <f t="shared" si="22"/>
        <v>PI760202IO.MA</v>
      </c>
      <c r="I323" s="25" t="str">
        <f t="shared" ref="I323:I386" si="23">+G323</f>
        <v>N/A</v>
      </c>
    </row>
    <row r="324" spans="2:9" x14ac:dyDescent="0.25">
      <c r="B324" s="27" t="s">
        <v>18</v>
      </c>
      <c r="C324" s="27" t="s">
        <v>658</v>
      </c>
      <c r="D324" s="27">
        <v>0</v>
      </c>
      <c r="E324" s="27" t="s">
        <v>659</v>
      </c>
      <c r="F324" s="28" t="str">
        <f t="shared" si="20"/>
        <v>PT760227</v>
      </c>
      <c r="G324" s="28" t="str">
        <f t="shared" si="21"/>
        <v>N/A</v>
      </c>
      <c r="H324" s="25" t="str">
        <f t="shared" si="22"/>
        <v>PI760227IO.MA</v>
      </c>
      <c r="I324" s="25" t="str">
        <f t="shared" si="23"/>
        <v>N/A</v>
      </c>
    </row>
    <row r="325" spans="2:9" x14ac:dyDescent="0.25">
      <c r="B325" s="27" t="s">
        <v>18</v>
      </c>
      <c r="C325" s="27" t="s">
        <v>660</v>
      </c>
      <c r="D325" s="27">
        <v>0</v>
      </c>
      <c r="E325" s="27" t="s">
        <v>661</v>
      </c>
      <c r="F325" s="28" t="str">
        <f t="shared" si="20"/>
        <v>PT760237</v>
      </c>
      <c r="G325" s="28" t="str">
        <f t="shared" si="21"/>
        <v>N/A</v>
      </c>
      <c r="H325" s="25" t="str">
        <f t="shared" si="22"/>
        <v>PI760237IO.MA</v>
      </c>
      <c r="I325" s="25" t="str">
        <f t="shared" si="23"/>
        <v>N/A</v>
      </c>
    </row>
    <row r="326" spans="2:9" x14ac:dyDescent="0.25">
      <c r="B326" s="27" t="s">
        <v>18</v>
      </c>
      <c r="C326" s="27" t="s">
        <v>662</v>
      </c>
      <c r="D326" s="27">
        <v>0</v>
      </c>
      <c r="E326" s="27" t="s">
        <v>663</v>
      </c>
      <c r="F326" s="28" t="str">
        <f t="shared" si="20"/>
        <v>PT761004</v>
      </c>
      <c r="G326" s="28" t="str">
        <f t="shared" si="21"/>
        <v>N/A</v>
      </c>
      <c r="H326" s="25" t="str">
        <f t="shared" si="22"/>
        <v>PI761004IO.MA</v>
      </c>
      <c r="I326" s="25" t="str">
        <f t="shared" si="23"/>
        <v>N/A</v>
      </c>
    </row>
    <row r="327" spans="2:9" x14ac:dyDescent="0.25">
      <c r="B327" s="27" t="s">
        <v>18</v>
      </c>
      <c r="C327" s="27" t="s">
        <v>664</v>
      </c>
      <c r="D327" s="27">
        <v>1</v>
      </c>
      <c r="E327" s="27" t="s">
        <v>665</v>
      </c>
      <c r="F327" s="28" t="str">
        <f t="shared" si="20"/>
        <v>PT761015</v>
      </c>
      <c r="G327" s="28" t="str">
        <f t="shared" si="21"/>
        <v>N/A</v>
      </c>
      <c r="H327" s="25" t="str">
        <f t="shared" si="22"/>
        <v>PI761015IO.MA</v>
      </c>
      <c r="I327" s="25" t="str">
        <f t="shared" si="23"/>
        <v>N/A</v>
      </c>
    </row>
    <row r="328" spans="2:9" x14ac:dyDescent="0.25">
      <c r="B328" s="27" t="s">
        <v>18</v>
      </c>
      <c r="C328" s="27" t="s">
        <v>666</v>
      </c>
      <c r="D328" s="27">
        <v>1</v>
      </c>
      <c r="E328" s="27" t="s">
        <v>667</v>
      </c>
      <c r="F328" s="28" t="str">
        <f t="shared" si="20"/>
        <v>PT762018</v>
      </c>
      <c r="G328" s="28" t="str">
        <f t="shared" si="21"/>
        <v>N/A</v>
      </c>
      <c r="H328" s="25" t="str">
        <f t="shared" si="22"/>
        <v>PI762018IO.MA</v>
      </c>
      <c r="I328" s="25" t="str">
        <f t="shared" si="23"/>
        <v>N/A</v>
      </c>
    </row>
    <row r="329" spans="2:9" x14ac:dyDescent="0.25">
      <c r="B329" s="27" t="s">
        <v>18</v>
      </c>
      <c r="C329" s="27" t="s">
        <v>668</v>
      </c>
      <c r="D329" s="27">
        <v>0</v>
      </c>
      <c r="E329" s="27" t="s">
        <v>669</v>
      </c>
      <c r="F329" s="28" t="str">
        <f t="shared" si="20"/>
        <v>PT763004</v>
      </c>
      <c r="G329" s="28" t="str">
        <f t="shared" si="21"/>
        <v>N/A</v>
      </c>
      <c r="H329" s="25" t="str">
        <f t="shared" si="22"/>
        <v>PI763004IO.MA</v>
      </c>
      <c r="I329" s="25" t="str">
        <f t="shared" si="23"/>
        <v>N/A</v>
      </c>
    </row>
    <row r="330" spans="2:9" x14ac:dyDescent="0.25">
      <c r="B330" s="27" t="s">
        <v>18</v>
      </c>
      <c r="C330" s="27" t="s">
        <v>670</v>
      </c>
      <c r="D330" s="27">
        <v>0</v>
      </c>
      <c r="E330" s="27" t="s">
        <v>671</v>
      </c>
      <c r="F330" s="28" t="str">
        <f t="shared" si="20"/>
        <v>PT763018</v>
      </c>
      <c r="G330" s="28" t="str">
        <f t="shared" si="21"/>
        <v>N/A</v>
      </c>
      <c r="H330" s="25" t="str">
        <f t="shared" si="22"/>
        <v>PI763018IO.MA</v>
      </c>
      <c r="I330" s="25" t="str">
        <f t="shared" si="23"/>
        <v>N/A</v>
      </c>
    </row>
    <row r="331" spans="2:9" x14ac:dyDescent="0.25">
      <c r="B331" s="27" t="s">
        <v>18</v>
      </c>
      <c r="C331" s="27" t="s">
        <v>672</v>
      </c>
      <c r="D331" s="27">
        <v>0</v>
      </c>
      <c r="E331" s="27" t="s">
        <v>673</v>
      </c>
      <c r="F331" s="28" t="str">
        <f t="shared" si="20"/>
        <v>PT764004</v>
      </c>
      <c r="G331" s="28" t="str">
        <f t="shared" si="21"/>
        <v>N/A</v>
      </c>
      <c r="H331" s="25" t="str">
        <f t="shared" si="22"/>
        <v>PI764004IO.MA</v>
      </c>
      <c r="I331" s="25" t="str">
        <f t="shared" si="23"/>
        <v>N/A</v>
      </c>
    </row>
    <row r="332" spans="2:9" x14ac:dyDescent="0.25">
      <c r="B332" s="27" t="s">
        <v>18</v>
      </c>
      <c r="C332" s="27" t="s">
        <v>674</v>
      </c>
      <c r="D332" s="27">
        <v>0</v>
      </c>
      <c r="E332" s="27" t="s">
        <v>675</v>
      </c>
      <c r="F332" s="28" t="str">
        <f t="shared" si="20"/>
        <v>PT764018</v>
      </c>
      <c r="G332" s="28" t="str">
        <f t="shared" si="21"/>
        <v>N/A</v>
      </c>
      <c r="H332" s="25" t="str">
        <f t="shared" si="22"/>
        <v>PI764018IO.MA</v>
      </c>
      <c r="I332" s="25" t="str">
        <f t="shared" si="23"/>
        <v>N/A</v>
      </c>
    </row>
    <row r="333" spans="2:9" x14ac:dyDescent="0.25">
      <c r="B333" s="27" t="s">
        <v>18</v>
      </c>
      <c r="C333" s="27" t="s">
        <v>676</v>
      </c>
      <c r="D333" s="27">
        <v>0</v>
      </c>
      <c r="E333" s="27" t="s">
        <v>677</v>
      </c>
      <c r="F333" s="28" t="str">
        <f t="shared" si="20"/>
        <v>PT790007</v>
      </c>
      <c r="G333" s="28" t="str">
        <f t="shared" si="21"/>
        <v>N/A</v>
      </c>
      <c r="H333" s="25" t="str">
        <f t="shared" si="22"/>
        <v>PI790007IO.MA</v>
      </c>
      <c r="I333" s="25" t="str">
        <f t="shared" si="23"/>
        <v>N/A</v>
      </c>
    </row>
    <row r="334" spans="2:9" x14ac:dyDescent="0.25">
      <c r="B334" s="27" t="s">
        <v>18</v>
      </c>
      <c r="C334" s="27" t="s">
        <v>678</v>
      </c>
      <c r="D334" s="27">
        <v>0</v>
      </c>
      <c r="E334" s="27" t="s">
        <v>679</v>
      </c>
      <c r="F334" s="28" t="str">
        <f t="shared" si="20"/>
        <v>PT790012</v>
      </c>
      <c r="G334" s="28" t="str">
        <f t="shared" si="21"/>
        <v>N/A</v>
      </c>
      <c r="H334" s="25" t="str">
        <f t="shared" si="22"/>
        <v>PI790012IO.MA</v>
      </c>
      <c r="I334" s="25" t="str">
        <f t="shared" si="23"/>
        <v>N/A</v>
      </c>
    </row>
    <row r="335" spans="2:9" x14ac:dyDescent="0.25">
      <c r="B335" s="27" t="s">
        <v>18</v>
      </c>
      <c r="C335" s="27" t="s">
        <v>680</v>
      </c>
      <c r="D335" s="27">
        <v>0</v>
      </c>
      <c r="E335" s="27" t="s">
        <v>681</v>
      </c>
      <c r="F335" s="28" t="str">
        <f t="shared" si="20"/>
        <v>PT791003</v>
      </c>
      <c r="G335" s="28" t="str">
        <f t="shared" si="21"/>
        <v>N/A</v>
      </c>
      <c r="H335" s="25" t="str">
        <f t="shared" si="22"/>
        <v>PI791003IO.MA</v>
      </c>
      <c r="I335" s="25" t="str">
        <f t="shared" si="23"/>
        <v>N/A</v>
      </c>
    </row>
    <row r="336" spans="2:9" x14ac:dyDescent="0.25">
      <c r="B336" s="27" t="s">
        <v>18</v>
      </c>
      <c r="C336" s="27" t="s">
        <v>682</v>
      </c>
      <c r="D336" s="27">
        <v>0</v>
      </c>
      <c r="E336" s="27" t="s">
        <v>683</v>
      </c>
      <c r="F336" s="28" t="str">
        <f t="shared" si="20"/>
        <v>PT791006</v>
      </c>
      <c r="G336" s="28" t="str">
        <f t="shared" si="21"/>
        <v>N/A</v>
      </c>
      <c r="H336" s="25" t="str">
        <f t="shared" si="22"/>
        <v>PI791006IO.MA</v>
      </c>
      <c r="I336" s="25" t="str">
        <f t="shared" si="23"/>
        <v>N/A</v>
      </c>
    </row>
    <row r="337" spans="2:9" x14ac:dyDescent="0.25">
      <c r="B337" s="27" t="s">
        <v>18</v>
      </c>
      <c r="C337" s="27" t="s">
        <v>684</v>
      </c>
      <c r="D337" s="27">
        <v>0</v>
      </c>
      <c r="E337" s="27" t="s">
        <v>685</v>
      </c>
      <c r="F337" s="28" t="str">
        <f t="shared" si="20"/>
        <v>PT792005</v>
      </c>
      <c r="G337" s="28" t="str">
        <f t="shared" si="21"/>
        <v>N/A</v>
      </c>
      <c r="H337" s="25" t="str">
        <f t="shared" si="22"/>
        <v>PI792005IO.MA</v>
      </c>
      <c r="I337" s="25" t="str">
        <f t="shared" si="23"/>
        <v>N/A</v>
      </c>
    </row>
    <row r="338" spans="2:9" x14ac:dyDescent="0.25">
      <c r="B338" s="27" t="s">
        <v>18</v>
      </c>
      <c r="C338" s="27" t="s">
        <v>686</v>
      </c>
      <c r="D338" s="27">
        <v>0</v>
      </c>
      <c r="E338" s="27" t="s">
        <v>687</v>
      </c>
      <c r="F338" s="28" t="str">
        <f t="shared" si="20"/>
        <v>PT792007</v>
      </c>
      <c r="G338" s="28" t="str">
        <f t="shared" si="21"/>
        <v>N/A</v>
      </c>
      <c r="H338" s="25" t="str">
        <f t="shared" si="22"/>
        <v>PI792007IO.MA</v>
      </c>
      <c r="I338" s="25" t="str">
        <f t="shared" si="23"/>
        <v>N/A</v>
      </c>
    </row>
    <row r="339" spans="2:9" x14ac:dyDescent="0.25">
      <c r="B339" s="27" t="s">
        <v>18</v>
      </c>
      <c r="C339" s="27" t="s">
        <v>688</v>
      </c>
      <c r="D339" s="27">
        <v>1</v>
      </c>
      <c r="E339" s="27" t="s">
        <v>689</v>
      </c>
      <c r="F339" s="28" t="str">
        <f t="shared" si="20"/>
        <v>PT794005</v>
      </c>
      <c r="G339" s="28" t="str">
        <f t="shared" si="21"/>
        <v>N/A</v>
      </c>
      <c r="H339" s="25" t="str">
        <f t="shared" si="22"/>
        <v>PI794005IO.MA</v>
      </c>
      <c r="I339" s="25" t="str">
        <f t="shared" si="23"/>
        <v>N/A</v>
      </c>
    </row>
    <row r="340" spans="2:9" x14ac:dyDescent="0.25">
      <c r="B340" s="27" t="s">
        <v>18</v>
      </c>
      <c r="C340" s="27" t="s">
        <v>690</v>
      </c>
      <c r="D340" s="27">
        <v>1</v>
      </c>
      <c r="E340" s="27" t="s">
        <v>691</v>
      </c>
      <c r="F340" s="28" t="str">
        <f t="shared" si="20"/>
        <v>PT794010</v>
      </c>
      <c r="G340" s="28" t="str">
        <f t="shared" si="21"/>
        <v>N/A</v>
      </c>
      <c r="H340" s="25" t="str">
        <f t="shared" si="22"/>
        <v>PI794010IO.MA</v>
      </c>
      <c r="I340" s="25" t="str">
        <f t="shared" si="23"/>
        <v>N/A</v>
      </c>
    </row>
    <row r="341" spans="2:9" x14ac:dyDescent="0.25">
      <c r="B341" s="27" t="s">
        <v>18</v>
      </c>
      <c r="C341" s="27" t="s">
        <v>692</v>
      </c>
      <c r="D341" s="27">
        <v>0</v>
      </c>
      <c r="E341" s="27" t="s">
        <v>693</v>
      </c>
      <c r="F341" s="28" t="str">
        <f t="shared" si="20"/>
        <v>PT796003</v>
      </c>
      <c r="G341" s="28" t="str">
        <f t="shared" si="21"/>
        <v>N/A</v>
      </c>
      <c r="H341" s="25" t="str">
        <f t="shared" si="22"/>
        <v>PI796003IO.MA</v>
      </c>
      <c r="I341" s="25" t="str">
        <f t="shared" si="23"/>
        <v>N/A</v>
      </c>
    </row>
    <row r="342" spans="2:9" x14ac:dyDescent="0.25">
      <c r="B342" s="27" t="s">
        <v>18</v>
      </c>
      <c r="C342" s="27" t="s">
        <v>694</v>
      </c>
      <c r="D342" s="27">
        <v>0</v>
      </c>
      <c r="E342" s="27" t="s">
        <v>695</v>
      </c>
      <c r="F342" s="28" t="str">
        <f t="shared" si="20"/>
        <v>PT796004</v>
      </c>
      <c r="G342" s="28" t="str">
        <f t="shared" si="21"/>
        <v>N/A</v>
      </c>
      <c r="H342" s="25" t="str">
        <f t="shared" si="22"/>
        <v>PI796004IO.MA</v>
      </c>
      <c r="I342" s="25" t="str">
        <f t="shared" si="23"/>
        <v>N/A</v>
      </c>
    </row>
    <row r="343" spans="2:9" x14ac:dyDescent="0.25">
      <c r="B343" s="27" t="s">
        <v>18</v>
      </c>
      <c r="C343" s="27" t="s">
        <v>696</v>
      </c>
      <c r="D343" s="27">
        <v>0</v>
      </c>
      <c r="E343" s="27" t="s">
        <v>697</v>
      </c>
      <c r="F343" s="28" t="str">
        <f t="shared" si="20"/>
        <v>PT799010</v>
      </c>
      <c r="G343" s="28" t="str">
        <f t="shared" si="21"/>
        <v>N/A</v>
      </c>
      <c r="H343" s="25" t="str">
        <f t="shared" si="22"/>
        <v>PI799010IO.MA</v>
      </c>
      <c r="I343" s="25" t="str">
        <f t="shared" si="23"/>
        <v>N/A</v>
      </c>
    </row>
    <row r="344" spans="2:9" x14ac:dyDescent="0.25">
      <c r="B344" s="27" t="s">
        <v>18</v>
      </c>
      <c r="C344" s="27" t="s">
        <v>698</v>
      </c>
      <c r="D344" s="27">
        <v>0</v>
      </c>
      <c r="E344" s="27" t="s">
        <v>699</v>
      </c>
      <c r="F344" s="28" t="str">
        <f t="shared" si="20"/>
        <v>TT700004</v>
      </c>
      <c r="G344" s="28" t="str">
        <f t="shared" si="21"/>
        <v>N/A</v>
      </c>
      <c r="H344" s="25" t="str">
        <f t="shared" si="22"/>
        <v>TI700004IO.MA</v>
      </c>
      <c r="I344" s="25" t="str">
        <f t="shared" si="23"/>
        <v>N/A</v>
      </c>
    </row>
    <row r="345" spans="2:9" x14ac:dyDescent="0.25">
      <c r="B345" s="27" t="s">
        <v>18</v>
      </c>
      <c r="C345" s="27" t="s">
        <v>700</v>
      </c>
      <c r="D345" s="27">
        <v>0</v>
      </c>
      <c r="E345" s="27" t="s">
        <v>701</v>
      </c>
      <c r="F345" s="28" t="str">
        <f t="shared" si="20"/>
        <v>TT701013</v>
      </c>
      <c r="G345" s="28" t="str">
        <f t="shared" si="21"/>
        <v>N/A</v>
      </c>
      <c r="H345" s="25" t="str">
        <f t="shared" si="22"/>
        <v>TI701013IO.MA</v>
      </c>
      <c r="I345" s="25" t="str">
        <f t="shared" si="23"/>
        <v>N/A</v>
      </c>
    </row>
    <row r="346" spans="2:9" x14ac:dyDescent="0.25">
      <c r="B346" s="27" t="s">
        <v>18</v>
      </c>
      <c r="C346" s="27" t="s">
        <v>702</v>
      </c>
      <c r="D346" s="27">
        <v>0</v>
      </c>
      <c r="E346" s="27" t="s">
        <v>703</v>
      </c>
      <c r="F346" s="28" t="str">
        <f t="shared" si="20"/>
        <v>TT703014A</v>
      </c>
      <c r="G346" s="28" t="str">
        <f t="shared" si="21"/>
        <v>N/A</v>
      </c>
      <c r="H346" s="25" t="str">
        <f t="shared" si="22"/>
        <v>TI703014A_2oo3IO_MA1.MA</v>
      </c>
      <c r="I346" s="25" t="str">
        <f t="shared" si="23"/>
        <v>N/A</v>
      </c>
    </row>
    <row r="347" spans="2:9" x14ac:dyDescent="0.25">
      <c r="B347" s="27" t="s">
        <v>18</v>
      </c>
      <c r="C347" s="27" t="s">
        <v>704</v>
      </c>
      <c r="D347" s="27">
        <v>0</v>
      </c>
      <c r="E347" s="27" t="s">
        <v>705</v>
      </c>
      <c r="F347" s="28" t="str">
        <f t="shared" si="20"/>
        <v>TT703014B</v>
      </c>
      <c r="G347" s="28" t="str">
        <f t="shared" si="21"/>
        <v>N/A</v>
      </c>
      <c r="H347" s="25" t="str">
        <f t="shared" si="22"/>
        <v>TI703014A_2oo3IO_MA2.MA</v>
      </c>
      <c r="I347" s="25" t="str">
        <f t="shared" si="23"/>
        <v>N/A</v>
      </c>
    </row>
    <row r="348" spans="2:9" x14ac:dyDescent="0.25">
      <c r="B348" s="27" t="s">
        <v>18</v>
      </c>
      <c r="C348" s="27" t="s">
        <v>706</v>
      </c>
      <c r="D348" s="27">
        <v>0</v>
      </c>
      <c r="E348" s="27" t="s">
        <v>707</v>
      </c>
      <c r="F348" s="28" t="str">
        <f t="shared" si="20"/>
        <v>TT703014C</v>
      </c>
      <c r="G348" s="28" t="str">
        <f t="shared" si="21"/>
        <v>N/A</v>
      </c>
      <c r="H348" s="25" t="str">
        <f t="shared" si="22"/>
        <v>TI703014A_2oo3IO_MA3.MA</v>
      </c>
      <c r="I348" s="25" t="str">
        <f t="shared" si="23"/>
        <v>N/A</v>
      </c>
    </row>
    <row r="349" spans="2:9" x14ac:dyDescent="0.25">
      <c r="B349" s="27" t="s">
        <v>18</v>
      </c>
      <c r="C349" s="27" t="s">
        <v>708</v>
      </c>
      <c r="D349" s="27">
        <v>0</v>
      </c>
      <c r="E349" s="27" t="s">
        <v>709</v>
      </c>
      <c r="F349" s="28" t="str">
        <f t="shared" si="20"/>
        <v>TT704001</v>
      </c>
      <c r="G349" s="28" t="str">
        <f t="shared" si="21"/>
        <v>N/A</v>
      </c>
      <c r="H349" s="25" t="str">
        <f t="shared" si="22"/>
        <v>TI704001IO.MA</v>
      </c>
      <c r="I349" s="25" t="str">
        <f t="shared" si="23"/>
        <v>N/A</v>
      </c>
    </row>
    <row r="350" spans="2:9" x14ac:dyDescent="0.25">
      <c r="B350" s="27" t="s">
        <v>18</v>
      </c>
      <c r="C350" s="27" t="s">
        <v>710</v>
      </c>
      <c r="D350" s="27">
        <v>0</v>
      </c>
      <c r="E350" s="27" t="s">
        <v>711</v>
      </c>
      <c r="F350" s="28" t="str">
        <f t="shared" si="20"/>
        <v>TT704002</v>
      </c>
      <c r="G350" s="28" t="str">
        <f t="shared" si="21"/>
        <v>N/A</v>
      </c>
      <c r="H350" s="25" t="str">
        <f t="shared" si="22"/>
        <v>TI704002IO.MA</v>
      </c>
      <c r="I350" s="25" t="str">
        <f t="shared" si="23"/>
        <v>N/A</v>
      </c>
    </row>
    <row r="351" spans="2:9" x14ac:dyDescent="0.25">
      <c r="B351" s="27" t="s">
        <v>18</v>
      </c>
      <c r="C351" s="27" t="s">
        <v>712</v>
      </c>
      <c r="D351" s="27">
        <v>0</v>
      </c>
      <c r="E351" s="27" t="s">
        <v>713</v>
      </c>
      <c r="F351" s="28" t="str">
        <f t="shared" si="20"/>
        <v>TT704003</v>
      </c>
      <c r="G351" s="28" t="str">
        <f t="shared" si="21"/>
        <v>N/A</v>
      </c>
      <c r="H351" s="25" t="str">
        <f t="shared" si="22"/>
        <v>TI704003IO.MA</v>
      </c>
      <c r="I351" s="25" t="str">
        <f t="shared" si="23"/>
        <v>N/A</v>
      </c>
    </row>
    <row r="352" spans="2:9" x14ac:dyDescent="0.25">
      <c r="B352" s="27" t="s">
        <v>18</v>
      </c>
      <c r="C352" s="27" t="s">
        <v>714</v>
      </c>
      <c r="D352" s="27">
        <v>0</v>
      </c>
      <c r="E352" s="27" t="s">
        <v>715</v>
      </c>
      <c r="F352" s="28" t="str">
        <f t="shared" si="20"/>
        <v>TT704004</v>
      </c>
      <c r="G352" s="28" t="str">
        <f t="shared" si="21"/>
        <v>N/A</v>
      </c>
      <c r="H352" s="25" t="str">
        <f t="shared" si="22"/>
        <v>TI704004IO.MA</v>
      </c>
      <c r="I352" s="25" t="str">
        <f t="shared" si="23"/>
        <v>N/A</v>
      </c>
    </row>
    <row r="353" spans="2:9" x14ac:dyDescent="0.25">
      <c r="B353" s="27" t="s">
        <v>18</v>
      </c>
      <c r="C353" s="27" t="s">
        <v>716</v>
      </c>
      <c r="D353" s="27">
        <v>0</v>
      </c>
      <c r="E353" s="27" t="s">
        <v>717</v>
      </c>
      <c r="F353" s="28" t="str">
        <f t="shared" si="20"/>
        <v>TT704005</v>
      </c>
      <c r="G353" s="28" t="str">
        <f t="shared" si="21"/>
        <v>N/A</v>
      </c>
      <c r="H353" s="25" t="str">
        <f t="shared" si="22"/>
        <v>TI704005IO.MA</v>
      </c>
      <c r="I353" s="25" t="str">
        <f t="shared" si="23"/>
        <v>N/A</v>
      </c>
    </row>
    <row r="354" spans="2:9" x14ac:dyDescent="0.25">
      <c r="B354" s="27" t="s">
        <v>18</v>
      </c>
      <c r="C354" s="27" t="s">
        <v>718</v>
      </c>
      <c r="D354" s="27">
        <v>0</v>
      </c>
      <c r="E354" s="27" t="s">
        <v>719</v>
      </c>
      <c r="F354" s="28" t="str">
        <f t="shared" si="20"/>
        <v>TT704006</v>
      </c>
      <c r="G354" s="28" t="str">
        <f t="shared" si="21"/>
        <v>N/A</v>
      </c>
      <c r="H354" s="25" t="str">
        <f t="shared" si="22"/>
        <v>TI704006IO.MA</v>
      </c>
      <c r="I354" s="25" t="str">
        <f t="shared" si="23"/>
        <v>N/A</v>
      </c>
    </row>
    <row r="355" spans="2:9" x14ac:dyDescent="0.25">
      <c r="B355" s="27" t="s">
        <v>18</v>
      </c>
      <c r="C355" s="27" t="s">
        <v>720</v>
      </c>
      <c r="D355" s="27">
        <v>0</v>
      </c>
      <c r="E355" s="27" t="s">
        <v>721</v>
      </c>
      <c r="F355" s="28" t="str">
        <f t="shared" si="20"/>
        <v>TT704007</v>
      </c>
      <c r="G355" s="28" t="str">
        <f t="shared" si="21"/>
        <v>N/A</v>
      </c>
      <c r="H355" s="25" t="str">
        <f t="shared" si="22"/>
        <v>TI704007IO.MA</v>
      </c>
      <c r="I355" s="25" t="str">
        <f t="shared" si="23"/>
        <v>N/A</v>
      </c>
    </row>
    <row r="356" spans="2:9" x14ac:dyDescent="0.25">
      <c r="B356" s="27" t="s">
        <v>18</v>
      </c>
      <c r="C356" s="27" t="s">
        <v>722</v>
      </c>
      <c r="D356" s="27">
        <v>0</v>
      </c>
      <c r="E356" s="27" t="s">
        <v>723</v>
      </c>
      <c r="F356" s="28" t="str">
        <f t="shared" si="20"/>
        <v>TT705006</v>
      </c>
      <c r="G356" s="28" t="str">
        <f t="shared" si="21"/>
        <v>N/A</v>
      </c>
      <c r="H356" s="25" t="str">
        <f t="shared" si="22"/>
        <v>TI705006IO.MA</v>
      </c>
      <c r="I356" s="25" t="str">
        <f t="shared" si="23"/>
        <v>N/A</v>
      </c>
    </row>
    <row r="357" spans="2:9" x14ac:dyDescent="0.25">
      <c r="B357" s="27" t="s">
        <v>18</v>
      </c>
      <c r="C357" s="27" t="s">
        <v>724</v>
      </c>
      <c r="D357" s="27">
        <v>0</v>
      </c>
      <c r="E357" s="27" t="s">
        <v>725</v>
      </c>
      <c r="F357" s="28" t="str">
        <f t="shared" si="20"/>
        <v>TT720004</v>
      </c>
      <c r="G357" s="28" t="str">
        <f t="shared" si="21"/>
        <v>N/A</v>
      </c>
      <c r="H357" s="25" t="str">
        <f t="shared" si="22"/>
        <v>TI720004IO.MA</v>
      </c>
      <c r="I357" s="25" t="str">
        <f t="shared" si="23"/>
        <v>N/A</v>
      </c>
    </row>
    <row r="358" spans="2:9" x14ac:dyDescent="0.25">
      <c r="B358" s="27" t="s">
        <v>18</v>
      </c>
      <c r="C358" s="27" t="s">
        <v>726</v>
      </c>
      <c r="D358" s="27">
        <v>0</v>
      </c>
      <c r="E358" s="27" t="s">
        <v>727</v>
      </c>
      <c r="F358" s="28" t="str">
        <f t="shared" si="20"/>
        <v>TT720006</v>
      </c>
      <c r="G358" s="28" t="str">
        <f t="shared" si="21"/>
        <v>N/A</v>
      </c>
      <c r="H358" s="25" t="str">
        <f t="shared" si="22"/>
        <v>TI720006IO.MA</v>
      </c>
      <c r="I358" s="25" t="str">
        <f t="shared" si="23"/>
        <v>N/A</v>
      </c>
    </row>
    <row r="359" spans="2:9" x14ac:dyDescent="0.25">
      <c r="B359" s="27" t="s">
        <v>18</v>
      </c>
      <c r="C359" s="27" t="s">
        <v>728</v>
      </c>
      <c r="D359" s="27">
        <v>0</v>
      </c>
      <c r="E359" s="27" t="s">
        <v>729</v>
      </c>
      <c r="F359" s="28" t="str">
        <f t="shared" si="20"/>
        <v>TT721004</v>
      </c>
      <c r="G359" s="28" t="str">
        <f t="shared" si="21"/>
        <v>N/A</v>
      </c>
      <c r="H359" s="25" t="str">
        <f t="shared" si="22"/>
        <v>TI721004IO.MA</v>
      </c>
      <c r="I359" s="25" t="str">
        <f t="shared" si="23"/>
        <v>N/A</v>
      </c>
    </row>
    <row r="360" spans="2:9" x14ac:dyDescent="0.25">
      <c r="B360" s="27" t="s">
        <v>18</v>
      </c>
      <c r="C360" s="27" t="s">
        <v>730</v>
      </c>
      <c r="D360" s="27">
        <v>0</v>
      </c>
      <c r="E360" s="27" t="s">
        <v>731</v>
      </c>
      <c r="F360" s="28" t="str">
        <f t="shared" si="20"/>
        <v>TT721006</v>
      </c>
      <c r="G360" s="28" t="str">
        <f t="shared" si="21"/>
        <v>N/A</v>
      </c>
      <c r="H360" s="25" t="str">
        <f t="shared" si="22"/>
        <v>TI721006IO.MA</v>
      </c>
      <c r="I360" s="25" t="str">
        <f t="shared" si="23"/>
        <v>N/A</v>
      </c>
    </row>
    <row r="361" spans="2:9" x14ac:dyDescent="0.25">
      <c r="B361" s="27" t="s">
        <v>18</v>
      </c>
      <c r="C361" s="27" t="s">
        <v>732</v>
      </c>
      <c r="D361" s="27">
        <v>0</v>
      </c>
      <c r="E361" s="27" t="s">
        <v>733</v>
      </c>
      <c r="F361" s="28" t="str">
        <f t="shared" si="20"/>
        <v>TT722004</v>
      </c>
      <c r="G361" s="28" t="str">
        <f t="shared" si="21"/>
        <v>N/A</v>
      </c>
      <c r="H361" s="25" t="str">
        <f t="shared" si="22"/>
        <v>TI722004IO.MA</v>
      </c>
      <c r="I361" s="25" t="str">
        <f t="shared" si="23"/>
        <v>N/A</v>
      </c>
    </row>
    <row r="362" spans="2:9" x14ac:dyDescent="0.25">
      <c r="B362" s="27" t="s">
        <v>18</v>
      </c>
      <c r="C362" s="27" t="s">
        <v>734</v>
      </c>
      <c r="D362" s="27">
        <v>0</v>
      </c>
      <c r="E362" s="27" t="s">
        <v>735</v>
      </c>
      <c r="F362" s="28" t="str">
        <f t="shared" si="20"/>
        <v>TT722006</v>
      </c>
      <c r="G362" s="28" t="str">
        <f t="shared" si="21"/>
        <v>N/A</v>
      </c>
      <c r="H362" s="25" t="str">
        <f t="shared" si="22"/>
        <v>TI722006IO.MA</v>
      </c>
      <c r="I362" s="25" t="str">
        <f t="shared" si="23"/>
        <v>N/A</v>
      </c>
    </row>
    <row r="363" spans="2:9" x14ac:dyDescent="0.25">
      <c r="B363" s="27" t="s">
        <v>18</v>
      </c>
      <c r="C363" s="27" t="s">
        <v>736</v>
      </c>
      <c r="D363" s="27">
        <v>0</v>
      </c>
      <c r="E363" s="27" t="s">
        <v>737</v>
      </c>
      <c r="F363" s="28" t="str">
        <f t="shared" si="20"/>
        <v>TT722201</v>
      </c>
      <c r="G363" s="28" t="str">
        <f t="shared" si="21"/>
        <v>N/A</v>
      </c>
      <c r="H363" s="25" t="str">
        <f t="shared" si="22"/>
        <v>TI722201IO.MA</v>
      </c>
      <c r="I363" s="25" t="str">
        <f t="shared" si="23"/>
        <v>N/A</v>
      </c>
    </row>
    <row r="364" spans="2:9" x14ac:dyDescent="0.25">
      <c r="B364" s="27" t="s">
        <v>18</v>
      </c>
      <c r="C364" s="27" t="s">
        <v>738</v>
      </c>
      <c r="D364" s="27">
        <v>0</v>
      </c>
      <c r="E364" s="27" t="s">
        <v>739</v>
      </c>
      <c r="F364" s="28" t="str">
        <f t="shared" si="20"/>
        <v>TT730004</v>
      </c>
      <c r="G364" s="28" t="str">
        <f t="shared" si="21"/>
        <v>N/A</v>
      </c>
      <c r="H364" s="25" t="str">
        <f t="shared" si="22"/>
        <v>TI730004IO.MA</v>
      </c>
      <c r="I364" s="25" t="str">
        <f t="shared" si="23"/>
        <v>N/A</v>
      </c>
    </row>
    <row r="365" spans="2:9" x14ac:dyDescent="0.25">
      <c r="B365" s="27" t="s">
        <v>18</v>
      </c>
      <c r="C365" s="27" t="s">
        <v>740</v>
      </c>
      <c r="D365" s="27">
        <v>0</v>
      </c>
      <c r="E365" s="27" t="s">
        <v>741</v>
      </c>
      <c r="F365" s="28" t="str">
        <f t="shared" si="20"/>
        <v>TT730008</v>
      </c>
      <c r="G365" s="28" t="str">
        <f t="shared" si="21"/>
        <v>N/A</v>
      </c>
      <c r="H365" s="25" t="str">
        <f t="shared" si="22"/>
        <v>TI730008IO.MA</v>
      </c>
      <c r="I365" s="25" t="str">
        <f t="shared" si="23"/>
        <v>N/A</v>
      </c>
    </row>
    <row r="366" spans="2:9" x14ac:dyDescent="0.25">
      <c r="B366" s="27" t="s">
        <v>18</v>
      </c>
      <c r="C366" s="27" t="s">
        <v>742</v>
      </c>
      <c r="D366" s="27">
        <v>0</v>
      </c>
      <c r="E366" s="27" t="s">
        <v>743</v>
      </c>
      <c r="F366" s="28" t="str">
        <f t="shared" si="20"/>
        <v>TT730009</v>
      </c>
      <c r="G366" s="28" t="str">
        <f t="shared" si="21"/>
        <v>N/A</v>
      </c>
      <c r="H366" s="25" t="str">
        <f t="shared" si="22"/>
        <v>TI730009IO.MA</v>
      </c>
      <c r="I366" s="25" t="str">
        <f t="shared" si="23"/>
        <v>N/A</v>
      </c>
    </row>
    <row r="367" spans="2:9" x14ac:dyDescent="0.25">
      <c r="B367" s="27" t="s">
        <v>18</v>
      </c>
      <c r="C367" s="27" t="s">
        <v>744</v>
      </c>
      <c r="D367" s="27">
        <v>0</v>
      </c>
      <c r="E367" s="27" t="s">
        <v>745</v>
      </c>
      <c r="F367" s="28" t="str">
        <f t="shared" si="20"/>
        <v>TT730022</v>
      </c>
      <c r="G367" s="28" t="str">
        <f t="shared" si="21"/>
        <v>N/A</v>
      </c>
      <c r="H367" s="25" t="str">
        <f t="shared" si="22"/>
        <v>TI730022IO.MA</v>
      </c>
      <c r="I367" s="25" t="str">
        <f t="shared" si="23"/>
        <v>N/A</v>
      </c>
    </row>
    <row r="368" spans="2:9" x14ac:dyDescent="0.25">
      <c r="B368" s="27" t="s">
        <v>18</v>
      </c>
      <c r="C368" s="27" t="s">
        <v>746</v>
      </c>
      <c r="D368" s="27">
        <v>0</v>
      </c>
      <c r="E368" s="27" t="s">
        <v>747</v>
      </c>
      <c r="F368" s="28" t="str">
        <f t="shared" si="20"/>
        <v>TT730023</v>
      </c>
      <c r="G368" s="28" t="str">
        <f t="shared" si="21"/>
        <v>N/A</v>
      </c>
      <c r="H368" s="25" t="str">
        <f t="shared" si="22"/>
        <v>TI730023IO.MA</v>
      </c>
      <c r="I368" s="25" t="str">
        <f t="shared" si="23"/>
        <v>N/A</v>
      </c>
    </row>
    <row r="369" spans="2:9" x14ac:dyDescent="0.25">
      <c r="B369" s="27" t="s">
        <v>18</v>
      </c>
      <c r="C369" s="27" t="s">
        <v>748</v>
      </c>
      <c r="D369" s="27">
        <v>0</v>
      </c>
      <c r="E369" s="27" t="s">
        <v>749</v>
      </c>
      <c r="F369" s="28" t="str">
        <f t="shared" si="20"/>
        <v>TT730202</v>
      </c>
      <c r="G369" s="28" t="str">
        <f t="shared" si="21"/>
        <v>N/A</v>
      </c>
      <c r="H369" s="25" t="str">
        <f t="shared" si="22"/>
        <v>TI730202IO.MA</v>
      </c>
      <c r="I369" s="25" t="str">
        <f t="shared" si="23"/>
        <v>N/A</v>
      </c>
    </row>
    <row r="370" spans="2:9" x14ac:dyDescent="0.25">
      <c r="B370" s="27" t="s">
        <v>18</v>
      </c>
      <c r="C370" s="27" t="s">
        <v>750</v>
      </c>
      <c r="D370" s="27">
        <v>0</v>
      </c>
      <c r="E370" s="27" t="s">
        <v>751</v>
      </c>
      <c r="F370" s="28" t="str">
        <f t="shared" si="20"/>
        <v>TT730413</v>
      </c>
      <c r="G370" s="28" t="str">
        <f t="shared" si="21"/>
        <v>N/A</v>
      </c>
      <c r="H370" s="25" t="str">
        <f t="shared" si="22"/>
        <v>TI730413IO.MA</v>
      </c>
      <c r="I370" s="25" t="str">
        <f t="shared" si="23"/>
        <v>N/A</v>
      </c>
    </row>
    <row r="371" spans="2:9" x14ac:dyDescent="0.25">
      <c r="B371" s="27" t="s">
        <v>18</v>
      </c>
      <c r="C371" s="27" t="s">
        <v>752</v>
      </c>
      <c r="D371" s="27">
        <v>0</v>
      </c>
      <c r="E371" s="27" t="s">
        <v>753</v>
      </c>
      <c r="F371" s="28" t="str">
        <f t="shared" si="20"/>
        <v>TT740008</v>
      </c>
      <c r="G371" s="28" t="str">
        <f t="shared" si="21"/>
        <v>N/A</v>
      </c>
      <c r="H371" s="25" t="str">
        <f t="shared" si="22"/>
        <v>TI740008IO.MA</v>
      </c>
      <c r="I371" s="25" t="str">
        <f t="shared" si="23"/>
        <v>N/A</v>
      </c>
    </row>
    <row r="372" spans="2:9" x14ac:dyDescent="0.25">
      <c r="B372" s="27" t="s">
        <v>18</v>
      </c>
      <c r="C372" s="27" t="s">
        <v>754</v>
      </c>
      <c r="D372" s="27">
        <v>0</v>
      </c>
      <c r="E372" s="27" t="s">
        <v>755</v>
      </c>
      <c r="F372" s="28" t="str">
        <f t="shared" si="20"/>
        <v>TT740009</v>
      </c>
      <c r="G372" s="28" t="str">
        <f t="shared" si="21"/>
        <v>N/A</v>
      </c>
      <c r="H372" s="25" t="str">
        <f t="shared" si="22"/>
        <v>TI740009IO.MA</v>
      </c>
      <c r="I372" s="25" t="str">
        <f t="shared" si="23"/>
        <v>N/A</v>
      </c>
    </row>
    <row r="373" spans="2:9" x14ac:dyDescent="0.25">
      <c r="B373" s="27" t="s">
        <v>18</v>
      </c>
      <c r="C373" s="27" t="s">
        <v>756</v>
      </c>
      <c r="D373" s="27">
        <v>0</v>
      </c>
      <c r="E373" s="27" t="s">
        <v>757</v>
      </c>
      <c r="F373" s="28" t="str">
        <f t="shared" si="20"/>
        <v>TT740010</v>
      </c>
      <c r="G373" s="28" t="str">
        <f t="shared" si="21"/>
        <v>N/A</v>
      </c>
      <c r="H373" s="25" t="str">
        <f t="shared" si="22"/>
        <v>TI740010IO.MA</v>
      </c>
      <c r="I373" s="25" t="str">
        <f t="shared" si="23"/>
        <v>N/A</v>
      </c>
    </row>
    <row r="374" spans="2:9" x14ac:dyDescent="0.25">
      <c r="B374" s="27" t="s">
        <v>18</v>
      </c>
      <c r="C374" s="27" t="s">
        <v>758</v>
      </c>
      <c r="D374" s="27">
        <v>0</v>
      </c>
      <c r="E374" s="27" t="s">
        <v>759</v>
      </c>
      <c r="F374" s="28" t="str">
        <f t="shared" si="20"/>
        <v>TT740013</v>
      </c>
      <c r="G374" s="28" t="str">
        <f t="shared" si="21"/>
        <v>N/A</v>
      </c>
      <c r="H374" s="25" t="str">
        <f t="shared" si="22"/>
        <v>TI740013IO.MA</v>
      </c>
      <c r="I374" s="25" t="str">
        <f t="shared" si="23"/>
        <v>N/A</v>
      </c>
    </row>
    <row r="375" spans="2:9" x14ac:dyDescent="0.25">
      <c r="B375" s="27" t="s">
        <v>18</v>
      </c>
      <c r="C375" s="27" t="s">
        <v>760</v>
      </c>
      <c r="D375" s="27">
        <v>0</v>
      </c>
      <c r="E375" s="27" t="s">
        <v>761</v>
      </c>
      <c r="F375" s="28" t="str">
        <f t="shared" si="20"/>
        <v>TT740110</v>
      </c>
      <c r="G375" s="28" t="str">
        <f t="shared" si="21"/>
        <v>N/A</v>
      </c>
      <c r="H375" s="25" t="str">
        <f t="shared" si="22"/>
        <v>TI740110IO.MA</v>
      </c>
      <c r="I375" s="25" t="str">
        <f t="shared" si="23"/>
        <v>N/A</v>
      </c>
    </row>
    <row r="376" spans="2:9" x14ac:dyDescent="0.25">
      <c r="B376" s="27" t="s">
        <v>18</v>
      </c>
      <c r="C376" s="27" t="s">
        <v>762</v>
      </c>
      <c r="D376" s="27">
        <v>0</v>
      </c>
      <c r="E376" s="27" t="s">
        <v>763</v>
      </c>
      <c r="F376" s="28" t="str">
        <f t="shared" si="20"/>
        <v>TT740204</v>
      </c>
      <c r="G376" s="28" t="str">
        <f t="shared" si="21"/>
        <v>N/A</v>
      </c>
      <c r="H376" s="25" t="str">
        <f t="shared" si="22"/>
        <v>TI740204IO.MA</v>
      </c>
      <c r="I376" s="25" t="str">
        <f t="shared" si="23"/>
        <v>N/A</v>
      </c>
    </row>
    <row r="377" spans="2:9" x14ac:dyDescent="0.25">
      <c r="B377" s="27" t="s">
        <v>18</v>
      </c>
      <c r="C377" s="27" t="s">
        <v>764</v>
      </c>
      <c r="D377" s="27">
        <v>0</v>
      </c>
      <c r="E377" s="27" t="s">
        <v>765</v>
      </c>
      <c r="F377" s="28" t="str">
        <f t="shared" si="20"/>
        <v>TT740220</v>
      </c>
      <c r="G377" s="28" t="str">
        <f t="shared" si="21"/>
        <v>N/A</v>
      </c>
      <c r="H377" s="25" t="str">
        <f t="shared" si="22"/>
        <v>TI740220IO.MA</v>
      </c>
      <c r="I377" s="25" t="str">
        <f t="shared" si="23"/>
        <v>N/A</v>
      </c>
    </row>
    <row r="378" spans="2:9" x14ac:dyDescent="0.25">
      <c r="B378" s="27" t="s">
        <v>18</v>
      </c>
      <c r="C378" s="27" t="s">
        <v>766</v>
      </c>
      <c r="D378" s="27">
        <v>0</v>
      </c>
      <c r="E378" s="27" t="s">
        <v>767</v>
      </c>
      <c r="F378" s="28" t="str">
        <f t="shared" si="20"/>
        <v>TT741009</v>
      </c>
      <c r="G378" s="28" t="str">
        <f t="shared" si="21"/>
        <v>N/A</v>
      </c>
      <c r="H378" s="25" t="str">
        <f t="shared" si="22"/>
        <v>TI741009IO.MA</v>
      </c>
      <c r="I378" s="25" t="str">
        <f t="shared" si="23"/>
        <v>N/A</v>
      </c>
    </row>
    <row r="379" spans="2:9" x14ac:dyDescent="0.25">
      <c r="B379" s="27" t="s">
        <v>18</v>
      </c>
      <c r="C379" s="27" t="s">
        <v>768</v>
      </c>
      <c r="D379" s="27">
        <v>0</v>
      </c>
      <c r="E379" s="27" t="s">
        <v>769</v>
      </c>
      <c r="F379" s="28" t="str">
        <f t="shared" si="20"/>
        <v>TT750008</v>
      </c>
      <c r="G379" s="28" t="str">
        <f t="shared" si="21"/>
        <v>N/A</v>
      </c>
      <c r="H379" s="25" t="str">
        <f t="shared" si="22"/>
        <v>TI750008IO.MA</v>
      </c>
      <c r="I379" s="25" t="str">
        <f t="shared" si="23"/>
        <v>N/A</v>
      </c>
    </row>
    <row r="380" spans="2:9" x14ac:dyDescent="0.25">
      <c r="B380" s="27" t="s">
        <v>18</v>
      </c>
      <c r="C380" s="27" t="s">
        <v>770</v>
      </c>
      <c r="D380" s="27">
        <v>0</v>
      </c>
      <c r="E380" s="27" t="s">
        <v>771</v>
      </c>
      <c r="F380" s="28" t="str">
        <f t="shared" si="20"/>
        <v>TT750009</v>
      </c>
      <c r="G380" s="28" t="str">
        <f t="shared" si="21"/>
        <v>N/A</v>
      </c>
      <c r="H380" s="25" t="str">
        <f t="shared" si="22"/>
        <v>TI750009IO.MA</v>
      </c>
      <c r="I380" s="25" t="str">
        <f t="shared" si="23"/>
        <v>N/A</v>
      </c>
    </row>
    <row r="381" spans="2:9" x14ac:dyDescent="0.25">
      <c r="B381" s="27" t="s">
        <v>18</v>
      </c>
      <c r="C381" s="27" t="s">
        <v>772</v>
      </c>
      <c r="D381" s="27">
        <v>0</v>
      </c>
      <c r="E381" s="27" t="s">
        <v>773</v>
      </c>
      <c r="F381" s="28" t="str">
        <f t="shared" si="20"/>
        <v>TT750010</v>
      </c>
      <c r="G381" s="28" t="str">
        <f t="shared" si="21"/>
        <v>N/A</v>
      </c>
      <c r="H381" s="25" t="str">
        <f t="shared" si="22"/>
        <v>TI750010IO.MA</v>
      </c>
      <c r="I381" s="25" t="str">
        <f t="shared" si="23"/>
        <v>N/A</v>
      </c>
    </row>
    <row r="382" spans="2:9" x14ac:dyDescent="0.25">
      <c r="B382" s="27" t="s">
        <v>18</v>
      </c>
      <c r="C382" s="27" t="s">
        <v>774</v>
      </c>
      <c r="D382" s="27">
        <v>0</v>
      </c>
      <c r="E382" s="27" t="s">
        <v>775</v>
      </c>
      <c r="F382" s="28" t="str">
        <f t="shared" si="20"/>
        <v>TT750013</v>
      </c>
      <c r="G382" s="28" t="str">
        <f t="shared" si="21"/>
        <v>N/A</v>
      </c>
      <c r="H382" s="25" t="str">
        <f t="shared" si="22"/>
        <v>TI750013IO.MA</v>
      </c>
      <c r="I382" s="25" t="str">
        <f t="shared" si="23"/>
        <v>N/A</v>
      </c>
    </row>
    <row r="383" spans="2:9" x14ac:dyDescent="0.25">
      <c r="B383" s="27" t="s">
        <v>18</v>
      </c>
      <c r="C383" s="27" t="s">
        <v>776</v>
      </c>
      <c r="D383" s="27">
        <v>0</v>
      </c>
      <c r="E383" s="27" t="s">
        <v>777</v>
      </c>
      <c r="F383" s="28" t="str">
        <f t="shared" si="20"/>
        <v>TT750110</v>
      </c>
      <c r="G383" s="28" t="str">
        <f t="shared" si="21"/>
        <v>N/A</v>
      </c>
      <c r="H383" s="25" t="str">
        <f t="shared" si="22"/>
        <v>TI750110IO.MA</v>
      </c>
      <c r="I383" s="25" t="str">
        <f t="shared" si="23"/>
        <v>N/A</v>
      </c>
    </row>
    <row r="384" spans="2:9" x14ac:dyDescent="0.25">
      <c r="B384" s="27" t="s">
        <v>18</v>
      </c>
      <c r="C384" s="27" t="s">
        <v>778</v>
      </c>
      <c r="D384" s="27">
        <v>0</v>
      </c>
      <c r="E384" s="27" t="s">
        <v>779</v>
      </c>
      <c r="F384" s="28" t="str">
        <f t="shared" si="20"/>
        <v>TT750204</v>
      </c>
      <c r="G384" s="28" t="str">
        <f t="shared" si="21"/>
        <v>N/A</v>
      </c>
      <c r="H384" s="25" t="str">
        <f t="shared" si="22"/>
        <v>TI750204IO.MA</v>
      </c>
      <c r="I384" s="25" t="str">
        <f t="shared" si="23"/>
        <v>N/A</v>
      </c>
    </row>
    <row r="385" spans="2:9" x14ac:dyDescent="0.25">
      <c r="B385" s="27" t="s">
        <v>18</v>
      </c>
      <c r="C385" s="27" t="s">
        <v>780</v>
      </c>
      <c r="D385" s="27">
        <v>0</v>
      </c>
      <c r="E385" s="27" t="s">
        <v>781</v>
      </c>
      <c r="F385" s="28" t="str">
        <f t="shared" si="20"/>
        <v>TT750220</v>
      </c>
      <c r="G385" s="28" t="str">
        <f t="shared" si="21"/>
        <v>N/A</v>
      </c>
      <c r="H385" s="25" t="str">
        <f t="shared" si="22"/>
        <v>TI750220IO.MA</v>
      </c>
      <c r="I385" s="25" t="str">
        <f t="shared" si="23"/>
        <v>N/A</v>
      </c>
    </row>
    <row r="386" spans="2:9" x14ac:dyDescent="0.25">
      <c r="B386" s="27" t="s">
        <v>18</v>
      </c>
      <c r="C386" s="27" t="s">
        <v>782</v>
      </c>
      <c r="D386" s="27">
        <v>0</v>
      </c>
      <c r="E386" s="27" t="s">
        <v>783</v>
      </c>
      <c r="F386" s="28" t="str">
        <f t="shared" ref="F386:F449" si="24">+LEFT(E386,FIND(".",E386,1)-1)</f>
        <v>TT751009</v>
      </c>
      <c r="G386" s="28" t="str">
        <f t="shared" ref="G386:G449" si="25">+IFERROR(IF(LEFT(VLOOKUP(F386,DI,6,FALSE),2)="IO",2,0),"N/A")</f>
        <v>N/A</v>
      </c>
      <c r="H386" s="25" t="str">
        <f t="shared" ref="H386:H449" si="26">+CONCATENATE(C386,".MA")</f>
        <v>TI751009IO.MA</v>
      </c>
      <c r="I386" s="25" t="str">
        <f t="shared" si="23"/>
        <v>N/A</v>
      </c>
    </row>
    <row r="387" spans="2:9" x14ac:dyDescent="0.25">
      <c r="B387" s="27" t="s">
        <v>18</v>
      </c>
      <c r="C387" s="27" t="s">
        <v>784</v>
      </c>
      <c r="D387" s="27">
        <v>0</v>
      </c>
      <c r="E387" s="27" t="s">
        <v>785</v>
      </c>
      <c r="F387" s="28" t="str">
        <f t="shared" si="24"/>
        <v>TT760008</v>
      </c>
      <c r="G387" s="28" t="str">
        <f t="shared" si="25"/>
        <v>N/A</v>
      </c>
      <c r="H387" s="25" t="str">
        <f t="shared" si="26"/>
        <v>TI760008IO.MA</v>
      </c>
      <c r="I387" s="25" t="str">
        <f t="shared" ref="I387:I450" si="27">+G387</f>
        <v>N/A</v>
      </c>
    </row>
    <row r="388" spans="2:9" x14ac:dyDescent="0.25">
      <c r="B388" s="27" t="s">
        <v>18</v>
      </c>
      <c r="C388" s="27" t="s">
        <v>786</v>
      </c>
      <c r="D388" s="27">
        <v>0</v>
      </c>
      <c r="E388" s="27" t="s">
        <v>787</v>
      </c>
      <c r="F388" s="28" t="str">
        <f t="shared" si="24"/>
        <v>TT760009</v>
      </c>
      <c r="G388" s="28" t="str">
        <f t="shared" si="25"/>
        <v>N/A</v>
      </c>
      <c r="H388" s="25" t="str">
        <f t="shared" si="26"/>
        <v>TI760009IO.MA</v>
      </c>
      <c r="I388" s="25" t="str">
        <f t="shared" si="27"/>
        <v>N/A</v>
      </c>
    </row>
    <row r="389" spans="2:9" x14ac:dyDescent="0.25">
      <c r="B389" s="27" t="s">
        <v>18</v>
      </c>
      <c r="C389" s="27" t="s">
        <v>788</v>
      </c>
      <c r="D389" s="27">
        <v>0</v>
      </c>
      <c r="E389" s="27" t="s">
        <v>789</v>
      </c>
      <c r="F389" s="28" t="str">
        <f t="shared" si="24"/>
        <v>TT760010</v>
      </c>
      <c r="G389" s="28" t="str">
        <f t="shared" si="25"/>
        <v>N/A</v>
      </c>
      <c r="H389" s="25" t="str">
        <f t="shared" si="26"/>
        <v>TI760010IO.MA</v>
      </c>
      <c r="I389" s="25" t="str">
        <f t="shared" si="27"/>
        <v>N/A</v>
      </c>
    </row>
    <row r="390" spans="2:9" x14ac:dyDescent="0.25">
      <c r="B390" s="27" t="s">
        <v>18</v>
      </c>
      <c r="C390" s="27" t="s">
        <v>790</v>
      </c>
      <c r="D390" s="27">
        <v>0</v>
      </c>
      <c r="E390" s="27" t="s">
        <v>791</v>
      </c>
      <c r="F390" s="28" t="str">
        <f t="shared" si="24"/>
        <v>TT760013</v>
      </c>
      <c r="G390" s="28" t="str">
        <f t="shared" si="25"/>
        <v>N/A</v>
      </c>
      <c r="H390" s="25" t="str">
        <f t="shared" si="26"/>
        <v>TI760013IO.MA</v>
      </c>
      <c r="I390" s="25" t="str">
        <f t="shared" si="27"/>
        <v>N/A</v>
      </c>
    </row>
    <row r="391" spans="2:9" x14ac:dyDescent="0.25">
      <c r="B391" s="27" t="s">
        <v>18</v>
      </c>
      <c r="C391" s="27" t="s">
        <v>792</v>
      </c>
      <c r="D391" s="27">
        <v>0</v>
      </c>
      <c r="E391" s="27" t="s">
        <v>793</v>
      </c>
      <c r="F391" s="28" t="str">
        <f t="shared" si="24"/>
        <v>TT760110</v>
      </c>
      <c r="G391" s="28" t="str">
        <f t="shared" si="25"/>
        <v>N/A</v>
      </c>
      <c r="H391" s="25" t="str">
        <f t="shared" si="26"/>
        <v>TI760110IO.MA</v>
      </c>
      <c r="I391" s="25" t="str">
        <f t="shared" si="27"/>
        <v>N/A</v>
      </c>
    </row>
    <row r="392" spans="2:9" x14ac:dyDescent="0.25">
      <c r="B392" s="27" t="s">
        <v>18</v>
      </c>
      <c r="C392" s="27" t="s">
        <v>794</v>
      </c>
      <c r="D392" s="27">
        <v>0</v>
      </c>
      <c r="E392" s="27" t="s">
        <v>795</v>
      </c>
      <c r="F392" s="28" t="str">
        <f t="shared" si="24"/>
        <v>TT760204</v>
      </c>
      <c r="G392" s="28" t="str">
        <f t="shared" si="25"/>
        <v>N/A</v>
      </c>
      <c r="H392" s="25" t="str">
        <f t="shared" si="26"/>
        <v>TI760204IO.MA</v>
      </c>
      <c r="I392" s="25" t="str">
        <f t="shared" si="27"/>
        <v>N/A</v>
      </c>
    </row>
    <row r="393" spans="2:9" x14ac:dyDescent="0.25">
      <c r="B393" s="27" t="s">
        <v>18</v>
      </c>
      <c r="C393" s="27" t="s">
        <v>796</v>
      </c>
      <c r="D393" s="27">
        <v>0</v>
      </c>
      <c r="E393" s="27" t="s">
        <v>797</v>
      </c>
      <c r="F393" s="28" t="str">
        <f t="shared" si="24"/>
        <v>TT760220</v>
      </c>
      <c r="G393" s="28" t="str">
        <f t="shared" si="25"/>
        <v>N/A</v>
      </c>
      <c r="H393" s="25" t="str">
        <f t="shared" si="26"/>
        <v>TI760220IO.MA</v>
      </c>
      <c r="I393" s="25" t="str">
        <f t="shared" si="27"/>
        <v>N/A</v>
      </c>
    </row>
    <row r="394" spans="2:9" x14ac:dyDescent="0.25">
      <c r="B394" s="27" t="s">
        <v>18</v>
      </c>
      <c r="C394" s="27" t="s">
        <v>798</v>
      </c>
      <c r="D394" s="27">
        <v>0</v>
      </c>
      <c r="E394" s="27" t="s">
        <v>799</v>
      </c>
      <c r="F394" s="28" t="str">
        <f t="shared" si="24"/>
        <v>TT761009</v>
      </c>
      <c r="G394" s="28" t="str">
        <f t="shared" si="25"/>
        <v>N/A</v>
      </c>
      <c r="H394" s="25" t="str">
        <f t="shared" si="26"/>
        <v>TI761009IO.MA</v>
      </c>
      <c r="I394" s="25" t="str">
        <f t="shared" si="27"/>
        <v>N/A</v>
      </c>
    </row>
    <row r="395" spans="2:9" x14ac:dyDescent="0.25">
      <c r="B395" s="27" t="s">
        <v>18</v>
      </c>
      <c r="C395" s="27" t="s">
        <v>800</v>
      </c>
      <c r="D395" s="27">
        <v>0</v>
      </c>
      <c r="E395" s="27" t="s">
        <v>801</v>
      </c>
      <c r="F395" s="28" t="str">
        <f t="shared" si="24"/>
        <v>TT763009</v>
      </c>
      <c r="G395" s="28" t="str">
        <f t="shared" si="25"/>
        <v>N/A</v>
      </c>
      <c r="H395" s="25" t="str">
        <f t="shared" si="26"/>
        <v>TI763009IO.MA</v>
      </c>
      <c r="I395" s="25" t="str">
        <f t="shared" si="27"/>
        <v>N/A</v>
      </c>
    </row>
    <row r="396" spans="2:9" x14ac:dyDescent="0.25">
      <c r="B396" s="27" t="s">
        <v>18</v>
      </c>
      <c r="C396" s="27" t="s">
        <v>802</v>
      </c>
      <c r="D396" s="27">
        <v>0</v>
      </c>
      <c r="E396" s="27" t="s">
        <v>803</v>
      </c>
      <c r="F396" s="28" t="str">
        <f t="shared" si="24"/>
        <v>TT764009</v>
      </c>
      <c r="G396" s="28" t="str">
        <f t="shared" si="25"/>
        <v>N/A</v>
      </c>
      <c r="H396" s="25" t="str">
        <f t="shared" si="26"/>
        <v>TI764009IO.MA</v>
      </c>
      <c r="I396" s="25" t="str">
        <f t="shared" si="27"/>
        <v>N/A</v>
      </c>
    </row>
    <row r="397" spans="2:9" x14ac:dyDescent="0.25">
      <c r="B397" s="27" t="s">
        <v>18</v>
      </c>
      <c r="C397" s="27" t="s">
        <v>804</v>
      </c>
      <c r="D397" s="27">
        <v>0</v>
      </c>
      <c r="E397" s="27" t="s">
        <v>805</v>
      </c>
      <c r="F397" s="28" t="str">
        <f t="shared" si="24"/>
        <v>TT790005</v>
      </c>
      <c r="G397" s="28" t="str">
        <f t="shared" si="25"/>
        <v>N/A</v>
      </c>
      <c r="H397" s="25" t="str">
        <f t="shared" si="26"/>
        <v>TI790005IO.MA</v>
      </c>
      <c r="I397" s="25" t="str">
        <f t="shared" si="27"/>
        <v>N/A</v>
      </c>
    </row>
    <row r="398" spans="2:9" x14ac:dyDescent="0.25">
      <c r="B398" s="27" t="s">
        <v>18</v>
      </c>
      <c r="C398" s="27" t="s">
        <v>806</v>
      </c>
      <c r="D398" s="27">
        <v>0</v>
      </c>
      <c r="E398" s="27" t="s">
        <v>807</v>
      </c>
      <c r="F398" s="28" t="str">
        <f t="shared" si="24"/>
        <v>TT791004</v>
      </c>
      <c r="G398" s="28" t="str">
        <f t="shared" si="25"/>
        <v>N/A</v>
      </c>
      <c r="H398" s="25" t="str">
        <f t="shared" si="26"/>
        <v>TI791004IO.MA</v>
      </c>
      <c r="I398" s="25" t="str">
        <f t="shared" si="27"/>
        <v>N/A</v>
      </c>
    </row>
    <row r="399" spans="2:9" x14ac:dyDescent="0.25">
      <c r="B399" s="27" t="s">
        <v>18</v>
      </c>
      <c r="C399" s="27" t="s">
        <v>808</v>
      </c>
      <c r="D399" s="27">
        <v>0</v>
      </c>
      <c r="E399" s="27" t="s">
        <v>809</v>
      </c>
      <c r="F399" s="28" t="str">
        <f t="shared" si="24"/>
        <v>TT791007</v>
      </c>
      <c r="G399" s="28" t="str">
        <f t="shared" si="25"/>
        <v>N/A</v>
      </c>
      <c r="H399" s="25" t="str">
        <f t="shared" si="26"/>
        <v>TI791007IO.MA</v>
      </c>
      <c r="I399" s="25" t="str">
        <f t="shared" si="27"/>
        <v>N/A</v>
      </c>
    </row>
    <row r="400" spans="2:9" x14ac:dyDescent="0.25">
      <c r="B400" s="27" t="s">
        <v>18</v>
      </c>
      <c r="C400" s="27" t="s">
        <v>810</v>
      </c>
      <c r="D400" s="27">
        <v>0</v>
      </c>
      <c r="E400" s="27" t="s">
        <v>811</v>
      </c>
      <c r="F400" s="28" t="str">
        <f t="shared" si="24"/>
        <v>TT793004</v>
      </c>
      <c r="G400" s="28" t="str">
        <f t="shared" si="25"/>
        <v>N/A</v>
      </c>
      <c r="H400" s="25" t="str">
        <f t="shared" si="26"/>
        <v>TI793004IO.MA</v>
      </c>
      <c r="I400" s="25" t="str">
        <f t="shared" si="27"/>
        <v>N/A</v>
      </c>
    </row>
    <row r="401" spans="2:9" x14ac:dyDescent="0.25">
      <c r="B401" s="27" t="s">
        <v>18</v>
      </c>
      <c r="C401" s="27" t="s">
        <v>812</v>
      </c>
      <c r="D401" s="27">
        <v>0</v>
      </c>
      <c r="E401" s="27" t="s">
        <v>813</v>
      </c>
      <c r="F401" s="28" t="str">
        <f t="shared" si="24"/>
        <v>TT799011</v>
      </c>
      <c r="G401" s="28" t="str">
        <f t="shared" si="25"/>
        <v>N/A</v>
      </c>
      <c r="H401" s="25" t="str">
        <f t="shared" si="26"/>
        <v>TI799011IO.MA</v>
      </c>
      <c r="I401" s="25" t="str">
        <f t="shared" si="27"/>
        <v>N/A</v>
      </c>
    </row>
    <row r="402" spans="2:9" x14ac:dyDescent="0.25">
      <c r="B402" s="27" t="s">
        <v>18</v>
      </c>
      <c r="C402" s="27" t="s">
        <v>814</v>
      </c>
      <c r="D402" s="27">
        <v>0</v>
      </c>
      <c r="E402" s="27" t="s">
        <v>815</v>
      </c>
      <c r="F402" s="28" t="str">
        <f t="shared" si="24"/>
        <v>TT799203</v>
      </c>
      <c r="G402" s="28" t="str">
        <f t="shared" si="25"/>
        <v>N/A</v>
      </c>
      <c r="H402" s="25" t="str">
        <f t="shared" si="26"/>
        <v>TI799203IO.MA</v>
      </c>
      <c r="I402" s="25" t="str">
        <f t="shared" si="27"/>
        <v>N/A</v>
      </c>
    </row>
    <row r="403" spans="2:9" x14ac:dyDescent="0.25">
      <c r="B403" s="27" t="s">
        <v>18</v>
      </c>
      <c r="C403" s="27" t="s">
        <v>816</v>
      </c>
      <c r="D403" s="27">
        <v>0</v>
      </c>
      <c r="E403" s="27" t="s">
        <v>817</v>
      </c>
      <c r="F403" s="28" t="str">
        <f t="shared" si="24"/>
        <v>TT799640</v>
      </c>
      <c r="G403" s="28" t="str">
        <f t="shared" si="25"/>
        <v>N/A</v>
      </c>
      <c r="H403" s="25" t="str">
        <f t="shared" si="26"/>
        <v>TI799640IO.MA</v>
      </c>
      <c r="I403" s="25" t="str">
        <f t="shared" si="27"/>
        <v>N/A</v>
      </c>
    </row>
    <row r="404" spans="2:9" x14ac:dyDescent="0.25">
      <c r="B404" s="27" t="s">
        <v>18</v>
      </c>
      <c r="C404" s="27" t="s">
        <v>818</v>
      </c>
      <c r="D404" s="27">
        <v>0</v>
      </c>
      <c r="E404" s="27" t="s">
        <v>819</v>
      </c>
      <c r="F404" s="28" t="str">
        <f t="shared" si="24"/>
        <v>TT799642</v>
      </c>
      <c r="G404" s="28" t="str">
        <f t="shared" si="25"/>
        <v>N/A</v>
      </c>
      <c r="H404" s="25" t="str">
        <f t="shared" si="26"/>
        <v>TI799642IO.MA</v>
      </c>
      <c r="I404" s="25" t="str">
        <f t="shared" si="27"/>
        <v>N/A</v>
      </c>
    </row>
    <row r="405" spans="2:9" x14ac:dyDescent="0.25">
      <c r="B405" s="27" t="s">
        <v>18</v>
      </c>
      <c r="C405" s="27" t="s">
        <v>820</v>
      </c>
      <c r="D405" s="27">
        <v>0</v>
      </c>
      <c r="E405" s="27" t="s">
        <v>821</v>
      </c>
      <c r="F405" s="28" t="str">
        <f t="shared" si="24"/>
        <v>TT799643</v>
      </c>
      <c r="G405" s="28" t="str">
        <f t="shared" si="25"/>
        <v>N/A</v>
      </c>
      <c r="H405" s="25" t="str">
        <f t="shared" si="26"/>
        <v>TI799643IO.MA</v>
      </c>
      <c r="I405" s="25" t="str">
        <f t="shared" si="27"/>
        <v>N/A</v>
      </c>
    </row>
    <row r="406" spans="2:9" x14ac:dyDescent="0.25">
      <c r="B406" s="27" t="s">
        <v>18</v>
      </c>
      <c r="C406" s="27" t="s">
        <v>822</v>
      </c>
      <c r="D406" s="27">
        <v>0</v>
      </c>
      <c r="E406" s="27" t="s">
        <v>823</v>
      </c>
      <c r="F406" s="28" t="str">
        <f t="shared" si="24"/>
        <v>XT799009</v>
      </c>
      <c r="G406" s="28" t="str">
        <f t="shared" si="25"/>
        <v>N/A</v>
      </c>
      <c r="H406" s="25" t="str">
        <f t="shared" si="26"/>
        <v>XI799009IO.MA</v>
      </c>
      <c r="I406" s="25" t="str">
        <f t="shared" si="27"/>
        <v>N/A</v>
      </c>
    </row>
    <row r="407" spans="2:9" x14ac:dyDescent="0.25">
      <c r="B407" s="27" t="s">
        <v>16</v>
      </c>
      <c r="C407" s="27" t="s">
        <v>1404</v>
      </c>
      <c r="D407" s="27">
        <v>2</v>
      </c>
      <c r="E407" s="27" t="s">
        <v>1405</v>
      </c>
      <c r="F407" s="28" t="str">
        <f t="shared" si="24"/>
        <v>AS740106A</v>
      </c>
      <c r="G407" s="28" t="str">
        <f t="shared" si="25"/>
        <v>N/A</v>
      </c>
      <c r="H407" s="25" t="str">
        <f t="shared" si="26"/>
        <v>AA740106AIO.MA</v>
      </c>
      <c r="I407" s="25" t="str">
        <f t="shared" si="27"/>
        <v>N/A</v>
      </c>
    </row>
    <row r="408" spans="2:9" x14ac:dyDescent="0.25">
      <c r="B408" s="27" t="s">
        <v>16</v>
      </c>
      <c r="C408" s="27" t="s">
        <v>1406</v>
      </c>
      <c r="D408" s="27">
        <v>2</v>
      </c>
      <c r="E408" s="27" t="s">
        <v>1407</v>
      </c>
      <c r="F408" s="28" t="str">
        <f t="shared" si="24"/>
        <v>AS740106B</v>
      </c>
      <c r="G408" s="28" t="str">
        <f t="shared" si="25"/>
        <v>N/A</v>
      </c>
      <c r="H408" s="25" t="str">
        <f t="shared" si="26"/>
        <v>AA740106BIO.MA</v>
      </c>
      <c r="I408" s="25" t="str">
        <f t="shared" si="27"/>
        <v>N/A</v>
      </c>
    </row>
    <row r="409" spans="2:9" x14ac:dyDescent="0.25">
      <c r="B409" s="27" t="s">
        <v>16</v>
      </c>
      <c r="C409" s="27" t="s">
        <v>1408</v>
      </c>
      <c r="D409" s="27">
        <v>2</v>
      </c>
      <c r="E409" s="27" t="s">
        <v>1409</v>
      </c>
      <c r="F409" s="28" t="str">
        <f t="shared" si="24"/>
        <v>AY740106</v>
      </c>
      <c r="G409" s="28" t="str">
        <f t="shared" si="25"/>
        <v>N/A</v>
      </c>
      <c r="H409" s="25" t="str">
        <f t="shared" si="26"/>
        <v>AA740106CIO.MA</v>
      </c>
      <c r="I409" s="25" t="str">
        <f t="shared" si="27"/>
        <v>N/A</v>
      </c>
    </row>
    <row r="410" spans="2:9" x14ac:dyDescent="0.25">
      <c r="B410" s="27" t="s">
        <v>16</v>
      </c>
      <c r="C410" s="27" t="s">
        <v>1410</v>
      </c>
      <c r="D410" s="27">
        <v>2</v>
      </c>
      <c r="E410" s="27" t="s">
        <v>1409</v>
      </c>
      <c r="F410" s="28" t="str">
        <f t="shared" si="24"/>
        <v>AY740106</v>
      </c>
      <c r="G410" s="28" t="str">
        <f t="shared" si="25"/>
        <v>N/A</v>
      </c>
      <c r="H410" s="25" t="str">
        <f t="shared" si="26"/>
        <v>AA740106DIO.MA</v>
      </c>
      <c r="I410" s="25" t="str">
        <f t="shared" si="27"/>
        <v>N/A</v>
      </c>
    </row>
    <row r="411" spans="2:9" x14ac:dyDescent="0.25">
      <c r="B411" s="27" t="s">
        <v>16</v>
      </c>
      <c r="C411" s="27" t="s">
        <v>1411</v>
      </c>
      <c r="D411" s="27">
        <v>2</v>
      </c>
      <c r="E411" s="27" t="s">
        <v>1412</v>
      </c>
      <c r="F411" s="28" t="str">
        <f t="shared" si="24"/>
        <v>AS750161A</v>
      </c>
      <c r="G411" s="28" t="str">
        <f t="shared" si="25"/>
        <v>N/A</v>
      </c>
      <c r="H411" s="25" t="str">
        <f t="shared" si="26"/>
        <v>AA750161AIO.MA</v>
      </c>
      <c r="I411" s="25" t="str">
        <f t="shared" si="27"/>
        <v>N/A</v>
      </c>
    </row>
    <row r="412" spans="2:9" x14ac:dyDescent="0.25">
      <c r="B412" s="27" t="s">
        <v>16</v>
      </c>
      <c r="C412" s="27" t="s">
        <v>1413</v>
      </c>
      <c r="D412" s="27">
        <v>2</v>
      </c>
      <c r="E412" s="27" t="s">
        <v>1414</v>
      </c>
      <c r="F412" s="28" t="str">
        <f t="shared" si="24"/>
        <v>AS750161B</v>
      </c>
      <c r="G412" s="28" t="str">
        <f t="shared" si="25"/>
        <v>N/A</v>
      </c>
      <c r="H412" s="25" t="str">
        <f t="shared" si="26"/>
        <v>AA750161BIO.MA</v>
      </c>
      <c r="I412" s="25" t="str">
        <f t="shared" si="27"/>
        <v>N/A</v>
      </c>
    </row>
    <row r="413" spans="2:9" x14ac:dyDescent="0.25">
      <c r="B413" s="27" t="s">
        <v>16</v>
      </c>
      <c r="C413" s="27" t="s">
        <v>1415</v>
      </c>
      <c r="D413" s="27">
        <v>2</v>
      </c>
      <c r="E413" s="27" t="s">
        <v>1416</v>
      </c>
      <c r="F413" s="28" t="str">
        <f t="shared" si="24"/>
        <v>AY740161</v>
      </c>
      <c r="G413" s="28" t="str">
        <f t="shared" si="25"/>
        <v>N/A</v>
      </c>
      <c r="H413" s="25" t="str">
        <f t="shared" si="26"/>
        <v>AA750161CIO.MA</v>
      </c>
      <c r="I413" s="25" t="str">
        <f t="shared" si="27"/>
        <v>N/A</v>
      </c>
    </row>
    <row r="414" spans="2:9" x14ac:dyDescent="0.25">
      <c r="B414" s="27" t="s">
        <v>16</v>
      </c>
      <c r="C414" s="27" t="s">
        <v>1417</v>
      </c>
      <c r="D414" s="27">
        <v>2</v>
      </c>
      <c r="E414" s="27" t="s">
        <v>1416</v>
      </c>
      <c r="F414" s="28" t="str">
        <f t="shared" si="24"/>
        <v>AY740161</v>
      </c>
      <c r="G414" s="28" t="str">
        <f t="shared" si="25"/>
        <v>N/A</v>
      </c>
      <c r="H414" s="25" t="str">
        <f t="shared" si="26"/>
        <v>AA750161DIO.MA</v>
      </c>
      <c r="I414" s="25" t="str">
        <f t="shared" si="27"/>
        <v>N/A</v>
      </c>
    </row>
    <row r="415" spans="2:9" x14ac:dyDescent="0.25">
      <c r="B415" s="27" t="s">
        <v>16</v>
      </c>
      <c r="C415" s="27" t="s">
        <v>1418</v>
      </c>
      <c r="D415" s="27">
        <v>2</v>
      </c>
      <c r="E415" s="27" t="s">
        <v>1419</v>
      </c>
      <c r="F415" s="28" t="str">
        <f t="shared" si="24"/>
        <v>AS760161A</v>
      </c>
      <c r="G415" s="28" t="str">
        <f t="shared" si="25"/>
        <v>N/A</v>
      </c>
      <c r="H415" s="25" t="str">
        <f t="shared" si="26"/>
        <v>AA760161AIO.MA</v>
      </c>
      <c r="I415" s="25" t="str">
        <f t="shared" si="27"/>
        <v>N/A</v>
      </c>
    </row>
    <row r="416" spans="2:9" x14ac:dyDescent="0.25">
      <c r="B416" s="27" t="s">
        <v>16</v>
      </c>
      <c r="C416" s="27" t="s">
        <v>1420</v>
      </c>
      <c r="D416" s="27">
        <v>2</v>
      </c>
      <c r="E416" s="27" t="s">
        <v>1421</v>
      </c>
      <c r="F416" s="28" t="str">
        <f t="shared" si="24"/>
        <v>AS760161B</v>
      </c>
      <c r="G416" s="28" t="str">
        <f t="shared" si="25"/>
        <v>N/A</v>
      </c>
      <c r="H416" s="25" t="str">
        <f t="shared" si="26"/>
        <v>AA760161BIO.MA</v>
      </c>
      <c r="I416" s="25" t="str">
        <f t="shared" si="27"/>
        <v>N/A</v>
      </c>
    </row>
    <row r="417" spans="2:9" x14ac:dyDescent="0.25">
      <c r="B417" s="27" t="s">
        <v>16</v>
      </c>
      <c r="C417" s="27" t="s">
        <v>1422</v>
      </c>
      <c r="D417" s="27">
        <v>2</v>
      </c>
      <c r="E417" s="27" t="s">
        <v>1423</v>
      </c>
      <c r="F417" s="28" t="str">
        <f t="shared" si="24"/>
        <v>ES799604</v>
      </c>
      <c r="G417" s="28" t="str">
        <f t="shared" si="25"/>
        <v>N/A</v>
      </c>
      <c r="H417" s="25" t="str">
        <f t="shared" si="26"/>
        <v>EA799604IO.MA</v>
      </c>
      <c r="I417" s="25" t="str">
        <f t="shared" si="27"/>
        <v>N/A</v>
      </c>
    </row>
    <row r="418" spans="2:9" x14ac:dyDescent="0.25">
      <c r="B418" s="27" t="s">
        <v>16</v>
      </c>
      <c r="C418" s="27" t="s">
        <v>1424</v>
      </c>
      <c r="D418" s="27">
        <v>2</v>
      </c>
      <c r="E418" s="27" t="s">
        <v>1425</v>
      </c>
      <c r="F418" s="28" t="str">
        <f t="shared" si="24"/>
        <v>ES799611</v>
      </c>
      <c r="G418" s="28" t="str">
        <f t="shared" si="25"/>
        <v>N/A</v>
      </c>
      <c r="H418" s="25" t="str">
        <f t="shared" si="26"/>
        <v>EA799611IO.MA</v>
      </c>
      <c r="I418" s="25" t="str">
        <f t="shared" si="27"/>
        <v>N/A</v>
      </c>
    </row>
    <row r="419" spans="2:9" x14ac:dyDescent="0.25">
      <c r="B419" s="27" t="s">
        <v>16</v>
      </c>
      <c r="C419" s="27" t="s">
        <v>1426</v>
      </c>
      <c r="D419" s="27">
        <v>2</v>
      </c>
      <c r="E419" s="27" t="s">
        <v>1427</v>
      </c>
      <c r="F419" s="28" t="str">
        <f t="shared" si="24"/>
        <v>FSL790007</v>
      </c>
      <c r="G419" s="28" t="str">
        <f t="shared" si="25"/>
        <v>N/A</v>
      </c>
      <c r="H419" s="25" t="str">
        <f t="shared" si="26"/>
        <v>FAL790007IO.MA</v>
      </c>
      <c r="I419" s="25" t="str">
        <f t="shared" si="27"/>
        <v>N/A</v>
      </c>
    </row>
    <row r="420" spans="2:9" x14ac:dyDescent="0.25">
      <c r="B420" s="27" t="s">
        <v>16</v>
      </c>
      <c r="C420" s="27" t="s">
        <v>1428</v>
      </c>
      <c r="D420" s="27">
        <v>0</v>
      </c>
      <c r="E420" s="27" t="s">
        <v>1429</v>
      </c>
      <c r="F420" s="28" t="str">
        <f t="shared" si="24"/>
        <v>A_EBV700010</v>
      </c>
      <c r="G420" s="28" t="str">
        <f t="shared" si="25"/>
        <v>N/A</v>
      </c>
      <c r="H420" s="25" t="str">
        <f t="shared" si="26"/>
        <v>HS700010IO_XGH.MA</v>
      </c>
      <c r="I420" s="25" t="str">
        <f t="shared" si="27"/>
        <v>N/A</v>
      </c>
    </row>
    <row r="421" spans="2:9" x14ac:dyDescent="0.25">
      <c r="B421" s="27" t="s">
        <v>16</v>
      </c>
      <c r="C421" s="27" t="s">
        <v>1430</v>
      </c>
      <c r="D421" s="27">
        <v>0</v>
      </c>
      <c r="E421" s="27" t="s">
        <v>1431</v>
      </c>
      <c r="F421" s="28" t="str">
        <f t="shared" si="24"/>
        <v>A_EBV700010</v>
      </c>
      <c r="G421" s="28" t="str">
        <f t="shared" si="25"/>
        <v>N/A</v>
      </c>
      <c r="H421" s="25" t="str">
        <f t="shared" si="26"/>
        <v>HS700010IO_XGL.MA</v>
      </c>
      <c r="I421" s="25" t="str">
        <f t="shared" si="27"/>
        <v>N/A</v>
      </c>
    </row>
    <row r="422" spans="2:9" x14ac:dyDescent="0.25">
      <c r="B422" s="27" t="s">
        <v>16</v>
      </c>
      <c r="C422" s="27" t="s">
        <v>1432</v>
      </c>
      <c r="D422" s="27">
        <v>0</v>
      </c>
      <c r="E422" s="27" t="s">
        <v>1433</v>
      </c>
      <c r="F422" s="28" t="str">
        <f t="shared" si="24"/>
        <v>A_EBV700011</v>
      </c>
      <c r="G422" s="28" t="str">
        <f t="shared" si="25"/>
        <v>N/A</v>
      </c>
      <c r="H422" s="25" t="str">
        <f t="shared" si="26"/>
        <v>HS700011IO_XGH.MA</v>
      </c>
      <c r="I422" s="25" t="str">
        <f t="shared" si="27"/>
        <v>N/A</v>
      </c>
    </row>
    <row r="423" spans="2:9" x14ac:dyDescent="0.25">
      <c r="B423" s="27" t="s">
        <v>16</v>
      </c>
      <c r="C423" s="27" t="s">
        <v>1434</v>
      </c>
      <c r="D423" s="27">
        <v>0</v>
      </c>
      <c r="E423" s="27" t="s">
        <v>1435</v>
      </c>
      <c r="F423" s="28" t="str">
        <f t="shared" si="24"/>
        <v>A_EBV700011</v>
      </c>
      <c r="G423" s="28" t="str">
        <f t="shared" si="25"/>
        <v>N/A</v>
      </c>
      <c r="H423" s="25" t="str">
        <f t="shared" si="26"/>
        <v>HS700011IO_XGL.MA</v>
      </c>
      <c r="I423" s="25" t="str">
        <f t="shared" si="27"/>
        <v>N/A</v>
      </c>
    </row>
    <row r="424" spans="2:9" x14ac:dyDescent="0.25">
      <c r="B424" s="27" t="s">
        <v>16</v>
      </c>
      <c r="C424" s="27" t="s">
        <v>1436</v>
      </c>
      <c r="D424" s="27">
        <v>0</v>
      </c>
      <c r="E424" s="27" t="s">
        <v>1437</v>
      </c>
      <c r="F424" s="28" t="str">
        <f t="shared" si="24"/>
        <v>A_ABV701010</v>
      </c>
      <c r="G424" s="28" t="str">
        <f t="shared" si="25"/>
        <v>N/A</v>
      </c>
      <c r="H424" s="25" t="str">
        <f t="shared" si="26"/>
        <v>HS701010IO_FB0.MA</v>
      </c>
      <c r="I424" s="25" t="str">
        <f t="shared" si="27"/>
        <v>N/A</v>
      </c>
    </row>
    <row r="425" spans="2:9" x14ac:dyDescent="0.25">
      <c r="B425" s="27" t="s">
        <v>16</v>
      </c>
      <c r="C425" s="27" t="s">
        <v>1438</v>
      </c>
      <c r="D425" s="27">
        <v>0</v>
      </c>
      <c r="E425" s="27" t="s">
        <v>1439</v>
      </c>
      <c r="F425" s="28" t="str">
        <f t="shared" si="24"/>
        <v>A_ABV701015</v>
      </c>
      <c r="G425" s="28" t="str">
        <f t="shared" si="25"/>
        <v>N/A</v>
      </c>
      <c r="H425" s="25" t="str">
        <f t="shared" si="26"/>
        <v>HS701015IO_FB0.MA</v>
      </c>
      <c r="I425" s="25" t="str">
        <f t="shared" si="27"/>
        <v>N/A</v>
      </c>
    </row>
    <row r="426" spans="2:9" x14ac:dyDescent="0.25">
      <c r="B426" s="27" t="s">
        <v>16</v>
      </c>
      <c r="C426" s="27" t="s">
        <v>1440</v>
      </c>
      <c r="D426" s="27">
        <v>0</v>
      </c>
      <c r="E426" s="27" t="s">
        <v>1441</v>
      </c>
      <c r="F426" s="28" t="str">
        <f t="shared" si="24"/>
        <v>A_ABV701102</v>
      </c>
      <c r="G426" s="28" t="str">
        <f t="shared" si="25"/>
        <v>N/A</v>
      </c>
      <c r="H426" s="25" t="str">
        <f t="shared" si="26"/>
        <v>HS701102IO_FB0.MA</v>
      </c>
      <c r="I426" s="25" t="str">
        <f t="shared" si="27"/>
        <v>N/A</v>
      </c>
    </row>
    <row r="427" spans="2:9" x14ac:dyDescent="0.25">
      <c r="B427" s="27" t="s">
        <v>16</v>
      </c>
      <c r="C427" s="27" t="s">
        <v>1442</v>
      </c>
      <c r="D427" s="27">
        <v>0</v>
      </c>
      <c r="E427" s="27" t="s">
        <v>1443</v>
      </c>
      <c r="F427" s="28" t="str">
        <f t="shared" si="24"/>
        <v>A_ABV701103</v>
      </c>
      <c r="G427" s="28" t="str">
        <f t="shared" si="25"/>
        <v>N/A</v>
      </c>
      <c r="H427" s="25" t="str">
        <f t="shared" si="26"/>
        <v>HS701103IO_FB1.MA</v>
      </c>
      <c r="I427" s="25" t="str">
        <f t="shared" si="27"/>
        <v>N/A</v>
      </c>
    </row>
    <row r="428" spans="2:9" x14ac:dyDescent="0.25">
      <c r="B428" s="27" t="s">
        <v>16</v>
      </c>
      <c r="C428" s="27" t="s">
        <v>1444</v>
      </c>
      <c r="D428" s="27">
        <v>0</v>
      </c>
      <c r="E428" s="27" t="s">
        <v>1445</v>
      </c>
      <c r="F428" s="28" t="str">
        <f t="shared" si="24"/>
        <v>A_ABV701131</v>
      </c>
      <c r="G428" s="28" t="str">
        <f t="shared" si="25"/>
        <v>N/A</v>
      </c>
      <c r="H428" s="25" t="str">
        <f t="shared" si="26"/>
        <v>HS701131IO_FB0.MA</v>
      </c>
      <c r="I428" s="25" t="str">
        <f t="shared" si="27"/>
        <v>N/A</v>
      </c>
    </row>
    <row r="429" spans="2:9" x14ac:dyDescent="0.25">
      <c r="B429" s="27" t="s">
        <v>16</v>
      </c>
      <c r="C429" s="27" t="s">
        <v>1446</v>
      </c>
      <c r="D429" s="27">
        <v>0</v>
      </c>
      <c r="E429" s="27" t="s">
        <v>1447</v>
      </c>
      <c r="F429" s="28" t="str">
        <f t="shared" si="24"/>
        <v>A_EBV703001</v>
      </c>
      <c r="G429" s="28" t="str">
        <f t="shared" si="25"/>
        <v>N/A</v>
      </c>
      <c r="H429" s="25" t="str">
        <f t="shared" si="26"/>
        <v>HS703001IO_FB0.MA</v>
      </c>
      <c r="I429" s="25" t="str">
        <f t="shared" si="27"/>
        <v>N/A</v>
      </c>
    </row>
    <row r="430" spans="2:9" x14ac:dyDescent="0.25">
      <c r="B430" s="27" t="s">
        <v>16</v>
      </c>
      <c r="C430" s="27" t="s">
        <v>1448</v>
      </c>
      <c r="D430" s="27">
        <v>0</v>
      </c>
      <c r="E430" s="27" t="s">
        <v>1449</v>
      </c>
      <c r="F430" s="28" t="str">
        <f t="shared" si="24"/>
        <v>A_EBV703001</v>
      </c>
      <c r="G430" s="28" t="str">
        <f t="shared" si="25"/>
        <v>N/A</v>
      </c>
      <c r="H430" s="25" t="str">
        <f t="shared" si="26"/>
        <v>HS703001IO_FB1.MA</v>
      </c>
      <c r="I430" s="25" t="str">
        <f t="shared" si="27"/>
        <v>N/A</v>
      </c>
    </row>
    <row r="431" spans="2:9" x14ac:dyDescent="0.25">
      <c r="B431" s="27" t="s">
        <v>16</v>
      </c>
      <c r="C431" s="27" t="s">
        <v>1450</v>
      </c>
      <c r="D431" s="27">
        <v>0</v>
      </c>
      <c r="E431" s="27" t="s">
        <v>1451</v>
      </c>
      <c r="F431" s="28" t="str">
        <f t="shared" si="24"/>
        <v>A_ABV703005</v>
      </c>
      <c r="G431" s="28" t="str">
        <f t="shared" si="25"/>
        <v>N/A</v>
      </c>
      <c r="H431" s="25" t="str">
        <f t="shared" si="26"/>
        <v>HS703005IO_XGH.MA</v>
      </c>
      <c r="I431" s="25" t="str">
        <f t="shared" si="27"/>
        <v>N/A</v>
      </c>
    </row>
    <row r="432" spans="2:9" x14ac:dyDescent="0.25">
      <c r="B432" s="27" t="s">
        <v>16</v>
      </c>
      <c r="C432" s="27" t="s">
        <v>1452</v>
      </c>
      <c r="D432" s="27">
        <v>0</v>
      </c>
      <c r="E432" s="27" t="s">
        <v>1453</v>
      </c>
      <c r="F432" s="28" t="str">
        <f t="shared" si="24"/>
        <v>A_ABV703005</v>
      </c>
      <c r="G432" s="28" t="str">
        <f t="shared" si="25"/>
        <v>N/A</v>
      </c>
      <c r="H432" s="25" t="str">
        <f t="shared" si="26"/>
        <v>HS703005IO_XGL.MA</v>
      </c>
      <c r="I432" s="25" t="str">
        <f t="shared" si="27"/>
        <v>N/A</v>
      </c>
    </row>
    <row r="433" spans="2:9" x14ac:dyDescent="0.25">
      <c r="B433" s="27" t="s">
        <v>16</v>
      </c>
      <c r="C433" s="27" t="s">
        <v>1454</v>
      </c>
      <c r="D433" s="27">
        <v>0</v>
      </c>
      <c r="E433" s="27" t="s">
        <v>1455</v>
      </c>
      <c r="F433" s="28" t="str">
        <f t="shared" si="24"/>
        <v>A_EBV703006</v>
      </c>
      <c r="G433" s="28" t="str">
        <f t="shared" si="25"/>
        <v>N/A</v>
      </c>
      <c r="H433" s="25" t="str">
        <f t="shared" si="26"/>
        <v>HS703006IO_XGH.MA</v>
      </c>
      <c r="I433" s="25" t="str">
        <f t="shared" si="27"/>
        <v>N/A</v>
      </c>
    </row>
    <row r="434" spans="2:9" x14ac:dyDescent="0.25">
      <c r="B434" s="27" t="s">
        <v>16</v>
      </c>
      <c r="C434" s="27" t="s">
        <v>1456</v>
      </c>
      <c r="D434" s="27">
        <v>0</v>
      </c>
      <c r="E434" s="27" t="s">
        <v>1457</v>
      </c>
      <c r="F434" s="28" t="str">
        <f t="shared" si="24"/>
        <v>A_EBV703006</v>
      </c>
      <c r="G434" s="28" t="str">
        <f t="shared" si="25"/>
        <v>N/A</v>
      </c>
      <c r="H434" s="25" t="str">
        <f t="shared" si="26"/>
        <v>HS703006IO_XGL.MA</v>
      </c>
      <c r="I434" s="25" t="str">
        <f t="shared" si="27"/>
        <v>N/A</v>
      </c>
    </row>
    <row r="435" spans="2:9" x14ac:dyDescent="0.25">
      <c r="B435" s="27" t="s">
        <v>16</v>
      </c>
      <c r="C435" s="27" t="s">
        <v>1458</v>
      </c>
      <c r="D435" s="27">
        <v>0</v>
      </c>
      <c r="E435" s="27" t="s">
        <v>1459</v>
      </c>
      <c r="F435" s="28" t="str">
        <f t="shared" si="24"/>
        <v>A_EBV703012</v>
      </c>
      <c r="G435" s="28" t="str">
        <f t="shared" si="25"/>
        <v>N/A</v>
      </c>
      <c r="H435" s="25" t="str">
        <f t="shared" si="26"/>
        <v>HS703012IO_XGH.MA</v>
      </c>
      <c r="I435" s="25" t="str">
        <f t="shared" si="27"/>
        <v>N/A</v>
      </c>
    </row>
    <row r="436" spans="2:9" x14ac:dyDescent="0.25">
      <c r="B436" s="27" t="s">
        <v>16</v>
      </c>
      <c r="C436" s="27" t="s">
        <v>1460</v>
      </c>
      <c r="D436" s="27">
        <v>0</v>
      </c>
      <c r="E436" s="27" t="s">
        <v>1461</v>
      </c>
      <c r="F436" s="28" t="str">
        <f t="shared" si="24"/>
        <v>A_EBV703012</v>
      </c>
      <c r="G436" s="28" t="str">
        <f t="shared" si="25"/>
        <v>N/A</v>
      </c>
      <c r="H436" s="25" t="str">
        <f t="shared" si="26"/>
        <v>HS703012IO_XGL.MA</v>
      </c>
      <c r="I436" s="25" t="str">
        <f t="shared" si="27"/>
        <v>N/A</v>
      </c>
    </row>
    <row r="437" spans="2:9" x14ac:dyDescent="0.25">
      <c r="B437" s="27" t="s">
        <v>16</v>
      </c>
      <c r="C437" s="27" t="s">
        <v>1462</v>
      </c>
      <c r="D437" s="27">
        <v>0</v>
      </c>
      <c r="E437" s="27" t="s">
        <v>1463</v>
      </c>
      <c r="F437" s="28" t="str">
        <f t="shared" si="24"/>
        <v>A_ABV703015</v>
      </c>
      <c r="G437" s="28" t="str">
        <f t="shared" si="25"/>
        <v>N/A</v>
      </c>
      <c r="H437" s="25" t="str">
        <f t="shared" si="26"/>
        <v>HS703015IO_FB0.MA</v>
      </c>
      <c r="I437" s="25" t="str">
        <f t="shared" si="27"/>
        <v>N/A</v>
      </c>
    </row>
    <row r="438" spans="2:9" x14ac:dyDescent="0.25">
      <c r="B438" s="27" t="s">
        <v>16</v>
      </c>
      <c r="C438" s="27" t="s">
        <v>1464</v>
      </c>
      <c r="D438" s="27">
        <v>0</v>
      </c>
      <c r="E438" s="27" t="s">
        <v>1465</v>
      </c>
      <c r="F438" s="28" t="str">
        <f t="shared" si="24"/>
        <v>A_ABV703015</v>
      </c>
      <c r="G438" s="28" t="str">
        <f t="shared" si="25"/>
        <v>N/A</v>
      </c>
      <c r="H438" s="25" t="str">
        <f t="shared" si="26"/>
        <v>HS703015IO_FB1.MA</v>
      </c>
      <c r="I438" s="25" t="str">
        <f t="shared" si="27"/>
        <v>N/A</v>
      </c>
    </row>
    <row r="439" spans="2:9" x14ac:dyDescent="0.25">
      <c r="B439" s="27" t="s">
        <v>16</v>
      </c>
      <c r="C439" s="27" t="s">
        <v>1466</v>
      </c>
      <c r="D439" s="27">
        <v>0</v>
      </c>
      <c r="E439" s="27" t="s">
        <v>1467</v>
      </c>
      <c r="F439" s="28" t="str">
        <f t="shared" si="24"/>
        <v>A_ABV703016</v>
      </c>
      <c r="G439" s="28" t="str">
        <f t="shared" si="25"/>
        <v>N/A</v>
      </c>
      <c r="H439" s="25" t="str">
        <f t="shared" si="26"/>
        <v>HS703016IO_FB1.MA</v>
      </c>
      <c r="I439" s="25" t="str">
        <f t="shared" si="27"/>
        <v>N/A</v>
      </c>
    </row>
    <row r="440" spans="2:9" x14ac:dyDescent="0.25">
      <c r="B440" s="27" t="s">
        <v>16</v>
      </c>
      <c r="C440" s="27" t="s">
        <v>1468</v>
      </c>
      <c r="D440" s="27">
        <v>0</v>
      </c>
      <c r="E440" s="27" t="s">
        <v>1469</v>
      </c>
      <c r="F440" s="28" t="str">
        <f t="shared" si="24"/>
        <v>A_ABV705001</v>
      </c>
      <c r="G440" s="28" t="str">
        <f t="shared" si="25"/>
        <v>N/A</v>
      </c>
      <c r="H440" s="25" t="str">
        <f t="shared" si="26"/>
        <v>HS705001IO_FB0.MA</v>
      </c>
      <c r="I440" s="25" t="str">
        <f t="shared" si="27"/>
        <v>N/A</v>
      </c>
    </row>
    <row r="441" spans="2:9" x14ac:dyDescent="0.25">
      <c r="B441" s="27" t="s">
        <v>16</v>
      </c>
      <c r="C441" s="27" t="s">
        <v>1470</v>
      </c>
      <c r="D441" s="27">
        <v>0</v>
      </c>
      <c r="E441" s="27" t="s">
        <v>1471</v>
      </c>
      <c r="F441" s="28" t="str">
        <f t="shared" si="24"/>
        <v>A_EBV720013</v>
      </c>
      <c r="G441" s="28" t="str">
        <f t="shared" si="25"/>
        <v>N/A</v>
      </c>
      <c r="H441" s="25" t="str">
        <f t="shared" si="26"/>
        <v>HS720013IO_XGH.MA</v>
      </c>
      <c r="I441" s="25" t="str">
        <f t="shared" si="27"/>
        <v>N/A</v>
      </c>
    </row>
    <row r="442" spans="2:9" x14ac:dyDescent="0.25">
      <c r="B442" s="27" t="s">
        <v>16</v>
      </c>
      <c r="C442" s="27" t="s">
        <v>1472</v>
      </c>
      <c r="D442" s="27">
        <v>0</v>
      </c>
      <c r="E442" s="27" t="s">
        <v>1473</v>
      </c>
      <c r="F442" s="28" t="str">
        <f t="shared" si="24"/>
        <v>A_EBV720013</v>
      </c>
      <c r="G442" s="28" t="str">
        <f t="shared" si="25"/>
        <v>N/A</v>
      </c>
      <c r="H442" s="25" t="str">
        <f t="shared" si="26"/>
        <v>HS720013IO_XGL.MA</v>
      </c>
      <c r="I442" s="25" t="str">
        <f t="shared" si="27"/>
        <v>N/A</v>
      </c>
    </row>
    <row r="443" spans="2:9" x14ac:dyDescent="0.25">
      <c r="B443" s="27" t="s">
        <v>16</v>
      </c>
      <c r="C443" s="27" t="s">
        <v>1474</v>
      </c>
      <c r="D443" s="27">
        <v>0</v>
      </c>
      <c r="E443" s="27" t="s">
        <v>1475</v>
      </c>
      <c r="F443" s="28" t="str">
        <f t="shared" si="24"/>
        <v>A_ABV720016</v>
      </c>
      <c r="G443" s="28" t="str">
        <f t="shared" si="25"/>
        <v>N/A</v>
      </c>
      <c r="H443" s="25" t="str">
        <f t="shared" si="26"/>
        <v>HS720016IO_XGL.MA</v>
      </c>
      <c r="I443" s="25" t="str">
        <f t="shared" si="27"/>
        <v>N/A</v>
      </c>
    </row>
    <row r="444" spans="2:9" x14ac:dyDescent="0.25">
      <c r="B444" s="27" t="s">
        <v>16</v>
      </c>
      <c r="C444" s="27" t="s">
        <v>1476</v>
      </c>
      <c r="D444" s="27">
        <v>0</v>
      </c>
      <c r="E444" s="27" t="s">
        <v>1477</v>
      </c>
      <c r="F444" s="28" t="str">
        <f t="shared" si="24"/>
        <v>A_ABV722020</v>
      </c>
      <c r="G444" s="28" t="str">
        <f t="shared" si="25"/>
        <v>N/A</v>
      </c>
      <c r="H444" s="25" t="str">
        <f t="shared" si="26"/>
        <v>HS722020IO_FB1.MA</v>
      </c>
      <c r="I444" s="25" t="str">
        <f t="shared" si="27"/>
        <v>N/A</v>
      </c>
    </row>
    <row r="445" spans="2:9" x14ac:dyDescent="0.25">
      <c r="B445" s="27" t="s">
        <v>16</v>
      </c>
      <c r="C445" s="27" t="s">
        <v>1478</v>
      </c>
      <c r="D445" s="27">
        <v>0</v>
      </c>
      <c r="E445" s="27" t="s">
        <v>1479</v>
      </c>
      <c r="F445" s="28" t="str">
        <f t="shared" si="24"/>
        <v>A_ABV722021</v>
      </c>
      <c r="G445" s="28" t="str">
        <f t="shared" si="25"/>
        <v>N/A</v>
      </c>
      <c r="H445" s="25" t="str">
        <f t="shared" si="26"/>
        <v>HS722021IO_FB0.MA</v>
      </c>
      <c r="I445" s="25" t="str">
        <f t="shared" si="27"/>
        <v>N/A</v>
      </c>
    </row>
    <row r="446" spans="2:9" x14ac:dyDescent="0.25">
      <c r="B446" s="27" t="s">
        <v>16</v>
      </c>
      <c r="C446" s="27" t="s">
        <v>1480</v>
      </c>
      <c r="D446" s="27">
        <v>0</v>
      </c>
      <c r="E446" s="27" t="s">
        <v>1481</v>
      </c>
      <c r="F446" s="28" t="str">
        <f t="shared" si="24"/>
        <v>A_ABV722022</v>
      </c>
      <c r="G446" s="28" t="str">
        <f t="shared" si="25"/>
        <v>N/A</v>
      </c>
      <c r="H446" s="25" t="str">
        <f t="shared" si="26"/>
        <v>HS722022IO_FB1.MA</v>
      </c>
      <c r="I446" s="25" t="str">
        <f t="shared" si="27"/>
        <v>N/A</v>
      </c>
    </row>
    <row r="447" spans="2:9" x14ac:dyDescent="0.25">
      <c r="B447" s="27" t="s">
        <v>16</v>
      </c>
      <c r="C447" s="27" t="s">
        <v>1482</v>
      </c>
      <c r="D447" s="27">
        <v>0</v>
      </c>
      <c r="E447" s="27" t="s">
        <v>1483</v>
      </c>
      <c r="F447" s="28" t="str">
        <f t="shared" si="24"/>
        <v>A_ABV722023</v>
      </c>
      <c r="G447" s="28" t="str">
        <f t="shared" si="25"/>
        <v>N/A</v>
      </c>
      <c r="H447" s="25" t="str">
        <f t="shared" si="26"/>
        <v>HS722023IO_FB0.MA</v>
      </c>
      <c r="I447" s="25" t="str">
        <f t="shared" si="27"/>
        <v>N/A</v>
      </c>
    </row>
    <row r="448" spans="2:9" x14ac:dyDescent="0.25">
      <c r="B448" s="27" t="s">
        <v>16</v>
      </c>
      <c r="C448" s="27" t="s">
        <v>1484</v>
      </c>
      <c r="D448" s="27">
        <v>0</v>
      </c>
      <c r="E448" s="27" t="s">
        <v>1485</v>
      </c>
      <c r="F448" s="28" t="str">
        <f t="shared" si="24"/>
        <v>A_ABV730003</v>
      </c>
      <c r="G448" s="28" t="str">
        <f t="shared" si="25"/>
        <v>N/A</v>
      </c>
      <c r="H448" s="25" t="str">
        <f t="shared" si="26"/>
        <v>HS730003IO_FB0.MA</v>
      </c>
      <c r="I448" s="25" t="str">
        <f t="shared" si="27"/>
        <v>N/A</v>
      </c>
    </row>
    <row r="449" spans="2:9" x14ac:dyDescent="0.25">
      <c r="B449" s="27" t="s">
        <v>16</v>
      </c>
      <c r="C449" s="27" t="s">
        <v>1486</v>
      </c>
      <c r="D449" s="27">
        <v>0</v>
      </c>
      <c r="E449" s="27" t="s">
        <v>1487</v>
      </c>
      <c r="F449" s="28" t="str">
        <f t="shared" si="24"/>
        <v>A_ABV730024</v>
      </c>
      <c r="G449" s="28" t="str">
        <f t="shared" si="25"/>
        <v>N/A</v>
      </c>
      <c r="H449" s="25" t="str">
        <f t="shared" si="26"/>
        <v>HS730024IO_FB0.MA</v>
      </c>
      <c r="I449" s="25" t="str">
        <f t="shared" si="27"/>
        <v>N/A</v>
      </c>
    </row>
    <row r="450" spans="2:9" x14ac:dyDescent="0.25">
      <c r="B450" s="27" t="s">
        <v>16</v>
      </c>
      <c r="C450" s="27" t="s">
        <v>1488</v>
      </c>
      <c r="D450" s="27">
        <v>0</v>
      </c>
      <c r="E450" s="27" t="s">
        <v>1489</v>
      </c>
      <c r="F450" s="28" t="str">
        <f t="shared" ref="F450:F513" si="28">+LEFT(E450,FIND(".",E450,1)-1)</f>
        <v>A_ABV730034</v>
      </c>
      <c r="G450" s="28" t="str">
        <f t="shared" ref="G450:G513" si="29">+IFERROR(IF(LEFT(VLOOKUP(F450,DI,6,FALSE),2)="IO",2,0),"N/A")</f>
        <v>N/A</v>
      </c>
      <c r="H450" s="25" t="str">
        <f t="shared" ref="H450:H513" si="30">+CONCATENATE(C450,".MA")</f>
        <v>HS730034IO_FB1.MA</v>
      </c>
      <c r="I450" s="25" t="str">
        <f t="shared" si="27"/>
        <v>N/A</v>
      </c>
    </row>
    <row r="451" spans="2:9" x14ac:dyDescent="0.25">
      <c r="B451" s="27" t="s">
        <v>16</v>
      </c>
      <c r="C451" s="27" t="s">
        <v>1490</v>
      </c>
      <c r="D451" s="27">
        <v>0</v>
      </c>
      <c r="E451" s="27" t="s">
        <v>1491</v>
      </c>
      <c r="F451" s="28" t="str">
        <f t="shared" si="28"/>
        <v>A_ABV730035</v>
      </c>
      <c r="G451" s="28" t="str">
        <f t="shared" si="29"/>
        <v>N/A</v>
      </c>
      <c r="H451" s="25" t="str">
        <f t="shared" si="30"/>
        <v>HS730035IO_FB0.MA</v>
      </c>
      <c r="I451" s="25" t="str">
        <f t="shared" ref="I451:I514" si="31">+G451</f>
        <v>N/A</v>
      </c>
    </row>
    <row r="452" spans="2:9" x14ac:dyDescent="0.25">
      <c r="B452" s="27" t="s">
        <v>16</v>
      </c>
      <c r="C452" s="27" t="s">
        <v>1492</v>
      </c>
      <c r="D452" s="27">
        <v>0</v>
      </c>
      <c r="E452" s="27" t="s">
        <v>1493</v>
      </c>
      <c r="F452" s="28" t="str">
        <f t="shared" si="28"/>
        <v>A_ABV730036</v>
      </c>
      <c r="G452" s="28" t="str">
        <f t="shared" si="29"/>
        <v>N/A</v>
      </c>
      <c r="H452" s="25" t="str">
        <f t="shared" si="30"/>
        <v>HS730036IO_FB1.MA</v>
      </c>
      <c r="I452" s="25" t="str">
        <f t="shared" si="31"/>
        <v>N/A</v>
      </c>
    </row>
    <row r="453" spans="2:9" x14ac:dyDescent="0.25">
      <c r="B453" s="27" t="s">
        <v>16</v>
      </c>
      <c r="C453" s="27" t="s">
        <v>1494</v>
      </c>
      <c r="D453" s="27">
        <v>0</v>
      </c>
      <c r="E453" s="27" t="s">
        <v>1495</v>
      </c>
      <c r="F453" s="28" t="str">
        <f t="shared" si="28"/>
        <v>A_ABV730037</v>
      </c>
      <c r="G453" s="28" t="str">
        <f t="shared" si="29"/>
        <v>N/A</v>
      </c>
      <c r="H453" s="25" t="str">
        <f t="shared" si="30"/>
        <v>HS730037IO_FB0.MA</v>
      </c>
      <c r="I453" s="25" t="str">
        <f t="shared" si="31"/>
        <v>N/A</v>
      </c>
    </row>
    <row r="454" spans="2:9" x14ac:dyDescent="0.25">
      <c r="B454" s="27" t="s">
        <v>16</v>
      </c>
      <c r="C454" s="27" t="s">
        <v>1496</v>
      </c>
      <c r="D454" s="27">
        <v>0</v>
      </c>
      <c r="E454" s="27" t="s">
        <v>1497</v>
      </c>
      <c r="F454" s="28" t="str">
        <f t="shared" si="28"/>
        <v>A_ABV730401</v>
      </c>
      <c r="G454" s="28" t="str">
        <f t="shared" si="29"/>
        <v>N/A</v>
      </c>
      <c r="H454" s="25" t="str">
        <f t="shared" si="30"/>
        <v>HS730401IO_FB0.MA</v>
      </c>
      <c r="I454" s="25" t="str">
        <f t="shared" si="31"/>
        <v>N/A</v>
      </c>
    </row>
    <row r="455" spans="2:9" x14ac:dyDescent="0.25">
      <c r="B455" s="27" t="s">
        <v>16</v>
      </c>
      <c r="C455" s="27" t="s">
        <v>1498</v>
      </c>
      <c r="D455" s="27">
        <v>0</v>
      </c>
      <c r="E455" s="27" t="s">
        <v>1499</v>
      </c>
      <c r="F455" s="28" t="str">
        <f t="shared" si="28"/>
        <v>A_ABV730403</v>
      </c>
      <c r="G455" s="28" t="str">
        <f t="shared" si="29"/>
        <v>N/A</v>
      </c>
      <c r="H455" s="25" t="str">
        <f t="shared" si="30"/>
        <v>HS730403IO_FB0.MA</v>
      </c>
      <c r="I455" s="25" t="str">
        <f t="shared" si="31"/>
        <v>N/A</v>
      </c>
    </row>
    <row r="456" spans="2:9" x14ac:dyDescent="0.25">
      <c r="B456" s="27" t="s">
        <v>16</v>
      </c>
      <c r="C456" s="27" t="s">
        <v>1500</v>
      </c>
      <c r="D456" s="27">
        <v>0</v>
      </c>
      <c r="E456" s="27" t="s">
        <v>1501</v>
      </c>
      <c r="F456" s="28" t="str">
        <f t="shared" si="28"/>
        <v>A_HV730405</v>
      </c>
      <c r="G456" s="28" t="str">
        <f t="shared" si="29"/>
        <v>N/A</v>
      </c>
      <c r="H456" s="25" t="str">
        <f t="shared" si="30"/>
        <v>HS730405IO_FB1.MA</v>
      </c>
      <c r="I456" s="25" t="str">
        <f t="shared" si="31"/>
        <v>N/A</v>
      </c>
    </row>
    <row r="457" spans="2:9" x14ac:dyDescent="0.25">
      <c r="B457" s="27" t="s">
        <v>16</v>
      </c>
      <c r="C457" s="27" t="s">
        <v>1502</v>
      </c>
      <c r="D457" s="27">
        <v>0</v>
      </c>
      <c r="E457" s="27" t="s">
        <v>1503</v>
      </c>
      <c r="F457" s="28" t="str">
        <f t="shared" si="28"/>
        <v>A_ABV740004</v>
      </c>
      <c r="G457" s="28" t="str">
        <f t="shared" si="29"/>
        <v>N/A</v>
      </c>
      <c r="H457" s="25" t="str">
        <f t="shared" si="30"/>
        <v>HS740004IO_FB0.MA</v>
      </c>
      <c r="I457" s="25" t="str">
        <f t="shared" si="31"/>
        <v>N/A</v>
      </c>
    </row>
    <row r="458" spans="2:9" x14ac:dyDescent="0.25">
      <c r="B458" s="27" t="s">
        <v>16</v>
      </c>
      <c r="C458" s="27" t="s">
        <v>1504</v>
      </c>
      <c r="D458" s="27">
        <v>0</v>
      </c>
      <c r="E458" s="27" t="s">
        <v>1505</v>
      </c>
      <c r="F458" s="28" t="str">
        <f t="shared" si="28"/>
        <v>A_ABV740032</v>
      </c>
      <c r="G458" s="28" t="str">
        <f t="shared" si="29"/>
        <v>N/A</v>
      </c>
      <c r="H458" s="25" t="str">
        <f t="shared" si="30"/>
        <v>HS740032IO_FB0.MA</v>
      </c>
      <c r="I458" s="25" t="str">
        <f t="shared" si="31"/>
        <v>N/A</v>
      </c>
    </row>
    <row r="459" spans="2:9" x14ac:dyDescent="0.25">
      <c r="B459" s="27" t="s">
        <v>16</v>
      </c>
      <c r="C459" s="27" t="s">
        <v>1506</v>
      </c>
      <c r="D459" s="27">
        <v>0</v>
      </c>
      <c r="E459" s="27" t="s">
        <v>1507</v>
      </c>
      <c r="F459" s="28" t="str">
        <f t="shared" si="28"/>
        <v>A_ABV740034</v>
      </c>
      <c r="G459" s="28" t="str">
        <f t="shared" si="29"/>
        <v>N/A</v>
      </c>
      <c r="H459" s="25" t="str">
        <f t="shared" si="30"/>
        <v>HS740034IO_FB1.MA</v>
      </c>
      <c r="I459" s="25" t="str">
        <f t="shared" si="31"/>
        <v>N/A</v>
      </c>
    </row>
    <row r="460" spans="2:9" x14ac:dyDescent="0.25">
      <c r="B460" s="27" t="s">
        <v>16</v>
      </c>
      <c r="C460" s="27" t="s">
        <v>1508</v>
      </c>
      <c r="D460" s="27">
        <v>0</v>
      </c>
      <c r="E460" s="27" t="s">
        <v>1509</v>
      </c>
      <c r="F460" s="28" t="str">
        <f t="shared" si="28"/>
        <v>A_ABV740035</v>
      </c>
      <c r="G460" s="28" t="str">
        <f t="shared" si="29"/>
        <v>N/A</v>
      </c>
      <c r="H460" s="25" t="str">
        <f t="shared" si="30"/>
        <v>HS740035IO_FB0.MA</v>
      </c>
      <c r="I460" s="25" t="str">
        <f t="shared" si="31"/>
        <v>N/A</v>
      </c>
    </row>
    <row r="461" spans="2:9" x14ac:dyDescent="0.25">
      <c r="B461" s="27" t="s">
        <v>16</v>
      </c>
      <c r="C461" s="27" t="s">
        <v>1510</v>
      </c>
      <c r="D461" s="27">
        <v>0</v>
      </c>
      <c r="E461" s="27" t="s">
        <v>1511</v>
      </c>
      <c r="F461" s="28" t="str">
        <f t="shared" si="28"/>
        <v>A_ABV740036</v>
      </c>
      <c r="G461" s="28" t="str">
        <f t="shared" si="29"/>
        <v>N/A</v>
      </c>
      <c r="H461" s="25" t="str">
        <f t="shared" si="30"/>
        <v>HS740036IO_FB1.MA</v>
      </c>
      <c r="I461" s="25" t="str">
        <f t="shared" si="31"/>
        <v>N/A</v>
      </c>
    </row>
    <row r="462" spans="2:9" x14ac:dyDescent="0.25">
      <c r="B462" s="27" t="s">
        <v>16</v>
      </c>
      <c r="C462" s="27" t="s">
        <v>1512</v>
      </c>
      <c r="D462" s="27">
        <v>0</v>
      </c>
      <c r="E462" s="27" t="s">
        <v>1513</v>
      </c>
      <c r="F462" s="28" t="str">
        <f t="shared" si="28"/>
        <v>A_ABV740037</v>
      </c>
      <c r="G462" s="28" t="str">
        <f t="shared" si="29"/>
        <v>N/A</v>
      </c>
      <c r="H462" s="25" t="str">
        <f t="shared" si="30"/>
        <v>HS740037IO_FB0.MA</v>
      </c>
      <c r="I462" s="25" t="str">
        <f t="shared" si="31"/>
        <v>N/A</v>
      </c>
    </row>
    <row r="463" spans="2:9" x14ac:dyDescent="0.25">
      <c r="B463" s="27" t="s">
        <v>16</v>
      </c>
      <c r="C463" s="27" t="s">
        <v>1514</v>
      </c>
      <c r="D463" s="27">
        <v>0</v>
      </c>
      <c r="E463" s="27" t="s">
        <v>1515</v>
      </c>
      <c r="F463" s="28" t="str">
        <f t="shared" si="28"/>
        <v>A_ABV740038</v>
      </c>
      <c r="G463" s="28" t="str">
        <f t="shared" si="29"/>
        <v>N/A</v>
      </c>
      <c r="H463" s="25" t="str">
        <f t="shared" si="30"/>
        <v>HS740038IO_FB0.MA</v>
      </c>
      <c r="I463" s="25" t="str">
        <f t="shared" si="31"/>
        <v>N/A</v>
      </c>
    </row>
    <row r="464" spans="2:9" x14ac:dyDescent="0.25">
      <c r="B464" s="27" t="s">
        <v>16</v>
      </c>
      <c r="C464" s="27" t="s">
        <v>1516</v>
      </c>
      <c r="D464" s="27">
        <v>0</v>
      </c>
      <c r="E464" s="27" t="s">
        <v>1517</v>
      </c>
      <c r="F464" s="28" t="str">
        <f t="shared" si="28"/>
        <v>A_ABV740109</v>
      </c>
      <c r="G464" s="28" t="str">
        <f t="shared" si="29"/>
        <v>N/A</v>
      </c>
      <c r="H464" s="25" t="str">
        <f t="shared" si="30"/>
        <v>HS740109IO_FB0.MA</v>
      </c>
      <c r="I464" s="25" t="str">
        <f t="shared" si="31"/>
        <v>N/A</v>
      </c>
    </row>
    <row r="465" spans="2:9" x14ac:dyDescent="0.25">
      <c r="B465" s="27" t="s">
        <v>16</v>
      </c>
      <c r="C465" s="27" t="s">
        <v>1518</v>
      </c>
      <c r="D465" s="27">
        <v>0</v>
      </c>
      <c r="E465" s="27" t="s">
        <v>1519</v>
      </c>
      <c r="F465" s="28" t="str">
        <f t="shared" si="28"/>
        <v>A_PV740201A</v>
      </c>
      <c r="G465" s="28" t="str">
        <f t="shared" si="29"/>
        <v>N/A</v>
      </c>
      <c r="H465" s="25" t="str">
        <f t="shared" si="30"/>
        <v>HS740201AIO_FB0.MA</v>
      </c>
      <c r="I465" s="25" t="str">
        <f t="shared" si="31"/>
        <v>N/A</v>
      </c>
    </row>
    <row r="466" spans="2:9" x14ac:dyDescent="0.25">
      <c r="B466" s="27" t="s">
        <v>16</v>
      </c>
      <c r="C466" s="27" t="s">
        <v>1520</v>
      </c>
      <c r="D466" s="27">
        <v>0</v>
      </c>
      <c r="E466" s="27" t="s">
        <v>1521</v>
      </c>
      <c r="F466" s="28" t="str">
        <f t="shared" si="28"/>
        <v>A_ABV740211</v>
      </c>
      <c r="G466" s="28" t="str">
        <f t="shared" si="29"/>
        <v>N/A</v>
      </c>
      <c r="H466" s="25" t="str">
        <f t="shared" si="30"/>
        <v>HS740211IO_FB0.MA</v>
      </c>
      <c r="I466" s="25" t="str">
        <f t="shared" si="31"/>
        <v>N/A</v>
      </c>
    </row>
    <row r="467" spans="2:9" x14ac:dyDescent="0.25">
      <c r="B467" s="27" t="s">
        <v>16</v>
      </c>
      <c r="C467" s="27" t="s">
        <v>1522</v>
      </c>
      <c r="D467" s="27">
        <v>0</v>
      </c>
      <c r="E467" s="27" t="s">
        <v>1523</v>
      </c>
      <c r="F467" s="28" t="str">
        <f t="shared" si="28"/>
        <v>A_ABV740212</v>
      </c>
      <c r="G467" s="28" t="str">
        <f t="shared" si="29"/>
        <v>N/A</v>
      </c>
      <c r="H467" s="25" t="str">
        <f t="shared" si="30"/>
        <v>HS740212IO_FB0.MA</v>
      </c>
      <c r="I467" s="25" t="str">
        <f t="shared" si="31"/>
        <v>N/A</v>
      </c>
    </row>
    <row r="468" spans="2:9" x14ac:dyDescent="0.25">
      <c r="B468" s="27" t="s">
        <v>16</v>
      </c>
      <c r="C468" s="27" t="s">
        <v>1524</v>
      </c>
      <c r="D468" s="27">
        <v>0</v>
      </c>
      <c r="E468" s="27" t="s">
        <v>1525</v>
      </c>
      <c r="F468" s="28" t="str">
        <f t="shared" si="28"/>
        <v>A_ABV741003</v>
      </c>
      <c r="G468" s="28" t="str">
        <f t="shared" si="29"/>
        <v>N/A</v>
      </c>
      <c r="H468" s="25" t="str">
        <f t="shared" si="30"/>
        <v>HS741003IO_FB0.MA</v>
      </c>
      <c r="I468" s="25" t="str">
        <f t="shared" si="31"/>
        <v>N/A</v>
      </c>
    </row>
    <row r="469" spans="2:9" x14ac:dyDescent="0.25">
      <c r="B469" s="27" t="s">
        <v>16</v>
      </c>
      <c r="C469" s="27" t="s">
        <v>1526</v>
      </c>
      <c r="D469" s="27">
        <v>0</v>
      </c>
      <c r="E469" s="27" t="s">
        <v>1527</v>
      </c>
      <c r="F469" s="28" t="str">
        <f t="shared" si="28"/>
        <v>A_ABV742014</v>
      </c>
      <c r="G469" s="28" t="str">
        <f t="shared" si="29"/>
        <v>N/A</v>
      </c>
      <c r="H469" s="25" t="str">
        <f t="shared" si="30"/>
        <v>HS742014IO_FB0.MA</v>
      </c>
      <c r="I469" s="25" t="str">
        <f t="shared" si="31"/>
        <v>N/A</v>
      </c>
    </row>
    <row r="470" spans="2:9" x14ac:dyDescent="0.25">
      <c r="B470" s="27" t="s">
        <v>16</v>
      </c>
      <c r="C470" s="27" t="s">
        <v>1528</v>
      </c>
      <c r="D470" s="27">
        <v>0</v>
      </c>
      <c r="E470" s="27" t="s">
        <v>1529</v>
      </c>
      <c r="F470" s="28" t="str">
        <f t="shared" si="28"/>
        <v>A_ABV742016</v>
      </c>
      <c r="G470" s="28" t="str">
        <f t="shared" si="29"/>
        <v>N/A</v>
      </c>
      <c r="H470" s="25" t="str">
        <f t="shared" si="30"/>
        <v>HS742016IO_FB0.MA</v>
      </c>
      <c r="I470" s="25" t="str">
        <f t="shared" si="31"/>
        <v>N/A</v>
      </c>
    </row>
    <row r="471" spans="2:9" x14ac:dyDescent="0.25">
      <c r="B471" s="27" t="s">
        <v>16</v>
      </c>
      <c r="C471" s="27" t="s">
        <v>1530</v>
      </c>
      <c r="D471" s="27">
        <v>0</v>
      </c>
      <c r="E471" s="27" t="s">
        <v>1531</v>
      </c>
      <c r="F471" s="28" t="str">
        <f t="shared" si="28"/>
        <v>A_ABV742018</v>
      </c>
      <c r="G471" s="28" t="str">
        <f t="shared" si="29"/>
        <v>N/A</v>
      </c>
      <c r="H471" s="25" t="str">
        <f t="shared" si="30"/>
        <v>HS742018IO_FB0.MA</v>
      </c>
      <c r="I471" s="25" t="str">
        <f t="shared" si="31"/>
        <v>N/A</v>
      </c>
    </row>
    <row r="472" spans="2:9" x14ac:dyDescent="0.25">
      <c r="B472" s="27" t="s">
        <v>16</v>
      </c>
      <c r="C472" s="27" t="s">
        <v>1532</v>
      </c>
      <c r="D472" s="27">
        <v>0</v>
      </c>
      <c r="E472" s="27" t="s">
        <v>1533</v>
      </c>
      <c r="F472" s="28" t="str">
        <f t="shared" si="28"/>
        <v>A_ABV750004</v>
      </c>
      <c r="G472" s="28" t="str">
        <f t="shared" si="29"/>
        <v>N/A</v>
      </c>
      <c r="H472" s="25" t="str">
        <f t="shared" si="30"/>
        <v>HS750004IO_FB0.MA</v>
      </c>
      <c r="I472" s="25" t="str">
        <f t="shared" si="31"/>
        <v>N/A</v>
      </c>
    </row>
    <row r="473" spans="2:9" x14ac:dyDescent="0.25">
      <c r="B473" s="27" t="s">
        <v>16</v>
      </c>
      <c r="C473" s="27" t="s">
        <v>1534</v>
      </c>
      <c r="D473" s="27">
        <v>0</v>
      </c>
      <c r="E473" s="27" t="s">
        <v>1535</v>
      </c>
      <c r="F473" s="28" t="str">
        <f t="shared" si="28"/>
        <v>A_ABV750032</v>
      </c>
      <c r="G473" s="28" t="str">
        <f t="shared" si="29"/>
        <v>N/A</v>
      </c>
      <c r="H473" s="25" t="str">
        <f t="shared" si="30"/>
        <v>HS750032IO_FB0.MA</v>
      </c>
      <c r="I473" s="25" t="str">
        <f t="shared" si="31"/>
        <v>N/A</v>
      </c>
    </row>
    <row r="474" spans="2:9" x14ac:dyDescent="0.25">
      <c r="B474" s="27" t="s">
        <v>16</v>
      </c>
      <c r="C474" s="27" t="s">
        <v>1536</v>
      </c>
      <c r="D474" s="27">
        <v>0</v>
      </c>
      <c r="E474" s="27" t="s">
        <v>1537</v>
      </c>
      <c r="F474" s="28" t="str">
        <f t="shared" si="28"/>
        <v>A_ABV750034</v>
      </c>
      <c r="G474" s="28" t="str">
        <f t="shared" si="29"/>
        <v>N/A</v>
      </c>
      <c r="H474" s="25" t="str">
        <f t="shared" si="30"/>
        <v>HS750034IO_FB1.MA</v>
      </c>
      <c r="I474" s="25" t="str">
        <f t="shared" si="31"/>
        <v>N/A</v>
      </c>
    </row>
    <row r="475" spans="2:9" x14ac:dyDescent="0.25">
      <c r="B475" s="27" t="s">
        <v>16</v>
      </c>
      <c r="C475" s="27" t="s">
        <v>1538</v>
      </c>
      <c r="D475" s="27">
        <v>0</v>
      </c>
      <c r="E475" s="27" t="s">
        <v>1539</v>
      </c>
      <c r="F475" s="28" t="str">
        <f t="shared" si="28"/>
        <v>A_ABV750035</v>
      </c>
      <c r="G475" s="28" t="str">
        <f t="shared" si="29"/>
        <v>N/A</v>
      </c>
      <c r="H475" s="25" t="str">
        <f t="shared" si="30"/>
        <v>HS750035IO_FB0.MA</v>
      </c>
      <c r="I475" s="25" t="str">
        <f t="shared" si="31"/>
        <v>N/A</v>
      </c>
    </row>
    <row r="476" spans="2:9" x14ac:dyDescent="0.25">
      <c r="B476" s="27" t="s">
        <v>16</v>
      </c>
      <c r="C476" s="27" t="s">
        <v>1540</v>
      </c>
      <c r="D476" s="27">
        <v>0</v>
      </c>
      <c r="E476" s="27" t="s">
        <v>1541</v>
      </c>
      <c r="F476" s="28" t="str">
        <f t="shared" si="28"/>
        <v>A_ABV750036</v>
      </c>
      <c r="G476" s="28" t="str">
        <f t="shared" si="29"/>
        <v>N/A</v>
      </c>
      <c r="H476" s="25" t="str">
        <f t="shared" si="30"/>
        <v>HS750036IO_FB1.MA</v>
      </c>
      <c r="I476" s="25" t="str">
        <f t="shared" si="31"/>
        <v>N/A</v>
      </c>
    </row>
    <row r="477" spans="2:9" x14ac:dyDescent="0.25">
      <c r="B477" s="27" t="s">
        <v>16</v>
      </c>
      <c r="C477" s="27" t="s">
        <v>1542</v>
      </c>
      <c r="D477" s="27">
        <v>0</v>
      </c>
      <c r="E477" s="27" t="s">
        <v>1543</v>
      </c>
      <c r="F477" s="28" t="str">
        <f t="shared" si="28"/>
        <v>A_ABV750037</v>
      </c>
      <c r="G477" s="28" t="str">
        <f t="shared" si="29"/>
        <v>N/A</v>
      </c>
      <c r="H477" s="25" t="str">
        <f t="shared" si="30"/>
        <v>HS750037IO_FB0.MA</v>
      </c>
      <c r="I477" s="25" t="str">
        <f t="shared" si="31"/>
        <v>N/A</v>
      </c>
    </row>
    <row r="478" spans="2:9" x14ac:dyDescent="0.25">
      <c r="B478" s="27" t="s">
        <v>16</v>
      </c>
      <c r="C478" s="27" t="s">
        <v>1544</v>
      </c>
      <c r="D478" s="27">
        <v>0</v>
      </c>
      <c r="E478" s="27" t="s">
        <v>1545</v>
      </c>
      <c r="F478" s="28" t="str">
        <f t="shared" si="28"/>
        <v>A_ABV750109</v>
      </c>
      <c r="G478" s="28" t="str">
        <f t="shared" si="29"/>
        <v>N/A</v>
      </c>
      <c r="H478" s="25" t="str">
        <f t="shared" si="30"/>
        <v>HS750109IO_FB0.MA</v>
      </c>
      <c r="I478" s="25" t="str">
        <f t="shared" si="31"/>
        <v>N/A</v>
      </c>
    </row>
    <row r="479" spans="2:9" x14ac:dyDescent="0.25">
      <c r="B479" s="27" t="s">
        <v>16</v>
      </c>
      <c r="C479" s="27" t="s">
        <v>1546</v>
      </c>
      <c r="D479" s="27">
        <v>0</v>
      </c>
      <c r="E479" s="27" t="s">
        <v>1547</v>
      </c>
      <c r="F479" s="28" t="str">
        <f t="shared" si="28"/>
        <v>A_PV750201A</v>
      </c>
      <c r="G479" s="28" t="str">
        <f t="shared" si="29"/>
        <v>N/A</v>
      </c>
      <c r="H479" s="25" t="str">
        <f t="shared" si="30"/>
        <v>HS750201AIO_FB0.MA</v>
      </c>
      <c r="I479" s="25" t="str">
        <f t="shared" si="31"/>
        <v>N/A</v>
      </c>
    </row>
    <row r="480" spans="2:9" x14ac:dyDescent="0.25">
      <c r="B480" s="27" t="s">
        <v>16</v>
      </c>
      <c r="C480" s="27" t="s">
        <v>1548</v>
      </c>
      <c r="D480" s="27">
        <v>0</v>
      </c>
      <c r="E480" s="27" t="s">
        <v>1549</v>
      </c>
      <c r="F480" s="28" t="str">
        <f t="shared" si="28"/>
        <v>A_PV750201A</v>
      </c>
      <c r="G480" s="28" t="str">
        <f t="shared" si="29"/>
        <v>N/A</v>
      </c>
      <c r="H480" s="25" t="str">
        <f t="shared" si="30"/>
        <v>HS750201AIO_FB1.MA</v>
      </c>
      <c r="I480" s="25" t="str">
        <f t="shared" si="31"/>
        <v>N/A</v>
      </c>
    </row>
    <row r="481" spans="2:9" x14ac:dyDescent="0.25">
      <c r="B481" s="27" t="s">
        <v>16</v>
      </c>
      <c r="C481" s="27" t="s">
        <v>1550</v>
      </c>
      <c r="D481" s="27">
        <v>0</v>
      </c>
      <c r="E481" s="27" t="s">
        <v>1551</v>
      </c>
      <c r="F481" s="28" t="str">
        <f t="shared" si="28"/>
        <v>A_ABV750211</v>
      </c>
      <c r="G481" s="28" t="str">
        <f t="shared" si="29"/>
        <v>N/A</v>
      </c>
      <c r="H481" s="25" t="str">
        <f t="shared" si="30"/>
        <v>HS750211IO_FB0.MA</v>
      </c>
      <c r="I481" s="25" t="str">
        <f t="shared" si="31"/>
        <v>N/A</v>
      </c>
    </row>
    <row r="482" spans="2:9" x14ac:dyDescent="0.25">
      <c r="B482" s="27" t="s">
        <v>16</v>
      </c>
      <c r="C482" s="27" t="s">
        <v>1552</v>
      </c>
      <c r="D482" s="27">
        <v>0</v>
      </c>
      <c r="E482" s="27" t="s">
        <v>1553</v>
      </c>
      <c r="F482" s="28" t="str">
        <f t="shared" si="28"/>
        <v>A_ABV750212</v>
      </c>
      <c r="G482" s="28" t="str">
        <f t="shared" si="29"/>
        <v>N/A</v>
      </c>
      <c r="H482" s="25" t="str">
        <f t="shared" si="30"/>
        <v>HS750212IO_FB0.MA</v>
      </c>
      <c r="I482" s="25" t="str">
        <f t="shared" si="31"/>
        <v>N/A</v>
      </c>
    </row>
    <row r="483" spans="2:9" x14ac:dyDescent="0.25">
      <c r="B483" s="27" t="s">
        <v>16</v>
      </c>
      <c r="C483" s="27" t="s">
        <v>1554</v>
      </c>
      <c r="D483" s="27">
        <v>0</v>
      </c>
      <c r="E483" s="27" t="s">
        <v>1555</v>
      </c>
      <c r="F483" s="28" t="str">
        <f t="shared" si="28"/>
        <v>A_ABV751003</v>
      </c>
      <c r="G483" s="28" t="str">
        <f t="shared" si="29"/>
        <v>N/A</v>
      </c>
      <c r="H483" s="25" t="str">
        <f t="shared" si="30"/>
        <v>HS751003IO_FB0.MA</v>
      </c>
      <c r="I483" s="25" t="str">
        <f t="shared" si="31"/>
        <v>N/A</v>
      </c>
    </row>
    <row r="484" spans="2:9" x14ac:dyDescent="0.25">
      <c r="B484" s="27" t="s">
        <v>16</v>
      </c>
      <c r="C484" s="27" t="s">
        <v>1556</v>
      </c>
      <c r="D484" s="27">
        <v>0</v>
      </c>
      <c r="E484" s="27" t="s">
        <v>1557</v>
      </c>
      <c r="F484" s="28" t="str">
        <f t="shared" si="28"/>
        <v>A_ABV752014</v>
      </c>
      <c r="G484" s="28" t="str">
        <f t="shared" si="29"/>
        <v>N/A</v>
      </c>
      <c r="H484" s="25" t="str">
        <f t="shared" si="30"/>
        <v>HS752014IO_FB0.MA</v>
      </c>
      <c r="I484" s="25" t="str">
        <f t="shared" si="31"/>
        <v>N/A</v>
      </c>
    </row>
    <row r="485" spans="2:9" x14ac:dyDescent="0.25">
      <c r="B485" s="27" t="s">
        <v>16</v>
      </c>
      <c r="C485" s="27" t="s">
        <v>1558</v>
      </c>
      <c r="D485" s="27">
        <v>0</v>
      </c>
      <c r="E485" s="27" t="s">
        <v>1559</v>
      </c>
      <c r="F485" s="28" t="str">
        <f t="shared" si="28"/>
        <v>A_ABV760004</v>
      </c>
      <c r="G485" s="28" t="str">
        <f t="shared" si="29"/>
        <v>N/A</v>
      </c>
      <c r="H485" s="25" t="str">
        <f t="shared" si="30"/>
        <v>HS760004IO_FB0.MA</v>
      </c>
      <c r="I485" s="25" t="str">
        <f t="shared" si="31"/>
        <v>N/A</v>
      </c>
    </row>
    <row r="486" spans="2:9" x14ac:dyDescent="0.25">
      <c r="B486" s="27" t="s">
        <v>16</v>
      </c>
      <c r="C486" s="27" t="s">
        <v>1560</v>
      </c>
      <c r="D486" s="27">
        <v>0</v>
      </c>
      <c r="E486" s="27" t="s">
        <v>1561</v>
      </c>
      <c r="F486" s="28" t="str">
        <f t="shared" si="28"/>
        <v>A_ABV760032</v>
      </c>
      <c r="G486" s="28" t="str">
        <f t="shared" si="29"/>
        <v>N/A</v>
      </c>
      <c r="H486" s="25" t="str">
        <f t="shared" si="30"/>
        <v>HS760032IO_FB0.MA</v>
      </c>
      <c r="I486" s="25" t="str">
        <f t="shared" si="31"/>
        <v>N/A</v>
      </c>
    </row>
    <row r="487" spans="2:9" x14ac:dyDescent="0.25">
      <c r="B487" s="27" t="s">
        <v>16</v>
      </c>
      <c r="C487" s="27" t="s">
        <v>1562</v>
      </c>
      <c r="D487" s="27">
        <v>0</v>
      </c>
      <c r="E487" s="27" t="s">
        <v>1563</v>
      </c>
      <c r="F487" s="28" t="str">
        <f t="shared" si="28"/>
        <v>A_ABV760034</v>
      </c>
      <c r="G487" s="28" t="str">
        <f t="shared" si="29"/>
        <v>N/A</v>
      </c>
      <c r="H487" s="25" t="str">
        <f t="shared" si="30"/>
        <v>HS760034IO_FB1.MA</v>
      </c>
      <c r="I487" s="25" t="str">
        <f t="shared" si="31"/>
        <v>N/A</v>
      </c>
    </row>
    <row r="488" spans="2:9" x14ac:dyDescent="0.25">
      <c r="B488" s="27" t="s">
        <v>16</v>
      </c>
      <c r="C488" s="27" t="s">
        <v>1564</v>
      </c>
      <c r="D488" s="27">
        <v>0</v>
      </c>
      <c r="E488" s="27" t="s">
        <v>1565</v>
      </c>
      <c r="F488" s="28" t="str">
        <f t="shared" si="28"/>
        <v>A_ABV760035</v>
      </c>
      <c r="G488" s="28" t="str">
        <f t="shared" si="29"/>
        <v>N/A</v>
      </c>
      <c r="H488" s="25" t="str">
        <f t="shared" si="30"/>
        <v>HS760035IO_FB0.MA</v>
      </c>
      <c r="I488" s="25" t="str">
        <f t="shared" si="31"/>
        <v>N/A</v>
      </c>
    </row>
    <row r="489" spans="2:9" x14ac:dyDescent="0.25">
      <c r="B489" s="27" t="s">
        <v>16</v>
      </c>
      <c r="C489" s="27" t="s">
        <v>1566</v>
      </c>
      <c r="D489" s="27">
        <v>0</v>
      </c>
      <c r="E489" s="27" t="s">
        <v>1567</v>
      </c>
      <c r="F489" s="28" t="str">
        <f t="shared" si="28"/>
        <v>A_ABV760036</v>
      </c>
      <c r="G489" s="28" t="str">
        <f t="shared" si="29"/>
        <v>N/A</v>
      </c>
      <c r="H489" s="25" t="str">
        <f t="shared" si="30"/>
        <v>HS760036IO_FB1.MA</v>
      </c>
      <c r="I489" s="25" t="str">
        <f t="shared" si="31"/>
        <v>N/A</v>
      </c>
    </row>
    <row r="490" spans="2:9" x14ac:dyDescent="0.25">
      <c r="B490" s="27" t="s">
        <v>16</v>
      </c>
      <c r="C490" s="27" t="s">
        <v>1568</v>
      </c>
      <c r="D490" s="27">
        <v>0</v>
      </c>
      <c r="E490" s="27" t="s">
        <v>1569</v>
      </c>
      <c r="F490" s="28" t="str">
        <f t="shared" si="28"/>
        <v>A_ABV760037</v>
      </c>
      <c r="G490" s="28" t="str">
        <f t="shared" si="29"/>
        <v>N/A</v>
      </c>
      <c r="H490" s="25" t="str">
        <f t="shared" si="30"/>
        <v>HS760037IO_FB0.MA</v>
      </c>
      <c r="I490" s="25" t="str">
        <f t="shared" si="31"/>
        <v>N/A</v>
      </c>
    </row>
    <row r="491" spans="2:9" x14ac:dyDescent="0.25">
      <c r="B491" s="27" t="s">
        <v>16</v>
      </c>
      <c r="C491" s="27" t="s">
        <v>1570</v>
      </c>
      <c r="D491" s="27">
        <v>0</v>
      </c>
      <c r="E491" s="27" t="s">
        <v>1571</v>
      </c>
      <c r="F491" s="28" t="str">
        <f t="shared" si="28"/>
        <v>A_ABV760109</v>
      </c>
      <c r="G491" s="28" t="str">
        <f t="shared" si="29"/>
        <v>N/A</v>
      </c>
      <c r="H491" s="25" t="str">
        <f t="shared" si="30"/>
        <v>HS760109IO_FB0.MA</v>
      </c>
      <c r="I491" s="25" t="str">
        <f t="shared" si="31"/>
        <v>N/A</v>
      </c>
    </row>
    <row r="492" spans="2:9" x14ac:dyDescent="0.25">
      <c r="B492" s="27" t="s">
        <v>16</v>
      </c>
      <c r="C492" s="27" t="s">
        <v>1572</v>
      </c>
      <c r="D492" s="27">
        <v>0</v>
      </c>
      <c r="E492" s="27" t="s">
        <v>1573</v>
      </c>
      <c r="F492" s="28" t="str">
        <f t="shared" si="28"/>
        <v>A_ABV760212</v>
      </c>
      <c r="G492" s="28" t="str">
        <f t="shared" si="29"/>
        <v>N/A</v>
      </c>
      <c r="H492" s="25" t="str">
        <f t="shared" si="30"/>
        <v>HS760212IO_FB0.MA</v>
      </c>
      <c r="I492" s="25" t="str">
        <f t="shared" si="31"/>
        <v>N/A</v>
      </c>
    </row>
    <row r="493" spans="2:9" x14ac:dyDescent="0.25">
      <c r="B493" s="27" t="s">
        <v>16</v>
      </c>
      <c r="C493" s="27" t="s">
        <v>1574</v>
      </c>
      <c r="D493" s="27">
        <v>0</v>
      </c>
      <c r="E493" s="27" t="s">
        <v>1575</v>
      </c>
      <c r="F493" s="28" t="str">
        <f t="shared" si="28"/>
        <v>A_ABV763003</v>
      </c>
      <c r="G493" s="28" t="str">
        <f t="shared" si="29"/>
        <v>N/A</v>
      </c>
      <c r="H493" s="25" t="str">
        <f t="shared" si="30"/>
        <v>HS763003IO_FB0.MA</v>
      </c>
      <c r="I493" s="25" t="str">
        <f t="shared" si="31"/>
        <v>N/A</v>
      </c>
    </row>
    <row r="494" spans="2:9" x14ac:dyDescent="0.25">
      <c r="B494" s="27" t="s">
        <v>16</v>
      </c>
      <c r="C494" s="27" t="s">
        <v>1576</v>
      </c>
      <c r="D494" s="27">
        <v>0</v>
      </c>
      <c r="E494" s="27" t="s">
        <v>1577</v>
      </c>
      <c r="F494" s="28" t="str">
        <f t="shared" si="28"/>
        <v>A_ABV763005</v>
      </c>
      <c r="G494" s="28" t="str">
        <f t="shared" si="29"/>
        <v>N/A</v>
      </c>
      <c r="H494" s="25" t="str">
        <f t="shared" si="30"/>
        <v>HS763005IO_FB0.MA</v>
      </c>
      <c r="I494" s="25" t="str">
        <f t="shared" si="31"/>
        <v>N/A</v>
      </c>
    </row>
    <row r="495" spans="2:9" x14ac:dyDescent="0.25">
      <c r="B495" s="27" t="s">
        <v>16</v>
      </c>
      <c r="C495" s="27" t="s">
        <v>1578</v>
      </c>
      <c r="D495" s="27">
        <v>0</v>
      </c>
      <c r="E495" s="27" t="s">
        <v>1579</v>
      </c>
      <c r="F495" s="28" t="str">
        <f t="shared" si="28"/>
        <v>A_ABV763005</v>
      </c>
      <c r="G495" s="28" t="str">
        <f t="shared" si="29"/>
        <v>N/A</v>
      </c>
      <c r="H495" s="25" t="str">
        <f t="shared" si="30"/>
        <v>HS763005IO_FB1.MA</v>
      </c>
      <c r="I495" s="25" t="str">
        <f t="shared" si="31"/>
        <v>N/A</v>
      </c>
    </row>
    <row r="496" spans="2:9" x14ac:dyDescent="0.25">
      <c r="B496" s="27" t="s">
        <v>16</v>
      </c>
      <c r="C496" s="27" t="s">
        <v>1580</v>
      </c>
      <c r="D496" s="27">
        <v>0</v>
      </c>
      <c r="E496" s="27" t="s">
        <v>1581</v>
      </c>
      <c r="F496" s="28" t="str">
        <f t="shared" si="28"/>
        <v>A_ABV763012</v>
      </c>
      <c r="G496" s="28" t="str">
        <f t="shared" si="29"/>
        <v>N/A</v>
      </c>
      <c r="H496" s="25" t="str">
        <f t="shared" si="30"/>
        <v>HS763012IO_FB0.MA</v>
      </c>
      <c r="I496" s="25" t="str">
        <f t="shared" si="31"/>
        <v>N/A</v>
      </c>
    </row>
    <row r="497" spans="2:9" x14ac:dyDescent="0.25">
      <c r="B497" s="27" t="s">
        <v>16</v>
      </c>
      <c r="C497" s="27" t="s">
        <v>1582</v>
      </c>
      <c r="D497" s="27">
        <v>0</v>
      </c>
      <c r="E497" s="27" t="s">
        <v>1583</v>
      </c>
      <c r="F497" s="28" t="str">
        <f t="shared" si="28"/>
        <v>A_ABV764003</v>
      </c>
      <c r="G497" s="28" t="str">
        <f t="shared" si="29"/>
        <v>N/A</v>
      </c>
      <c r="H497" s="25" t="str">
        <f t="shared" si="30"/>
        <v>HS764003IO_FB0.MA</v>
      </c>
      <c r="I497" s="25" t="str">
        <f t="shared" si="31"/>
        <v>N/A</v>
      </c>
    </row>
    <row r="498" spans="2:9" x14ac:dyDescent="0.25">
      <c r="B498" s="27" t="s">
        <v>16</v>
      </c>
      <c r="C498" s="27" t="s">
        <v>1584</v>
      </c>
      <c r="D498" s="27">
        <v>0</v>
      </c>
      <c r="E498" s="27" t="s">
        <v>1585</v>
      </c>
      <c r="F498" s="28" t="str">
        <f t="shared" si="28"/>
        <v>A_ABV764005</v>
      </c>
      <c r="G498" s="28" t="str">
        <f t="shared" si="29"/>
        <v>N/A</v>
      </c>
      <c r="H498" s="25" t="str">
        <f t="shared" si="30"/>
        <v>HS764005IO_FB0.MA</v>
      </c>
      <c r="I498" s="25" t="str">
        <f t="shared" si="31"/>
        <v>N/A</v>
      </c>
    </row>
    <row r="499" spans="2:9" x14ac:dyDescent="0.25">
      <c r="B499" s="27" t="s">
        <v>16</v>
      </c>
      <c r="C499" s="27" t="s">
        <v>1586</v>
      </c>
      <c r="D499" s="27">
        <v>0</v>
      </c>
      <c r="E499" s="27" t="s">
        <v>1587</v>
      </c>
      <c r="F499" s="28" t="str">
        <f t="shared" si="28"/>
        <v>A_ABV764005</v>
      </c>
      <c r="G499" s="28" t="str">
        <f t="shared" si="29"/>
        <v>N/A</v>
      </c>
      <c r="H499" s="25" t="str">
        <f t="shared" si="30"/>
        <v>HS764005IO_FB1.MA</v>
      </c>
      <c r="I499" s="25" t="str">
        <f t="shared" si="31"/>
        <v>N/A</v>
      </c>
    </row>
    <row r="500" spans="2:9" x14ac:dyDescent="0.25">
      <c r="B500" s="27" t="s">
        <v>16</v>
      </c>
      <c r="C500" s="27" t="s">
        <v>1588</v>
      </c>
      <c r="D500" s="27">
        <v>0</v>
      </c>
      <c r="E500" s="27" t="s">
        <v>1589</v>
      </c>
      <c r="F500" s="28" t="str">
        <f t="shared" si="28"/>
        <v>A_ABV764012</v>
      </c>
      <c r="G500" s="28" t="str">
        <f t="shared" si="29"/>
        <v>N/A</v>
      </c>
      <c r="H500" s="25" t="str">
        <f t="shared" si="30"/>
        <v>HS764012IO_FB0.MA</v>
      </c>
      <c r="I500" s="25" t="str">
        <f t="shared" si="31"/>
        <v>N/A</v>
      </c>
    </row>
    <row r="501" spans="2:9" x14ac:dyDescent="0.25">
      <c r="B501" s="27" t="s">
        <v>16</v>
      </c>
      <c r="C501" s="27" t="s">
        <v>1590</v>
      </c>
      <c r="D501" s="27">
        <v>0</v>
      </c>
      <c r="E501" s="27" t="s">
        <v>1591</v>
      </c>
      <c r="F501" s="28" t="str">
        <f t="shared" si="28"/>
        <v>A_ABV790001</v>
      </c>
      <c r="G501" s="28" t="str">
        <f t="shared" si="29"/>
        <v>N/A</v>
      </c>
      <c r="H501" s="25" t="str">
        <f t="shared" si="30"/>
        <v>HS790001IO_FB0.MA</v>
      </c>
      <c r="I501" s="25" t="str">
        <f t="shared" si="31"/>
        <v>N/A</v>
      </c>
    </row>
    <row r="502" spans="2:9" x14ac:dyDescent="0.25">
      <c r="B502" s="27" t="s">
        <v>16</v>
      </c>
      <c r="C502" s="27" t="s">
        <v>1592</v>
      </c>
      <c r="D502" s="27">
        <v>0</v>
      </c>
      <c r="E502" s="27" t="s">
        <v>1593</v>
      </c>
      <c r="F502" s="28" t="str">
        <f t="shared" si="28"/>
        <v>A_ABV790008</v>
      </c>
      <c r="G502" s="28" t="str">
        <f t="shared" si="29"/>
        <v>N/A</v>
      </c>
      <c r="H502" s="25" t="str">
        <f t="shared" si="30"/>
        <v>HS790008IO_FB0.MA</v>
      </c>
      <c r="I502" s="25" t="str">
        <f t="shared" si="31"/>
        <v>N/A</v>
      </c>
    </row>
    <row r="503" spans="2:9" x14ac:dyDescent="0.25">
      <c r="B503" s="27" t="s">
        <v>16</v>
      </c>
      <c r="C503" s="27" t="s">
        <v>1594</v>
      </c>
      <c r="D503" s="27">
        <v>0</v>
      </c>
      <c r="E503" s="27" t="s">
        <v>1595</v>
      </c>
      <c r="F503" s="28" t="str">
        <f t="shared" si="28"/>
        <v>A_ABV790015</v>
      </c>
      <c r="G503" s="28" t="str">
        <f t="shared" si="29"/>
        <v>N/A</v>
      </c>
      <c r="H503" s="25" t="str">
        <f t="shared" si="30"/>
        <v>HS790015IO_FB0.MA</v>
      </c>
      <c r="I503" s="25" t="str">
        <f t="shared" si="31"/>
        <v>N/A</v>
      </c>
    </row>
    <row r="504" spans="2:9" x14ac:dyDescent="0.25">
      <c r="B504" s="27" t="s">
        <v>16</v>
      </c>
      <c r="C504" s="27" t="s">
        <v>1596</v>
      </c>
      <c r="D504" s="27">
        <v>0</v>
      </c>
      <c r="E504" s="27" t="s">
        <v>1597</v>
      </c>
      <c r="F504" s="28" t="str">
        <f t="shared" si="28"/>
        <v>A_ABV791002</v>
      </c>
      <c r="G504" s="28" t="str">
        <f t="shared" si="29"/>
        <v>N/A</v>
      </c>
      <c r="H504" s="25" t="str">
        <f t="shared" si="30"/>
        <v>HS791002IO_FB0.MA</v>
      </c>
      <c r="I504" s="25" t="str">
        <f t="shared" si="31"/>
        <v>N/A</v>
      </c>
    </row>
    <row r="505" spans="2:9" x14ac:dyDescent="0.25">
      <c r="B505" s="27" t="s">
        <v>16</v>
      </c>
      <c r="C505" s="27" t="s">
        <v>1598</v>
      </c>
      <c r="D505" s="27">
        <v>0</v>
      </c>
      <c r="E505" s="27" t="s">
        <v>1599</v>
      </c>
      <c r="F505" s="28" t="str">
        <f t="shared" si="28"/>
        <v>A_ABV791009</v>
      </c>
      <c r="G505" s="28" t="str">
        <f t="shared" si="29"/>
        <v>N/A</v>
      </c>
      <c r="H505" s="25" t="str">
        <f t="shared" si="30"/>
        <v>HS791009IO_FB0.MA</v>
      </c>
      <c r="I505" s="25" t="str">
        <f t="shared" si="31"/>
        <v>N/A</v>
      </c>
    </row>
    <row r="506" spans="2:9" x14ac:dyDescent="0.25">
      <c r="B506" s="27" t="s">
        <v>16</v>
      </c>
      <c r="C506" s="27" t="s">
        <v>1600</v>
      </c>
      <c r="D506" s="27">
        <v>0</v>
      </c>
      <c r="E506" s="27" t="s">
        <v>1601</v>
      </c>
      <c r="F506" s="28" t="str">
        <f t="shared" si="28"/>
        <v>A_ABV791011</v>
      </c>
      <c r="G506" s="28" t="str">
        <f t="shared" si="29"/>
        <v>N/A</v>
      </c>
      <c r="H506" s="25" t="str">
        <f t="shared" si="30"/>
        <v>HS791011IO_FB0.MA</v>
      </c>
      <c r="I506" s="25" t="str">
        <f t="shared" si="31"/>
        <v>N/A</v>
      </c>
    </row>
    <row r="507" spans="2:9" x14ac:dyDescent="0.25">
      <c r="B507" s="27" t="s">
        <v>16</v>
      </c>
      <c r="C507" s="27" t="s">
        <v>1602</v>
      </c>
      <c r="D507" s="27">
        <v>0</v>
      </c>
      <c r="E507" s="27" t="s">
        <v>1603</v>
      </c>
      <c r="F507" s="28" t="str">
        <f t="shared" si="28"/>
        <v>A_ABV794001</v>
      </c>
      <c r="G507" s="28" t="str">
        <f t="shared" si="29"/>
        <v>N/A</v>
      </c>
      <c r="H507" s="25" t="str">
        <f t="shared" si="30"/>
        <v>HS794001IO_FB0.MA</v>
      </c>
      <c r="I507" s="25" t="str">
        <f t="shared" si="31"/>
        <v>N/A</v>
      </c>
    </row>
    <row r="508" spans="2:9" x14ac:dyDescent="0.25">
      <c r="B508" s="27" t="s">
        <v>16</v>
      </c>
      <c r="C508" s="27" t="s">
        <v>1604</v>
      </c>
      <c r="D508" s="27">
        <v>0</v>
      </c>
      <c r="E508" s="27" t="s">
        <v>1605</v>
      </c>
      <c r="F508" s="28" t="str">
        <f t="shared" si="28"/>
        <v>A_ABV796008</v>
      </c>
      <c r="G508" s="28" t="str">
        <f t="shared" si="29"/>
        <v>N/A</v>
      </c>
      <c r="H508" s="25" t="str">
        <f t="shared" si="30"/>
        <v>HS796008IO_FB0.MA</v>
      </c>
      <c r="I508" s="25" t="str">
        <f t="shared" si="31"/>
        <v>N/A</v>
      </c>
    </row>
    <row r="509" spans="2:9" x14ac:dyDescent="0.25">
      <c r="B509" s="27" t="s">
        <v>16</v>
      </c>
      <c r="C509" s="27" t="s">
        <v>1606</v>
      </c>
      <c r="D509" s="27">
        <v>0</v>
      </c>
      <c r="E509" s="27" t="s">
        <v>1607</v>
      </c>
      <c r="F509" s="28" t="str">
        <f t="shared" si="28"/>
        <v>A_ABV796010</v>
      </c>
      <c r="G509" s="28" t="str">
        <f t="shared" si="29"/>
        <v>N/A</v>
      </c>
      <c r="H509" s="25" t="str">
        <f t="shared" si="30"/>
        <v>HS796010IO_FB0.MA</v>
      </c>
      <c r="I509" s="25" t="str">
        <f t="shared" si="31"/>
        <v>N/A</v>
      </c>
    </row>
    <row r="510" spans="2:9" x14ac:dyDescent="0.25">
      <c r="B510" s="27" t="s">
        <v>16</v>
      </c>
      <c r="C510" s="27" t="s">
        <v>1608</v>
      </c>
      <c r="D510" s="27">
        <v>0</v>
      </c>
      <c r="E510" s="27" t="s">
        <v>1609</v>
      </c>
      <c r="F510" s="28" t="str">
        <f t="shared" si="28"/>
        <v>A_ABV796025</v>
      </c>
      <c r="G510" s="28" t="str">
        <f t="shared" si="29"/>
        <v>N/A</v>
      </c>
      <c r="H510" s="25" t="str">
        <f t="shared" si="30"/>
        <v>HS796025IO_FB0.MA</v>
      </c>
      <c r="I510" s="25" t="str">
        <f t="shared" si="31"/>
        <v>N/A</v>
      </c>
    </row>
    <row r="511" spans="2:9" x14ac:dyDescent="0.25">
      <c r="B511" s="27" t="s">
        <v>16</v>
      </c>
      <c r="C511" s="27" t="s">
        <v>1610</v>
      </c>
      <c r="D511" s="27">
        <v>0</v>
      </c>
      <c r="E511" s="27" t="s">
        <v>1611</v>
      </c>
      <c r="F511" s="28" t="str">
        <f t="shared" si="28"/>
        <v>A_ABV799001</v>
      </c>
      <c r="G511" s="28" t="str">
        <f t="shared" si="29"/>
        <v>N/A</v>
      </c>
      <c r="H511" s="25" t="str">
        <f t="shared" si="30"/>
        <v>HS799001IO_FB1.MA</v>
      </c>
      <c r="I511" s="25" t="str">
        <f t="shared" si="31"/>
        <v>N/A</v>
      </c>
    </row>
    <row r="512" spans="2:9" x14ac:dyDescent="0.25">
      <c r="B512" s="27" t="s">
        <v>16</v>
      </c>
      <c r="C512" s="27" t="s">
        <v>1612</v>
      </c>
      <c r="D512" s="27">
        <v>2</v>
      </c>
      <c r="E512" s="27" t="s">
        <v>1613</v>
      </c>
      <c r="F512" s="28" t="str">
        <f t="shared" si="28"/>
        <v>HS799645</v>
      </c>
      <c r="G512" s="28" t="str">
        <f t="shared" si="29"/>
        <v>N/A</v>
      </c>
      <c r="H512" s="25" t="str">
        <f t="shared" si="30"/>
        <v>HS799645AIO.MA</v>
      </c>
      <c r="I512" s="25" t="str">
        <f t="shared" si="31"/>
        <v>N/A</v>
      </c>
    </row>
    <row r="513" spans="2:9" x14ac:dyDescent="0.25">
      <c r="B513" s="27" t="s">
        <v>16</v>
      </c>
      <c r="C513" s="27" t="s">
        <v>1614</v>
      </c>
      <c r="D513" s="27">
        <v>2</v>
      </c>
      <c r="E513" s="27" t="s">
        <v>1613</v>
      </c>
      <c r="F513" s="28" t="str">
        <f t="shared" si="28"/>
        <v>HS799645</v>
      </c>
      <c r="G513" s="28" t="str">
        <f t="shared" si="29"/>
        <v>N/A</v>
      </c>
      <c r="H513" s="25" t="str">
        <f t="shared" si="30"/>
        <v>HS799645AIO_2oo2_MB1.MA</v>
      </c>
      <c r="I513" s="25" t="str">
        <f t="shared" si="31"/>
        <v>N/A</v>
      </c>
    </row>
    <row r="514" spans="2:9" x14ac:dyDescent="0.25">
      <c r="B514" s="27" t="s">
        <v>16</v>
      </c>
      <c r="C514" s="27" t="s">
        <v>1615</v>
      </c>
      <c r="D514" s="27">
        <v>2</v>
      </c>
      <c r="E514" s="27" t="s">
        <v>1613</v>
      </c>
      <c r="F514" s="28" t="str">
        <f t="shared" ref="F514:F561" si="32">+LEFT(E514,FIND(".",E514,1)-1)</f>
        <v>HS799645</v>
      </c>
      <c r="G514" s="28" t="str">
        <f t="shared" ref="G514:G561" si="33">+IFERROR(IF(LEFT(VLOOKUP(F514,DI,6,FALSE),2)="IO",2,0),"N/A")</f>
        <v>N/A</v>
      </c>
      <c r="H514" s="25" t="str">
        <f t="shared" ref="H514:H561" si="34">+CONCATENATE(C514,".MA")</f>
        <v>HS799645AIO_2oo2_MB2.MA</v>
      </c>
      <c r="I514" s="25" t="str">
        <f t="shared" si="31"/>
        <v>N/A</v>
      </c>
    </row>
    <row r="515" spans="2:9" x14ac:dyDescent="0.25">
      <c r="B515" s="27" t="s">
        <v>16</v>
      </c>
      <c r="C515" s="27" t="s">
        <v>1616</v>
      </c>
      <c r="D515" s="27">
        <v>2</v>
      </c>
      <c r="E515" s="27" t="s">
        <v>1613</v>
      </c>
      <c r="F515" s="28" t="str">
        <f t="shared" si="32"/>
        <v>HS799645</v>
      </c>
      <c r="G515" s="28" t="str">
        <f t="shared" si="33"/>
        <v>N/A</v>
      </c>
      <c r="H515" s="25" t="str">
        <f t="shared" si="34"/>
        <v>HS799645BIO.MA</v>
      </c>
      <c r="I515" s="25" t="str">
        <f t="shared" ref="I515:I561" si="35">+G515</f>
        <v>N/A</v>
      </c>
    </row>
    <row r="516" spans="2:9" x14ac:dyDescent="0.25">
      <c r="B516" s="27" t="s">
        <v>16</v>
      </c>
      <c r="C516" s="27" t="s">
        <v>1617</v>
      </c>
      <c r="D516" s="27">
        <v>2</v>
      </c>
      <c r="E516" s="27" t="s">
        <v>1618</v>
      </c>
      <c r="F516" s="28" t="str">
        <f t="shared" si="32"/>
        <v>HS799646</v>
      </c>
      <c r="G516" s="28" t="str">
        <f t="shared" si="33"/>
        <v>N/A</v>
      </c>
      <c r="H516" s="25" t="str">
        <f t="shared" si="34"/>
        <v>HS799646IO.MA</v>
      </c>
      <c r="I516" s="25" t="str">
        <f t="shared" si="35"/>
        <v>N/A</v>
      </c>
    </row>
    <row r="517" spans="2:9" x14ac:dyDescent="0.25">
      <c r="B517" s="27" t="s">
        <v>16</v>
      </c>
      <c r="C517" s="27" t="s">
        <v>1619</v>
      </c>
      <c r="D517" s="27">
        <v>0</v>
      </c>
      <c r="E517" s="27" t="s">
        <v>1620</v>
      </c>
      <c r="F517" s="28" t="str">
        <f t="shared" si="32"/>
        <v>XA799013</v>
      </c>
      <c r="G517" s="28" t="str">
        <f t="shared" si="33"/>
        <v>N/A</v>
      </c>
      <c r="H517" s="25" t="str">
        <f t="shared" si="34"/>
        <v>XA799013IO.MA</v>
      </c>
      <c r="I517" s="25" t="str">
        <f t="shared" si="35"/>
        <v>N/A</v>
      </c>
    </row>
    <row r="518" spans="2:9" x14ac:dyDescent="0.25">
      <c r="B518" s="27" t="s">
        <v>16</v>
      </c>
      <c r="C518" s="27" t="s">
        <v>1621</v>
      </c>
      <c r="D518" s="27">
        <v>2</v>
      </c>
      <c r="E518" s="27" t="s">
        <v>1622</v>
      </c>
      <c r="F518" s="28" t="str">
        <f t="shared" si="32"/>
        <v>XS799602</v>
      </c>
      <c r="G518" s="28" t="str">
        <f t="shared" si="33"/>
        <v>N/A</v>
      </c>
      <c r="H518" s="25" t="str">
        <f t="shared" si="34"/>
        <v>XA799602IO.MA</v>
      </c>
      <c r="I518" s="25" t="str">
        <f t="shared" si="35"/>
        <v>N/A</v>
      </c>
    </row>
    <row r="519" spans="2:9" x14ac:dyDescent="0.25">
      <c r="B519" s="27" t="s">
        <v>16</v>
      </c>
      <c r="C519" s="27" t="s">
        <v>1623</v>
      </c>
      <c r="D519" s="27">
        <v>2</v>
      </c>
      <c r="E519" s="27" t="s">
        <v>1624</v>
      </c>
      <c r="F519" s="28" t="str">
        <f t="shared" si="32"/>
        <v>XS799605</v>
      </c>
      <c r="G519" s="28" t="str">
        <f t="shared" si="33"/>
        <v>N/A</v>
      </c>
      <c r="H519" s="25" t="str">
        <f t="shared" si="34"/>
        <v>XA799605IO.MA</v>
      </c>
      <c r="I519" s="25" t="str">
        <f t="shared" si="35"/>
        <v>N/A</v>
      </c>
    </row>
    <row r="520" spans="2:9" x14ac:dyDescent="0.25">
      <c r="B520" s="27" t="s">
        <v>16</v>
      </c>
      <c r="C520" s="27" t="s">
        <v>1625</v>
      </c>
      <c r="D520" s="27">
        <v>2</v>
      </c>
      <c r="E520" s="27" t="s">
        <v>1626</v>
      </c>
      <c r="F520" s="28" t="str">
        <f t="shared" si="32"/>
        <v>XS799609</v>
      </c>
      <c r="G520" s="28" t="str">
        <f t="shared" si="33"/>
        <v>N/A</v>
      </c>
      <c r="H520" s="25" t="str">
        <f t="shared" si="34"/>
        <v>XA799609IO.MA</v>
      </c>
      <c r="I520" s="25" t="str">
        <f t="shared" si="35"/>
        <v>N/A</v>
      </c>
    </row>
    <row r="521" spans="2:9" x14ac:dyDescent="0.25">
      <c r="B521" s="27" t="s">
        <v>16</v>
      </c>
      <c r="C521" s="27" t="s">
        <v>1627</v>
      </c>
      <c r="D521" s="27">
        <v>2</v>
      </c>
      <c r="E521" s="27" t="s">
        <v>1628</v>
      </c>
      <c r="F521" s="28" t="str">
        <f t="shared" si="32"/>
        <v>XS799612</v>
      </c>
      <c r="G521" s="28" t="str">
        <f t="shared" si="33"/>
        <v>N/A</v>
      </c>
      <c r="H521" s="25" t="str">
        <f t="shared" si="34"/>
        <v>XA799612IO.MA</v>
      </c>
      <c r="I521" s="25" t="str">
        <f t="shared" si="35"/>
        <v>N/A</v>
      </c>
    </row>
    <row r="522" spans="2:9" x14ac:dyDescent="0.25">
      <c r="B522" s="27" t="s">
        <v>16</v>
      </c>
      <c r="C522" s="27" t="s">
        <v>1629</v>
      </c>
      <c r="D522" s="27">
        <v>2</v>
      </c>
      <c r="E522" s="27" t="s">
        <v>1630</v>
      </c>
      <c r="F522" s="28" t="str">
        <f t="shared" si="32"/>
        <v>XS799618</v>
      </c>
      <c r="G522" s="28" t="str">
        <f t="shared" si="33"/>
        <v>N/A</v>
      </c>
      <c r="H522" s="25" t="str">
        <f t="shared" si="34"/>
        <v>XA799618IO.MA</v>
      </c>
      <c r="I522" s="25" t="str">
        <f t="shared" si="35"/>
        <v>N/A</v>
      </c>
    </row>
    <row r="523" spans="2:9" x14ac:dyDescent="0.25">
      <c r="B523" s="27" t="s">
        <v>16</v>
      </c>
      <c r="C523" s="27" t="s">
        <v>1631</v>
      </c>
      <c r="D523" s="27">
        <v>2</v>
      </c>
      <c r="E523" s="27" t="s">
        <v>1632</v>
      </c>
      <c r="F523" s="28" t="str">
        <f t="shared" si="32"/>
        <v>XS799619</v>
      </c>
      <c r="G523" s="28" t="str">
        <f t="shared" si="33"/>
        <v>N/A</v>
      </c>
      <c r="H523" s="25" t="str">
        <f t="shared" si="34"/>
        <v>XA799619IO.MA</v>
      </c>
      <c r="I523" s="25" t="str">
        <f t="shared" si="35"/>
        <v>N/A</v>
      </c>
    </row>
    <row r="524" spans="2:9" x14ac:dyDescent="0.25">
      <c r="B524" s="27" t="s">
        <v>16</v>
      </c>
      <c r="C524" s="27" t="s">
        <v>1633</v>
      </c>
      <c r="D524" s="27">
        <v>2</v>
      </c>
      <c r="E524" s="27" t="s">
        <v>1634</v>
      </c>
      <c r="F524" s="28" t="str">
        <f t="shared" si="32"/>
        <v>XS799620</v>
      </c>
      <c r="G524" s="28" t="str">
        <f t="shared" si="33"/>
        <v>N/A</v>
      </c>
      <c r="H524" s="25" t="str">
        <f t="shared" si="34"/>
        <v>XA799620IO.MA</v>
      </c>
      <c r="I524" s="25" t="str">
        <f t="shared" si="35"/>
        <v>N/A</v>
      </c>
    </row>
    <row r="525" spans="2:9" x14ac:dyDescent="0.25">
      <c r="B525" s="27" t="s">
        <v>16</v>
      </c>
      <c r="C525" s="27" t="s">
        <v>1635</v>
      </c>
      <c r="D525" s="27">
        <v>2</v>
      </c>
      <c r="E525" s="27" t="s">
        <v>1636</v>
      </c>
      <c r="F525" s="28" t="str">
        <f t="shared" si="32"/>
        <v>XS799621</v>
      </c>
      <c r="G525" s="28" t="str">
        <f t="shared" si="33"/>
        <v>N/A</v>
      </c>
      <c r="H525" s="25" t="str">
        <f t="shared" si="34"/>
        <v>XA799621IO.MA</v>
      </c>
      <c r="I525" s="25" t="str">
        <f t="shared" si="35"/>
        <v>N/A</v>
      </c>
    </row>
    <row r="526" spans="2:9" x14ac:dyDescent="0.25">
      <c r="B526" s="27" t="s">
        <v>16</v>
      </c>
      <c r="C526" s="27" t="s">
        <v>1637</v>
      </c>
      <c r="D526" s="27">
        <v>2</v>
      </c>
      <c r="E526" s="27" t="s">
        <v>1638</v>
      </c>
      <c r="F526" s="28" t="str">
        <f t="shared" si="32"/>
        <v>XS799630</v>
      </c>
      <c r="G526" s="28" t="str">
        <f t="shared" si="33"/>
        <v>N/A</v>
      </c>
      <c r="H526" s="25" t="str">
        <f t="shared" si="34"/>
        <v>XA799630IO.MA</v>
      </c>
      <c r="I526" s="25" t="str">
        <f t="shared" si="35"/>
        <v>N/A</v>
      </c>
    </row>
    <row r="527" spans="2:9" x14ac:dyDescent="0.25">
      <c r="B527" s="27" t="s">
        <v>16</v>
      </c>
      <c r="C527" s="27" t="s">
        <v>1639</v>
      </c>
      <c r="D527" s="27">
        <v>2</v>
      </c>
      <c r="E527" s="27" t="s">
        <v>1640</v>
      </c>
      <c r="F527" s="28" t="str">
        <f t="shared" si="32"/>
        <v>XS799631</v>
      </c>
      <c r="G527" s="28" t="str">
        <f t="shared" si="33"/>
        <v>N/A</v>
      </c>
      <c r="H527" s="25" t="str">
        <f t="shared" si="34"/>
        <v>XA799631IO.MA</v>
      </c>
      <c r="I527" s="25" t="str">
        <f t="shared" si="35"/>
        <v>N/A</v>
      </c>
    </row>
    <row r="528" spans="2:9" x14ac:dyDescent="0.25">
      <c r="B528" s="27" t="s">
        <v>16</v>
      </c>
      <c r="C528" s="27" t="s">
        <v>1641</v>
      </c>
      <c r="D528" s="27">
        <v>2</v>
      </c>
      <c r="E528" s="27" t="s">
        <v>1642</v>
      </c>
      <c r="F528" s="28" t="str">
        <f t="shared" si="32"/>
        <v>XS799632</v>
      </c>
      <c r="G528" s="28" t="str">
        <f t="shared" si="33"/>
        <v>N/A</v>
      </c>
      <c r="H528" s="25" t="str">
        <f t="shared" si="34"/>
        <v>XA799632IO.MA</v>
      </c>
      <c r="I528" s="25" t="str">
        <f t="shared" si="35"/>
        <v>N/A</v>
      </c>
    </row>
    <row r="529" spans="2:9" x14ac:dyDescent="0.25">
      <c r="B529" s="27" t="s">
        <v>16</v>
      </c>
      <c r="C529" s="27" t="s">
        <v>1643</v>
      </c>
      <c r="D529" s="27">
        <v>2</v>
      </c>
      <c r="E529" s="27" t="s">
        <v>1644</v>
      </c>
      <c r="F529" s="28" t="str">
        <f t="shared" si="32"/>
        <v>XS799633</v>
      </c>
      <c r="G529" s="28" t="str">
        <f t="shared" si="33"/>
        <v>N/A</v>
      </c>
      <c r="H529" s="25" t="str">
        <f t="shared" si="34"/>
        <v>XA799633IO.MA</v>
      </c>
      <c r="I529" s="25" t="str">
        <f t="shared" si="35"/>
        <v>N/A</v>
      </c>
    </row>
    <row r="530" spans="2:9" x14ac:dyDescent="0.25">
      <c r="B530" s="27" t="s">
        <v>16</v>
      </c>
      <c r="C530" s="27" t="s">
        <v>1645</v>
      </c>
      <c r="D530" s="27">
        <v>2</v>
      </c>
      <c r="E530" s="27" t="s">
        <v>1646</v>
      </c>
      <c r="F530" s="28" t="str">
        <f t="shared" si="32"/>
        <v>XS799634</v>
      </c>
      <c r="G530" s="28" t="str">
        <f t="shared" si="33"/>
        <v>N/A</v>
      </c>
      <c r="H530" s="25" t="str">
        <f t="shared" si="34"/>
        <v>XA799634IO.MA</v>
      </c>
      <c r="I530" s="25" t="str">
        <f t="shared" si="35"/>
        <v>N/A</v>
      </c>
    </row>
    <row r="531" spans="2:9" x14ac:dyDescent="0.25">
      <c r="B531" s="27" t="s">
        <v>16</v>
      </c>
      <c r="C531" s="27" t="s">
        <v>1647</v>
      </c>
      <c r="D531" s="27">
        <v>2</v>
      </c>
      <c r="E531" s="27" t="s">
        <v>1648</v>
      </c>
      <c r="F531" s="28" t="str">
        <f t="shared" si="32"/>
        <v>XS799635</v>
      </c>
      <c r="G531" s="28" t="str">
        <f t="shared" si="33"/>
        <v>N/A</v>
      </c>
      <c r="H531" s="25" t="str">
        <f t="shared" si="34"/>
        <v>XA799635IO.MA</v>
      </c>
      <c r="I531" s="25" t="str">
        <f t="shared" si="35"/>
        <v>N/A</v>
      </c>
    </row>
    <row r="532" spans="2:9" x14ac:dyDescent="0.25">
      <c r="B532" s="27" t="s">
        <v>16</v>
      </c>
      <c r="C532" s="27" t="s">
        <v>1649</v>
      </c>
      <c r="D532" s="27">
        <v>2</v>
      </c>
      <c r="E532" s="27" t="s">
        <v>1650</v>
      </c>
      <c r="F532" s="28" t="str">
        <f t="shared" si="32"/>
        <v>XS799637</v>
      </c>
      <c r="G532" s="28" t="str">
        <f t="shared" si="33"/>
        <v>N/A</v>
      </c>
      <c r="H532" s="25" t="str">
        <f t="shared" si="34"/>
        <v>XA799637IO.MA</v>
      </c>
      <c r="I532" s="25" t="str">
        <f t="shared" si="35"/>
        <v>N/A</v>
      </c>
    </row>
    <row r="533" spans="2:9" x14ac:dyDescent="0.25">
      <c r="B533" s="27" t="s">
        <v>16</v>
      </c>
      <c r="C533" s="27" t="s">
        <v>1651</v>
      </c>
      <c r="D533" s="27">
        <v>2</v>
      </c>
      <c r="E533" s="27" t="s">
        <v>1652</v>
      </c>
      <c r="F533" s="28" t="str">
        <f t="shared" si="32"/>
        <v>XS799643</v>
      </c>
      <c r="G533" s="28" t="str">
        <f t="shared" si="33"/>
        <v>N/A</v>
      </c>
      <c r="H533" s="25" t="str">
        <f t="shared" si="34"/>
        <v>XA799643IO.MA</v>
      </c>
      <c r="I533" s="25" t="str">
        <f t="shared" si="35"/>
        <v>N/A</v>
      </c>
    </row>
    <row r="534" spans="2:9" x14ac:dyDescent="0.25">
      <c r="B534" s="27" t="s">
        <v>16</v>
      </c>
      <c r="C534" s="27" t="s">
        <v>1653</v>
      </c>
      <c r="D534" s="27">
        <v>2</v>
      </c>
      <c r="E534" s="27" t="s">
        <v>1654</v>
      </c>
      <c r="F534" s="28" t="str">
        <f t="shared" si="32"/>
        <v>XS799652</v>
      </c>
      <c r="G534" s="28" t="str">
        <f t="shared" si="33"/>
        <v>N/A</v>
      </c>
      <c r="H534" s="25" t="str">
        <f t="shared" si="34"/>
        <v>XA799652IO.MA</v>
      </c>
      <c r="I534" s="25" t="str">
        <f t="shared" si="35"/>
        <v>N/A</v>
      </c>
    </row>
    <row r="535" spans="2:9" x14ac:dyDescent="0.25">
      <c r="B535" s="27" t="s">
        <v>16</v>
      </c>
      <c r="C535" s="27" t="s">
        <v>1655</v>
      </c>
      <c r="D535" s="27">
        <v>2</v>
      </c>
      <c r="E535" s="27" t="s">
        <v>1656</v>
      </c>
      <c r="F535" s="28" t="str">
        <f t="shared" si="32"/>
        <v>XS799653</v>
      </c>
      <c r="G535" s="28" t="str">
        <f t="shared" si="33"/>
        <v>N/A</v>
      </c>
      <c r="H535" s="25" t="str">
        <f t="shared" si="34"/>
        <v>XA799653IO.MA</v>
      </c>
      <c r="I535" s="25" t="str">
        <f t="shared" si="35"/>
        <v>N/A</v>
      </c>
    </row>
    <row r="536" spans="2:9" x14ac:dyDescent="0.25">
      <c r="B536" s="27" t="s">
        <v>16</v>
      </c>
      <c r="C536" s="27" t="s">
        <v>1657</v>
      </c>
      <c r="D536" s="27">
        <v>2</v>
      </c>
      <c r="E536" s="27" t="s">
        <v>1658</v>
      </c>
      <c r="F536" s="28" t="str">
        <f t="shared" si="32"/>
        <v>XS799654</v>
      </c>
      <c r="G536" s="28" t="str">
        <f t="shared" si="33"/>
        <v>N/A</v>
      </c>
      <c r="H536" s="25" t="str">
        <f t="shared" si="34"/>
        <v>XA799654IO.MA</v>
      </c>
      <c r="I536" s="25" t="str">
        <f t="shared" si="35"/>
        <v>N/A</v>
      </c>
    </row>
    <row r="537" spans="2:9" x14ac:dyDescent="0.25">
      <c r="B537" s="27" t="s">
        <v>16</v>
      </c>
      <c r="C537" s="27" t="s">
        <v>1659</v>
      </c>
      <c r="D537" s="27">
        <v>2</v>
      </c>
      <c r="E537" s="27" t="s">
        <v>1660</v>
      </c>
      <c r="F537" s="28" t="str">
        <f t="shared" si="32"/>
        <v>XS799655</v>
      </c>
      <c r="G537" s="28" t="str">
        <f t="shared" si="33"/>
        <v>N/A</v>
      </c>
      <c r="H537" s="25" t="str">
        <f t="shared" si="34"/>
        <v>XA799655IO.MA</v>
      </c>
      <c r="I537" s="25" t="str">
        <f t="shared" si="35"/>
        <v>N/A</v>
      </c>
    </row>
    <row r="538" spans="2:9" x14ac:dyDescent="0.25">
      <c r="B538" s="27" t="s">
        <v>16</v>
      </c>
      <c r="C538" s="27" t="s">
        <v>1661</v>
      </c>
      <c r="D538" s="27">
        <v>2</v>
      </c>
      <c r="E538" s="27" t="s">
        <v>1662</v>
      </c>
      <c r="F538" s="28" t="str">
        <f t="shared" si="32"/>
        <v>XS799656</v>
      </c>
      <c r="G538" s="28" t="str">
        <f t="shared" si="33"/>
        <v>N/A</v>
      </c>
      <c r="H538" s="25" t="str">
        <f t="shared" si="34"/>
        <v>XA799656IO.MA</v>
      </c>
      <c r="I538" s="25" t="str">
        <f t="shared" si="35"/>
        <v>N/A</v>
      </c>
    </row>
    <row r="539" spans="2:9" x14ac:dyDescent="0.25">
      <c r="B539" s="27" t="s">
        <v>16</v>
      </c>
      <c r="C539" s="27" t="s">
        <v>1663</v>
      </c>
      <c r="D539" s="27">
        <v>2</v>
      </c>
      <c r="E539" s="27" t="s">
        <v>1664</v>
      </c>
      <c r="F539" s="28" t="str">
        <f t="shared" si="32"/>
        <v>XS799657</v>
      </c>
      <c r="G539" s="28" t="str">
        <f t="shared" si="33"/>
        <v>N/A</v>
      </c>
      <c r="H539" s="25" t="str">
        <f t="shared" si="34"/>
        <v>XA799657IO.MA</v>
      </c>
      <c r="I539" s="25" t="str">
        <f t="shared" si="35"/>
        <v>N/A</v>
      </c>
    </row>
    <row r="540" spans="2:9" x14ac:dyDescent="0.25">
      <c r="B540" s="27" t="s">
        <v>16</v>
      </c>
      <c r="C540" s="27" t="s">
        <v>1665</v>
      </c>
      <c r="D540" s="27">
        <v>2</v>
      </c>
      <c r="E540" s="27" t="s">
        <v>1666</v>
      </c>
      <c r="F540" s="28" t="str">
        <f t="shared" si="32"/>
        <v>ZS799616</v>
      </c>
      <c r="G540" s="28" t="str">
        <f t="shared" si="33"/>
        <v>N/A</v>
      </c>
      <c r="H540" s="25" t="str">
        <f t="shared" si="34"/>
        <v>ZA799616IO.MA</v>
      </c>
      <c r="I540" s="25" t="str">
        <f t="shared" si="35"/>
        <v>N/A</v>
      </c>
    </row>
    <row r="541" spans="2:9" x14ac:dyDescent="0.25">
      <c r="B541" s="27" t="s">
        <v>16</v>
      </c>
      <c r="C541" s="27" t="s">
        <v>1667</v>
      </c>
      <c r="D541" s="27">
        <v>2</v>
      </c>
      <c r="E541" s="27" t="s">
        <v>1668</v>
      </c>
      <c r="F541" s="28" t="str">
        <f t="shared" si="32"/>
        <v>ZS799617</v>
      </c>
      <c r="G541" s="28" t="str">
        <f t="shared" si="33"/>
        <v>N/A</v>
      </c>
      <c r="H541" s="25" t="str">
        <f t="shared" si="34"/>
        <v>ZA799617IO.MA</v>
      </c>
      <c r="I541" s="25" t="str">
        <f t="shared" si="35"/>
        <v>N/A</v>
      </c>
    </row>
    <row r="542" spans="2:9" x14ac:dyDescent="0.25">
      <c r="B542" s="27" t="s">
        <v>16</v>
      </c>
      <c r="C542" s="27" t="s">
        <v>1669</v>
      </c>
      <c r="D542" s="27">
        <v>0</v>
      </c>
      <c r="E542" s="27" t="s">
        <v>1670</v>
      </c>
      <c r="F542" s="28" t="str">
        <f t="shared" si="32"/>
        <v>A_PV722003A</v>
      </c>
      <c r="G542" s="28" t="str">
        <f t="shared" si="33"/>
        <v>N/A</v>
      </c>
      <c r="H542" s="25" t="str">
        <f t="shared" si="34"/>
        <v>ZI722003IO_FB0.MA</v>
      </c>
      <c r="I542" s="25" t="str">
        <f t="shared" si="35"/>
        <v>N/A</v>
      </c>
    </row>
    <row r="543" spans="2:9" x14ac:dyDescent="0.25">
      <c r="B543" s="27" t="s">
        <v>16</v>
      </c>
      <c r="C543" s="27" t="s">
        <v>1671</v>
      </c>
      <c r="D543" s="27">
        <v>0</v>
      </c>
      <c r="E543" s="27" t="s">
        <v>1672</v>
      </c>
      <c r="F543" s="28" t="str">
        <f t="shared" si="32"/>
        <v>A_PV730005A</v>
      </c>
      <c r="G543" s="28" t="str">
        <f t="shared" si="33"/>
        <v>N/A</v>
      </c>
      <c r="H543" s="25" t="str">
        <f t="shared" si="34"/>
        <v>ZI730005AIO.MA</v>
      </c>
      <c r="I543" s="25" t="str">
        <f t="shared" si="35"/>
        <v>N/A</v>
      </c>
    </row>
    <row r="544" spans="2:9" x14ac:dyDescent="0.25">
      <c r="B544" s="27" t="s">
        <v>16</v>
      </c>
      <c r="C544" s="27" t="s">
        <v>1673</v>
      </c>
      <c r="D544" s="27">
        <v>0</v>
      </c>
      <c r="E544" s="27" t="s">
        <v>1674</v>
      </c>
      <c r="F544" s="28" t="str">
        <f t="shared" si="32"/>
        <v>A_PV760201A</v>
      </c>
      <c r="G544" s="28" t="str">
        <f t="shared" si="33"/>
        <v>N/A</v>
      </c>
      <c r="H544" s="25" t="str">
        <f t="shared" si="34"/>
        <v>ZI760201AIO_FB0.MA</v>
      </c>
      <c r="I544" s="25" t="str">
        <f t="shared" si="35"/>
        <v>N/A</v>
      </c>
    </row>
    <row r="545" spans="2:9" x14ac:dyDescent="0.25">
      <c r="B545" s="27" t="s">
        <v>16</v>
      </c>
      <c r="C545" s="27" t="s">
        <v>1675</v>
      </c>
      <c r="D545" s="27">
        <v>0</v>
      </c>
      <c r="E545" s="27" t="s">
        <v>1676</v>
      </c>
      <c r="F545" s="28" t="str">
        <f t="shared" si="32"/>
        <v>A_PV760201A</v>
      </c>
      <c r="G545" s="28" t="str">
        <f t="shared" si="33"/>
        <v>N/A</v>
      </c>
      <c r="H545" s="25" t="str">
        <f t="shared" si="34"/>
        <v>ZI760201AIO_FB1.MA</v>
      </c>
      <c r="I545" s="25" t="str">
        <f t="shared" si="35"/>
        <v>N/A</v>
      </c>
    </row>
    <row r="546" spans="2:9" x14ac:dyDescent="0.25">
      <c r="B546" s="27" t="s">
        <v>16</v>
      </c>
      <c r="C546" s="27" t="s">
        <v>1677</v>
      </c>
      <c r="D546" s="27">
        <v>2</v>
      </c>
      <c r="E546" s="27" t="s">
        <v>1678</v>
      </c>
      <c r="F546" s="28" t="str">
        <f t="shared" si="32"/>
        <v>ZS799101</v>
      </c>
      <c r="G546" s="28" t="str">
        <f t="shared" si="33"/>
        <v>N/A</v>
      </c>
      <c r="H546" s="25" t="str">
        <f t="shared" si="34"/>
        <v>ZI799101IO.MA</v>
      </c>
      <c r="I546" s="25" t="str">
        <f t="shared" si="35"/>
        <v>N/A</v>
      </c>
    </row>
    <row r="547" spans="2:9" x14ac:dyDescent="0.25">
      <c r="B547" s="27" t="s">
        <v>16</v>
      </c>
      <c r="C547" s="27" t="s">
        <v>1679</v>
      </c>
      <c r="D547" s="27">
        <v>2</v>
      </c>
      <c r="E547" s="27" t="s">
        <v>1680</v>
      </c>
      <c r="F547" s="28" t="str">
        <f t="shared" si="32"/>
        <v>ZS799103</v>
      </c>
      <c r="G547" s="28" t="str">
        <f t="shared" si="33"/>
        <v>N/A</v>
      </c>
      <c r="H547" s="25" t="str">
        <f t="shared" si="34"/>
        <v>ZI799103IO.MA</v>
      </c>
      <c r="I547" s="25" t="str">
        <f t="shared" si="35"/>
        <v>N/A</v>
      </c>
    </row>
    <row r="548" spans="2:9" x14ac:dyDescent="0.25">
      <c r="B548" s="27" t="s">
        <v>16</v>
      </c>
      <c r="C548" s="27" t="s">
        <v>1681</v>
      </c>
      <c r="D548" s="27">
        <v>2</v>
      </c>
      <c r="E548" s="27" t="s">
        <v>1682</v>
      </c>
      <c r="F548" s="28" t="str">
        <f t="shared" si="32"/>
        <v>ZS799105</v>
      </c>
      <c r="G548" s="28" t="str">
        <f t="shared" si="33"/>
        <v>N/A</v>
      </c>
      <c r="H548" s="25" t="str">
        <f t="shared" si="34"/>
        <v>ZI799105IO.MA</v>
      </c>
      <c r="I548" s="25" t="str">
        <f t="shared" si="35"/>
        <v>N/A</v>
      </c>
    </row>
    <row r="549" spans="2:9" x14ac:dyDescent="0.25">
      <c r="B549" s="27" t="s">
        <v>16</v>
      </c>
      <c r="C549" s="27" t="s">
        <v>1683</v>
      </c>
      <c r="D549" s="27">
        <v>2</v>
      </c>
      <c r="E549" s="27" t="s">
        <v>1684</v>
      </c>
      <c r="F549" s="28" t="str">
        <f t="shared" si="32"/>
        <v>ZS799107</v>
      </c>
      <c r="G549" s="28" t="str">
        <f t="shared" si="33"/>
        <v>N/A</v>
      </c>
      <c r="H549" s="25" t="str">
        <f t="shared" si="34"/>
        <v>ZI799107IO.MA</v>
      </c>
      <c r="I549" s="25" t="str">
        <f t="shared" si="35"/>
        <v>N/A</v>
      </c>
    </row>
    <row r="550" spans="2:9" x14ac:dyDescent="0.25">
      <c r="B550" s="27" t="s">
        <v>16</v>
      </c>
      <c r="C550" s="27" t="s">
        <v>1685</v>
      </c>
      <c r="D550" s="27">
        <v>2</v>
      </c>
      <c r="E550" s="27" t="s">
        <v>1686</v>
      </c>
      <c r="F550" s="28" t="str">
        <f t="shared" si="32"/>
        <v>ZS799109</v>
      </c>
      <c r="G550" s="28" t="str">
        <f t="shared" si="33"/>
        <v>N/A</v>
      </c>
      <c r="H550" s="25" t="str">
        <f t="shared" si="34"/>
        <v>ZI799109IO.MA</v>
      </c>
      <c r="I550" s="25" t="str">
        <f t="shared" si="35"/>
        <v>N/A</v>
      </c>
    </row>
    <row r="551" spans="2:9" x14ac:dyDescent="0.25">
      <c r="B551" s="27" t="s">
        <v>16</v>
      </c>
      <c r="C551" s="27" t="s">
        <v>1687</v>
      </c>
      <c r="D551" s="27">
        <v>2</v>
      </c>
      <c r="E551" s="27" t="s">
        <v>1688</v>
      </c>
      <c r="F551" s="28" t="str">
        <f t="shared" si="32"/>
        <v>ZS799111</v>
      </c>
      <c r="G551" s="28" t="str">
        <f t="shared" si="33"/>
        <v>N/A</v>
      </c>
      <c r="H551" s="25" t="str">
        <f t="shared" si="34"/>
        <v>ZI799111IO.MA</v>
      </c>
      <c r="I551" s="25" t="str">
        <f t="shared" si="35"/>
        <v>N/A</v>
      </c>
    </row>
    <row r="552" spans="2:9" x14ac:dyDescent="0.25">
      <c r="B552" s="27" t="s">
        <v>16</v>
      </c>
      <c r="C552" s="27" t="s">
        <v>1689</v>
      </c>
      <c r="D552" s="27">
        <v>2</v>
      </c>
      <c r="E552" s="27" t="s">
        <v>1690</v>
      </c>
      <c r="F552" s="28" t="str">
        <f t="shared" si="32"/>
        <v>ZS799113</v>
      </c>
      <c r="G552" s="28" t="str">
        <f t="shared" si="33"/>
        <v>N/A</v>
      </c>
      <c r="H552" s="25" t="str">
        <f t="shared" si="34"/>
        <v>ZI799113IO.MA</v>
      </c>
      <c r="I552" s="25" t="str">
        <f t="shared" si="35"/>
        <v>N/A</v>
      </c>
    </row>
    <row r="553" spans="2:9" x14ac:dyDescent="0.25">
      <c r="B553" s="27" t="s">
        <v>16</v>
      </c>
      <c r="C553" s="27" t="s">
        <v>1691</v>
      </c>
      <c r="D553" s="27">
        <v>2</v>
      </c>
      <c r="E553" s="27" t="s">
        <v>1692</v>
      </c>
      <c r="F553" s="28" t="str">
        <f t="shared" si="32"/>
        <v>ZS799115</v>
      </c>
      <c r="G553" s="28" t="str">
        <f t="shared" si="33"/>
        <v>N/A</v>
      </c>
      <c r="H553" s="25" t="str">
        <f t="shared" si="34"/>
        <v>ZI799115IO.MA</v>
      </c>
      <c r="I553" s="25" t="str">
        <f t="shared" si="35"/>
        <v>N/A</v>
      </c>
    </row>
    <row r="554" spans="2:9" x14ac:dyDescent="0.25">
      <c r="B554" s="27" t="s">
        <v>16</v>
      </c>
      <c r="C554" s="27" t="s">
        <v>1693</v>
      </c>
      <c r="D554" s="27">
        <v>2</v>
      </c>
      <c r="E554" s="27" t="s">
        <v>1694</v>
      </c>
      <c r="F554" s="28" t="str">
        <f t="shared" si="32"/>
        <v>ZS799117</v>
      </c>
      <c r="G554" s="28" t="str">
        <f t="shared" si="33"/>
        <v>N/A</v>
      </c>
      <c r="H554" s="25" t="str">
        <f t="shared" si="34"/>
        <v>ZI799117IO.MA</v>
      </c>
      <c r="I554" s="25" t="str">
        <f t="shared" si="35"/>
        <v>N/A</v>
      </c>
    </row>
    <row r="555" spans="2:9" x14ac:dyDescent="0.25">
      <c r="B555" s="27" t="s">
        <v>16</v>
      </c>
      <c r="C555" s="27" t="s">
        <v>1695</v>
      </c>
      <c r="D555" s="27">
        <v>2</v>
      </c>
      <c r="E555" s="27" t="s">
        <v>1696</v>
      </c>
      <c r="F555" s="28" t="str">
        <f t="shared" si="32"/>
        <v>ZS799119</v>
      </c>
      <c r="G555" s="28" t="str">
        <f t="shared" si="33"/>
        <v>N/A</v>
      </c>
      <c r="H555" s="25" t="str">
        <f t="shared" si="34"/>
        <v>ZI799119IO.MA</v>
      </c>
      <c r="I555" s="25" t="str">
        <f t="shared" si="35"/>
        <v>N/A</v>
      </c>
    </row>
    <row r="556" spans="2:9" x14ac:dyDescent="0.25">
      <c r="B556" s="27" t="s">
        <v>16</v>
      </c>
      <c r="C556" s="27" t="s">
        <v>1697</v>
      </c>
      <c r="D556" s="27">
        <v>2</v>
      </c>
      <c r="E556" s="27" t="s">
        <v>1698</v>
      </c>
      <c r="F556" s="28" t="str">
        <f t="shared" si="32"/>
        <v>ZS799121</v>
      </c>
      <c r="G556" s="28" t="str">
        <f t="shared" si="33"/>
        <v>N/A</v>
      </c>
      <c r="H556" s="25" t="str">
        <f t="shared" si="34"/>
        <v>ZI799121IO.MA</v>
      </c>
      <c r="I556" s="25" t="str">
        <f t="shared" si="35"/>
        <v>N/A</v>
      </c>
    </row>
    <row r="557" spans="2:9" x14ac:dyDescent="0.25">
      <c r="B557" s="27" t="s">
        <v>16</v>
      </c>
      <c r="C557" s="27" t="s">
        <v>1699</v>
      </c>
      <c r="D557" s="27">
        <v>2</v>
      </c>
      <c r="E557" s="27" t="s">
        <v>1700</v>
      </c>
      <c r="F557" s="28" t="str">
        <f t="shared" si="32"/>
        <v>ZS799123</v>
      </c>
      <c r="G557" s="28" t="str">
        <f t="shared" si="33"/>
        <v>N/A</v>
      </c>
      <c r="H557" s="25" t="str">
        <f t="shared" si="34"/>
        <v>ZI799123IO.MA</v>
      </c>
      <c r="I557" s="25" t="str">
        <f t="shared" si="35"/>
        <v>N/A</v>
      </c>
    </row>
    <row r="558" spans="2:9" x14ac:dyDescent="0.25">
      <c r="B558" s="27" t="s">
        <v>16</v>
      </c>
      <c r="C558" s="27" t="s">
        <v>1701</v>
      </c>
      <c r="D558" s="27">
        <v>2</v>
      </c>
      <c r="E558" s="27" t="s">
        <v>1702</v>
      </c>
      <c r="F558" s="28" t="str">
        <f t="shared" si="32"/>
        <v>ZS799125</v>
      </c>
      <c r="G558" s="28" t="str">
        <f t="shared" si="33"/>
        <v>N/A</v>
      </c>
      <c r="H558" s="25" t="str">
        <f t="shared" si="34"/>
        <v>ZI799125IO.MA</v>
      </c>
      <c r="I558" s="25" t="str">
        <f t="shared" si="35"/>
        <v>N/A</v>
      </c>
    </row>
    <row r="559" spans="2:9" x14ac:dyDescent="0.25">
      <c r="B559" s="27" t="s">
        <v>16</v>
      </c>
      <c r="C559" s="27" t="s">
        <v>1703</v>
      </c>
      <c r="D559" s="27">
        <v>2</v>
      </c>
      <c r="E559" s="27" t="s">
        <v>1704</v>
      </c>
      <c r="F559" s="28" t="str">
        <f t="shared" si="32"/>
        <v>ZS799603</v>
      </c>
      <c r="G559" s="28" t="str">
        <f t="shared" si="33"/>
        <v>N/A</v>
      </c>
      <c r="H559" s="25" t="str">
        <f t="shared" si="34"/>
        <v>ZI799603IO.MA</v>
      </c>
      <c r="I559" s="25" t="str">
        <f t="shared" si="35"/>
        <v>N/A</v>
      </c>
    </row>
    <row r="560" spans="2:9" x14ac:dyDescent="0.25">
      <c r="B560" s="27" t="s">
        <v>16</v>
      </c>
      <c r="C560" s="27" t="s">
        <v>1705</v>
      </c>
      <c r="D560" s="27">
        <v>2</v>
      </c>
      <c r="E560" s="27" t="s">
        <v>1706</v>
      </c>
      <c r="F560" s="28" t="str">
        <f t="shared" si="32"/>
        <v>ZS799610</v>
      </c>
      <c r="G560" s="28" t="str">
        <f t="shared" si="33"/>
        <v>N/A</v>
      </c>
      <c r="H560" s="25" t="str">
        <f t="shared" si="34"/>
        <v>ZI799610IO.MA</v>
      </c>
      <c r="I560" s="25" t="str">
        <f t="shared" si="35"/>
        <v>N/A</v>
      </c>
    </row>
    <row r="561" spans="2:9" x14ac:dyDescent="0.25">
      <c r="B561" s="27" t="s">
        <v>16</v>
      </c>
      <c r="C561" s="27" t="s">
        <v>1707</v>
      </c>
      <c r="D561" s="27">
        <v>2</v>
      </c>
      <c r="E561" s="27" t="s">
        <v>1708</v>
      </c>
      <c r="F561" s="28" t="str">
        <f t="shared" si="32"/>
        <v>ZS799615</v>
      </c>
      <c r="G561" s="28" t="str">
        <f t="shared" si="33"/>
        <v>N/A</v>
      </c>
      <c r="H561" s="25" t="str">
        <f t="shared" si="34"/>
        <v>ZI799615IO.MA</v>
      </c>
      <c r="I561" s="25" t="str">
        <f t="shared" si="35"/>
        <v>N/A</v>
      </c>
    </row>
    <row r="562" spans="2:9" x14ac:dyDescent="0.25">
      <c r="B562" s="24"/>
      <c r="C562" s="24"/>
      <c r="D562" s="24"/>
      <c r="E562" s="24"/>
    </row>
    <row r="563" spans="2:9" x14ac:dyDescent="0.25">
      <c r="B563" s="24"/>
      <c r="C563" s="24"/>
      <c r="D563" s="24"/>
      <c r="E563" s="24"/>
    </row>
    <row r="564" spans="2:9" x14ac:dyDescent="0.25">
      <c r="B564" s="24"/>
      <c r="C564" s="24"/>
      <c r="D564" s="24"/>
      <c r="E564" s="24"/>
    </row>
    <row r="565" spans="2:9" x14ac:dyDescent="0.25">
      <c r="B565" s="24"/>
      <c r="C565" s="24"/>
      <c r="D565" s="24"/>
      <c r="E565" s="24"/>
    </row>
    <row r="566" spans="2:9" x14ac:dyDescent="0.25">
      <c r="B566" s="24"/>
      <c r="C566" s="24"/>
      <c r="D566" s="24"/>
      <c r="E566" s="24"/>
    </row>
    <row r="567" spans="2:9" x14ac:dyDescent="0.25">
      <c r="B567" s="24"/>
      <c r="C567" s="24"/>
      <c r="D567" s="24"/>
      <c r="E567" s="24"/>
    </row>
    <row r="568" spans="2:9" x14ac:dyDescent="0.25">
      <c r="B568" s="24"/>
      <c r="C568" s="24"/>
      <c r="D568" s="24"/>
      <c r="E568" s="24"/>
    </row>
    <row r="569" spans="2:9" x14ac:dyDescent="0.25">
      <c r="B569" s="24"/>
      <c r="C569" s="24"/>
      <c r="D569" s="24"/>
      <c r="E569" s="24"/>
    </row>
    <row r="570" spans="2:9" x14ac:dyDescent="0.25">
      <c r="B570" s="24"/>
      <c r="C570" s="24"/>
      <c r="D570" s="24"/>
      <c r="E570" s="24"/>
    </row>
    <row r="571" spans="2:9" x14ac:dyDescent="0.25">
      <c r="B571" s="24"/>
      <c r="C571" s="24"/>
      <c r="D571" s="24"/>
      <c r="E571" s="24"/>
    </row>
    <row r="572" spans="2:9" x14ac:dyDescent="0.25">
      <c r="B572" s="24"/>
      <c r="C572" s="24"/>
      <c r="D572" s="24"/>
      <c r="E572" s="24"/>
    </row>
    <row r="573" spans="2:9" x14ac:dyDescent="0.25">
      <c r="B573" s="24"/>
      <c r="C573" s="24"/>
      <c r="D573" s="24"/>
      <c r="E573" s="24"/>
    </row>
    <row r="574" spans="2:9" x14ac:dyDescent="0.25">
      <c r="B574" s="24"/>
      <c r="C574" s="24"/>
      <c r="D574" s="24"/>
      <c r="E574" s="24"/>
    </row>
    <row r="575" spans="2:9" x14ac:dyDescent="0.25">
      <c r="B575" s="24"/>
      <c r="C575" s="24"/>
      <c r="D575" s="24"/>
      <c r="E575" s="24"/>
    </row>
    <row r="576" spans="2:9" x14ac:dyDescent="0.25">
      <c r="B576" s="24"/>
      <c r="C576" s="24"/>
      <c r="D576" s="24"/>
      <c r="E576" s="24"/>
    </row>
    <row r="577" spans="2:5" x14ac:dyDescent="0.25">
      <c r="B577" s="24"/>
      <c r="C577" s="24"/>
      <c r="D577" s="24"/>
      <c r="E577" s="24"/>
    </row>
    <row r="578" spans="2:5" x14ac:dyDescent="0.25">
      <c r="B578" s="24"/>
      <c r="C578" s="24"/>
      <c r="D578" s="24"/>
      <c r="E578" s="24"/>
    </row>
    <row r="579" spans="2:5" x14ac:dyDescent="0.25">
      <c r="B579" s="24"/>
      <c r="C579" s="24"/>
      <c r="D579" s="24"/>
      <c r="E579" s="24"/>
    </row>
    <row r="580" spans="2:5" x14ac:dyDescent="0.25">
      <c r="B580" s="24"/>
      <c r="C580" s="24"/>
      <c r="D580" s="24"/>
      <c r="E580" s="24"/>
    </row>
    <row r="581" spans="2:5" x14ac:dyDescent="0.25">
      <c r="B581" s="24"/>
      <c r="C581" s="24"/>
      <c r="D581" s="24"/>
      <c r="E581" s="24"/>
    </row>
    <row r="582" spans="2:5" x14ac:dyDescent="0.25">
      <c r="B582" s="24"/>
      <c r="C582" s="24"/>
      <c r="D582" s="24"/>
      <c r="E582" s="24"/>
    </row>
    <row r="583" spans="2:5" x14ac:dyDescent="0.25">
      <c r="B583" s="24"/>
      <c r="C583" s="24"/>
      <c r="D583" s="24"/>
      <c r="E583" s="24"/>
    </row>
    <row r="584" spans="2:5" x14ac:dyDescent="0.25">
      <c r="B584" s="24"/>
      <c r="C584" s="24"/>
      <c r="D584" s="24"/>
      <c r="E584" s="24"/>
    </row>
    <row r="585" spans="2:5" x14ac:dyDescent="0.25">
      <c r="B585" s="24"/>
      <c r="C585" s="24"/>
      <c r="D585" s="24"/>
      <c r="E585" s="24"/>
    </row>
    <row r="586" spans="2:5" x14ac:dyDescent="0.25">
      <c r="B586" s="24"/>
      <c r="C586" s="24"/>
      <c r="D586" s="24"/>
      <c r="E586" s="24"/>
    </row>
    <row r="587" spans="2:5" x14ac:dyDescent="0.25">
      <c r="B587" s="24"/>
      <c r="C587" s="24"/>
      <c r="D587" s="24"/>
      <c r="E587" s="24"/>
    </row>
    <row r="588" spans="2:5" x14ac:dyDescent="0.25">
      <c r="B588" s="24"/>
      <c r="C588" s="24"/>
      <c r="D588" s="24"/>
      <c r="E588" s="24"/>
    </row>
    <row r="589" spans="2:5" x14ac:dyDescent="0.25">
      <c r="B589" s="24"/>
      <c r="C589" s="24"/>
      <c r="D589" s="24"/>
      <c r="E589" s="24"/>
    </row>
    <row r="590" spans="2:5" x14ac:dyDescent="0.25">
      <c r="B590" s="24"/>
      <c r="C590" s="24"/>
      <c r="D590" s="24"/>
      <c r="E590" s="24"/>
    </row>
    <row r="591" spans="2:5" x14ac:dyDescent="0.25">
      <c r="B591" s="24"/>
      <c r="C591" s="24"/>
      <c r="D591" s="24"/>
      <c r="E591" s="24"/>
    </row>
    <row r="592" spans="2:5" x14ac:dyDescent="0.25">
      <c r="B592" s="24"/>
      <c r="C592" s="24"/>
      <c r="D592" s="24"/>
      <c r="E592" s="24"/>
    </row>
    <row r="593" spans="2:5" x14ac:dyDescent="0.25">
      <c r="B593" s="24"/>
      <c r="C593" s="24"/>
      <c r="D593" s="24"/>
      <c r="E593" s="24"/>
    </row>
    <row r="594" spans="2:5" x14ac:dyDescent="0.25">
      <c r="B594" s="24"/>
      <c r="C594" s="24"/>
      <c r="D594" s="24"/>
      <c r="E594" s="24"/>
    </row>
    <row r="595" spans="2:5" x14ac:dyDescent="0.25">
      <c r="B595" s="24"/>
      <c r="C595" s="24"/>
      <c r="D595" s="24"/>
      <c r="E595" s="24"/>
    </row>
    <row r="596" spans="2:5" x14ac:dyDescent="0.25">
      <c r="B596" s="24"/>
      <c r="C596" s="24"/>
      <c r="D596" s="24"/>
      <c r="E596" s="24"/>
    </row>
    <row r="597" spans="2:5" x14ac:dyDescent="0.25">
      <c r="B597" s="24"/>
      <c r="C597" s="24"/>
      <c r="D597" s="24"/>
      <c r="E597" s="24"/>
    </row>
    <row r="598" spans="2:5" x14ac:dyDescent="0.25">
      <c r="B598" s="24"/>
      <c r="C598" s="24"/>
      <c r="D598" s="24"/>
      <c r="E598" s="24"/>
    </row>
    <row r="599" spans="2:5" x14ac:dyDescent="0.25">
      <c r="B599" s="24"/>
      <c r="C599" s="24"/>
      <c r="D599" s="24"/>
      <c r="E599" s="24"/>
    </row>
    <row r="600" spans="2:5" x14ac:dyDescent="0.25">
      <c r="B600" s="24"/>
      <c r="C600" s="24"/>
      <c r="D600" s="24"/>
      <c r="E600" s="24"/>
    </row>
    <row r="601" spans="2:5" x14ac:dyDescent="0.25">
      <c r="B601" s="24"/>
      <c r="C601" s="24"/>
      <c r="D601" s="24"/>
      <c r="E601" s="24"/>
    </row>
    <row r="602" spans="2:5" x14ac:dyDescent="0.25">
      <c r="B602" s="24"/>
      <c r="C602" s="24"/>
      <c r="D602" s="24"/>
      <c r="E602" s="24"/>
    </row>
    <row r="603" spans="2:5" x14ac:dyDescent="0.25">
      <c r="B603" s="24"/>
      <c r="C603" s="24"/>
      <c r="D603" s="24"/>
      <c r="E603" s="24"/>
    </row>
    <row r="604" spans="2:5" x14ac:dyDescent="0.25">
      <c r="B604" s="24"/>
      <c r="C604" s="24"/>
      <c r="D604" s="24"/>
      <c r="E604" s="24"/>
    </row>
    <row r="605" spans="2:5" x14ac:dyDescent="0.25">
      <c r="B605" s="24"/>
      <c r="C605" s="24"/>
      <c r="D605" s="24"/>
      <c r="E605" s="24"/>
    </row>
    <row r="606" spans="2:5" x14ac:dyDescent="0.25">
      <c r="B606" s="24"/>
      <c r="C606" s="24"/>
      <c r="D606" s="24"/>
      <c r="E606" s="24"/>
    </row>
    <row r="607" spans="2:5" x14ac:dyDescent="0.25">
      <c r="B607" s="24"/>
      <c r="C607" s="24"/>
      <c r="D607" s="24"/>
      <c r="E607" s="24"/>
    </row>
    <row r="608" spans="2:5" x14ac:dyDescent="0.25">
      <c r="B608" s="24"/>
      <c r="C608" s="24"/>
      <c r="D608" s="24"/>
      <c r="E608" s="24"/>
    </row>
    <row r="609" spans="2:5" x14ac:dyDescent="0.25">
      <c r="B609" s="24"/>
      <c r="C609" s="24"/>
      <c r="D609" s="24"/>
      <c r="E609" s="24"/>
    </row>
    <row r="610" spans="2:5" x14ac:dyDescent="0.25">
      <c r="B610" s="24"/>
      <c r="C610" s="24"/>
      <c r="D610" s="24"/>
      <c r="E610" s="24"/>
    </row>
    <row r="611" spans="2:5" x14ac:dyDescent="0.25">
      <c r="B611" s="24"/>
      <c r="C611" s="24"/>
      <c r="D611" s="24"/>
      <c r="E611" s="24"/>
    </row>
    <row r="612" spans="2:5" x14ac:dyDescent="0.25">
      <c r="B612" s="24"/>
      <c r="C612" s="24"/>
      <c r="D612" s="24"/>
      <c r="E612" s="24"/>
    </row>
    <row r="613" spans="2:5" x14ac:dyDescent="0.25">
      <c r="B613" s="24"/>
      <c r="C613" s="24"/>
      <c r="D613" s="24"/>
      <c r="E613" s="24"/>
    </row>
    <row r="614" spans="2:5" x14ac:dyDescent="0.25">
      <c r="B614" s="24"/>
      <c r="C614" s="24"/>
      <c r="D614" s="24"/>
      <c r="E614" s="24"/>
    </row>
    <row r="615" spans="2:5" x14ac:dyDescent="0.25">
      <c r="B615" s="24"/>
      <c r="C615" s="24"/>
      <c r="D615" s="24"/>
      <c r="E615" s="24"/>
    </row>
    <row r="616" spans="2:5" x14ac:dyDescent="0.25">
      <c r="B616" s="24"/>
      <c r="C616" s="24"/>
      <c r="D616" s="24"/>
      <c r="E616" s="24"/>
    </row>
    <row r="617" spans="2:5" x14ac:dyDescent="0.25">
      <c r="B617" s="24"/>
      <c r="C617" s="24"/>
      <c r="D617" s="24"/>
      <c r="E617" s="24"/>
    </row>
    <row r="618" spans="2:5" x14ac:dyDescent="0.25">
      <c r="B618" s="24"/>
      <c r="C618" s="24"/>
      <c r="D618" s="24"/>
      <c r="E618" s="24"/>
    </row>
    <row r="619" spans="2:5" x14ac:dyDescent="0.25">
      <c r="B619" s="24"/>
      <c r="C619" s="24"/>
      <c r="D619" s="24"/>
      <c r="E619" s="24"/>
    </row>
    <row r="620" spans="2:5" x14ac:dyDescent="0.25">
      <c r="B620" s="24"/>
      <c r="C620" s="24"/>
      <c r="D620" s="24"/>
      <c r="E620" s="24"/>
    </row>
    <row r="621" spans="2:5" x14ac:dyDescent="0.25">
      <c r="B621" s="24"/>
      <c r="C621" s="24"/>
      <c r="D621" s="24"/>
      <c r="E621" s="24"/>
    </row>
    <row r="622" spans="2:5" x14ac:dyDescent="0.25">
      <c r="B622" s="24"/>
      <c r="C622" s="24"/>
      <c r="D622" s="24"/>
      <c r="E622" s="24"/>
    </row>
    <row r="623" spans="2:5" x14ac:dyDescent="0.25">
      <c r="B623" s="24"/>
      <c r="C623" s="24"/>
      <c r="D623" s="24"/>
      <c r="E623" s="24"/>
    </row>
    <row r="624" spans="2:5" x14ac:dyDescent="0.25">
      <c r="B624" s="24"/>
      <c r="C624" s="24"/>
      <c r="D624" s="24"/>
      <c r="E624" s="24"/>
    </row>
    <row r="625" spans="2:5" x14ac:dyDescent="0.25">
      <c r="B625" s="24"/>
      <c r="C625" s="24"/>
      <c r="D625" s="24"/>
      <c r="E625" s="24"/>
    </row>
    <row r="626" spans="2:5" x14ac:dyDescent="0.25">
      <c r="B626" s="24"/>
      <c r="C626" s="24"/>
      <c r="D626" s="24"/>
      <c r="E626" s="24"/>
    </row>
    <row r="627" spans="2:5" x14ac:dyDescent="0.25">
      <c r="B627" s="24"/>
      <c r="C627" s="24"/>
      <c r="D627" s="24"/>
      <c r="E627" s="24"/>
    </row>
    <row r="628" spans="2:5" x14ac:dyDescent="0.25">
      <c r="B628" s="24"/>
      <c r="C628" s="24"/>
      <c r="D628" s="24"/>
      <c r="E628" s="24"/>
    </row>
    <row r="629" spans="2:5" x14ac:dyDescent="0.25">
      <c r="B629" s="24"/>
      <c r="C629" s="24"/>
      <c r="D629" s="24"/>
      <c r="E629" s="24"/>
    </row>
    <row r="630" spans="2:5" x14ac:dyDescent="0.25">
      <c r="B630" s="24"/>
      <c r="C630" s="24"/>
      <c r="D630" s="24"/>
      <c r="E630" s="24"/>
    </row>
    <row r="631" spans="2:5" x14ac:dyDescent="0.25">
      <c r="B631" s="24"/>
      <c r="C631" s="24"/>
      <c r="D631" s="24"/>
      <c r="E631" s="24"/>
    </row>
    <row r="632" spans="2:5" x14ac:dyDescent="0.25">
      <c r="B632" s="24"/>
      <c r="C632" s="24"/>
      <c r="D632" s="24"/>
      <c r="E632" s="24"/>
    </row>
    <row r="633" spans="2:5" x14ac:dyDescent="0.25">
      <c r="B633" s="24"/>
      <c r="C633" s="24"/>
      <c r="D633" s="24"/>
      <c r="E633" s="24"/>
    </row>
    <row r="634" spans="2:5" x14ac:dyDescent="0.25">
      <c r="B634" s="24"/>
      <c r="C634" s="24"/>
      <c r="D634" s="24"/>
      <c r="E634" s="24"/>
    </row>
    <row r="635" spans="2:5" x14ac:dyDescent="0.25">
      <c r="B635" s="24"/>
      <c r="C635" s="24"/>
      <c r="D635" s="24"/>
      <c r="E635" s="24"/>
    </row>
    <row r="636" spans="2:5" x14ac:dyDescent="0.25">
      <c r="B636" s="24"/>
      <c r="C636" s="24"/>
      <c r="D636" s="24"/>
      <c r="E636" s="24"/>
    </row>
    <row r="637" spans="2:5" x14ac:dyDescent="0.25">
      <c r="B637" s="24"/>
      <c r="C637" s="24"/>
      <c r="D637" s="24"/>
      <c r="E637" s="24"/>
    </row>
    <row r="638" spans="2:5" x14ac:dyDescent="0.25">
      <c r="B638" s="24"/>
      <c r="C638" s="24"/>
      <c r="D638" s="24"/>
      <c r="E638" s="24"/>
    </row>
    <row r="639" spans="2:5" x14ac:dyDescent="0.25">
      <c r="B639" s="24"/>
      <c r="C639" s="24"/>
      <c r="D639" s="24"/>
      <c r="E639" s="24"/>
    </row>
    <row r="640" spans="2:5" x14ac:dyDescent="0.25">
      <c r="B640" s="24"/>
      <c r="C640" s="24"/>
      <c r="D640" s="24"/>
      <c r="E640" s="24"/>
    </row>
    <row r="641" spans="2:5" x14ac:dyDescent="0.25">
      <c r="B641" s="24"/>
      <c r="C641" s="24"/>
      <c r="D641" s="24"/>
      <c r="E641" s="24"/>
    </row>
    <row r="642" spans="2:5" x14ac:dyDescent="0.25">
      <c r="B642" s="24"/>
      <c r="C642" s="24"/>
      <c r="D642" s="24"/>
      <c r="E642" s="24"/>
    </row>
    <row r="643" spans="2:5" x14ac:dyDescent="0.25">
      <c r="B643" s="24"/>
      <c r="C643" s="24"/>
      <c r="D643" s="24"/>
      <c r="E643" s="24"/>
    </row>
    <row r="644" spans="2:5" x14ac:dyDescent="0.25">
      <c r="B644" s="24"/>
      <c r="C644" s="24"/>
      <c r="D644" s="24"/>
      <c r="E644" s="24"/>
    </row>
    <row r="645" spans="2:5" x14ac:dyDescent="0.25">
      <c r="B645" s="24"/>
      <c r="C645" s="24"/>
      <c r="D645" s="24"/>
      <c r="E645" s="24"/>
    </row>
    <row r="646" spans="2:5" x14ac:dyDescent="0.25">
      <c r="B646" s="24"/>
      <c r="C646" s="24"/>
      <c r="D646" s="24"/>
      <c r="E646" s="24"/>
    </row>
    <row r="647" spans="2:5" x14ac:dyDescent="0.25">
      <c r="B647" s="24"/>
      <c r="C647" s="24"/>
      <c r="D647" s="24"/>
      <c r="E647" s="24"/>
    </row>
    <row r="648" spans="2:5" x14ac:dyDescent="0.25">
      <c r="B648" s="24"/>
      <c r="C648" s="24"/>
      <c r="D648" s="24"/>
      <c r="E648" s="24"/>
    </row>
    <row r="649" spans="2:5" x14ac:dyDescent="0.25">
      <c r="B649" s="24"/>
      <c r="C649" s="24"/>
      <c r="D649" s="24"/>
      <c r="E649" s="24"/>
    </row>
    <row r="650" spans="2:5" x14ac:dyDescent="0.25">
      <c r="B650" s="24"/>
      <c r="C650" s="24"/>
      <c r="D650" s="24"/>
      <c r="E650" s="24"/>
    </row>
    <row r="651" spans="2:5" x14ac:dyDescent="0.25">
      <c r="B651" s="24"/>
      <c r="C651" s="24"/>
      <c r="D651" s="24"/>
      <c r="E651" s="24"/>
    </row>
    <row r="652" spans="2:5" x14ac:dyDescent="0.25">
      <c r="B652" s="24"/>
      <c r="C652" s="24"/>
      <c r="D652" s="24"/>
      <c r="E652" s="24"/>
    </row>
    <row r="653" spans="2:5" x14ac:dyDescent="0.25">
      <c r="B653" s="24"/>
      <c r="C653" s="24"/>
      <c r="D653" s="24"/>
      <c r="E653" s="24"/>
    </row>
    <row r="654" spans="2:5" x14ac:dyDescent="0.25">
      <c r="B654" s="24"/>
      <c r="C654" s="24"/>
      <c r="D654" s="24"/>
      <c r="E654" s="24"/>
    </row>
    <row r="655" spans="2:5" x14ac:dyDescent="0.25">
      <c r="B655" s="24"/>
      <c r="C655" s="24"/>
      <c r="D655" s="24"/>
      <c r="E655" s="24"/>
    </row>
    <row r="656" spans="2:5" x14ac:dyDescent="0.25">
      <c r="B656" s="24"/>
      <c r="C656" s="24"/>
      <c r="D656" s="24"/>
      <c r="E656" s="24"/>
    </row>
    <row r="657" spans="2:5" x14ac:dyDescent="0.25">
      <c r="B657" s="24"/>
      <c r="C657" s="24"/>
      <c r="E657" s="24"/>
    </row>
    <row r="658" spans="2:5" x14ac:dyDescent="0.25">
      <c r="B658" s="24"/>
      <c r="C658" s="24"/>
      <c r="E658" s="24"/>
    </row>
    <row r="659" spans="2:5" x14ac:dyDescent="0.25">
      <c r="B659" s="24"/>
      <c r="C659" s="24"/>
      <c r="E659" s="24"/>
    </row>
    <row r="660" spans="2:5" x14ac:dyDescent="0.25">
      <c r="B660" s="24"/>
      <c r="C660" s="24"/>
      <c r="E660" s="24"/>
    </row>
    <row r="661" spans="2:5" x14ac:dyDescent="0.25">
      <c r="B661" s="24"/>
      <c r="C661" s="24"/>
      <c r="E661" s="24"/>
    </row>
    <row r="662" spans="2:5" x14ac:dyDescent="0.25">
      <c r="B662" s="24"/>
      <c r="C662" s="24"/>
      <c r="E662" s="24"/>
    </row>
    <row r="663" spans="2:5" x14ac:dyDescent="0.25">
      <c r="B663" s="24"/>
      <c r="C663" s="24"/>
      <c r="E663" s="24"/>
    </row>
    <row r="664" spans="2:5" x14ac:dyDescent="0.25">
      <c r="B664" s="24"/>
      <c r="C664" s="24"/>
      <c r="E664" s="24"/>
    </row>
    <row r="665" spans="2:5" x14ac:dyDescent="0.25">
      <c r="B665" s="24"/>
      <c r="C665" s="24"/>
      <c r="E665" s="24"/>
    </row>
    <row r="666" spans="2:5" x14ac:dyDescent="0.25">
      <c r="B666" s="24"/>
      <c r="C666" s="24"/>
      <c r="E666" s="24"/>
    </row>
    <row r="667" spans="2:5" x14ac:dyDescent="0.25">
      <c r="B667" s="24"/>
      <c r="C667" s="24"/>
      <c r="E667" s="24"/>
    </row>
    <row r="668" spans="2:5" x14ac:dyDescent="0.25">
      <c r="B668" s="24"/>
      <c r="C668" s="24"/>
      <c r="E668" s="24"/>
    </row>
    <row r="669" spans="2:5" x14ac:dyDescent="0.25">
      <c r="B669" s="24"/>
      <c r="C669" s="24"/>
      <c r="E669" s="24"/>
    </row>
    <row r="670" spans="2:5" x14ac:dyDescent="0.25">
      <c r="B670" s="24"/>
      <c r="C670" s="24"/>
      <c r="E670" s="24"/>
    </row>
    <row r="671" spans="2:5" x14ac:dyDescent="0.25">
      <c r="B671" s="24"/>
      <c r="C671" s="24"/>
      <c r="E671" s="24"/>
    </row>
    <row r="672" spans="2:5" x14ac:dyDescent="0.25">
      <c r="B672" s="24"/>
      <c r="C672" s="24"/>
      <c r="E672" s="24"/>
    </row>
    <row r="673" spans="2:5" x14ac:dyDescent="0.25">
      <c r="B673" s="24"/>
      <c r="C673" s="24"/>
      <c r="E673" s="24"/>
    </row>
    <row r="674" spans="2:5" x14ac:dyDescent="0.25">
      <c r="B674" s="24"/>
      <c r="C674" s="24"/>
      <c r="E674" s="24"/>
    </row>
    <row r="675" spans="2:5" x14ac:dyDescent="0.25">
      <c r="B675" s="24"/>
      <c r="C675" s="24"/>
      <c r="E675" s="24"/>
    </row>
    <row r="676" spans="2:5" x14ac:dyDescent="0.25">
      <c r="B676" s="24"/>
      <c r="C676" s="24"/>
      <c r="E676" s="24"/>
    </row>
    <row r="677" spans="2:5" x14ac:dyDescent="0.25">
      <c r="B677" s="24"/>
      <c r="C677" s="24"/>
      <c r="E677" s="24"/>
    </row>
    <row r="678" spans="2:5" x14ac:dyDescent="0.25">
      <c r="B678" s="24"/>
      <c r="C678" s="24"/>
      <c r="E678" s="24"/>
    </row>
    <row r="679" spans="2:5" x14ac:dyDescent="0.25">
      <c r="B679" s="24"/>
      <c r="C679" s="24"/>
      <c r="E679" s="24"/>
    </row>
    <row r="680" spans="2:5" x14ac:dyDescent="0.25">
      <c r="B680" s="24"/>
      <c r="C680" s="24"/>
      <c r="E680" s="24"/>
    </row>
    <row r="681" spans="2:5" x14ac:dyDescent="0.25">
      <c r="B681" s="24"/>
      <c r="C681" s="24"/>
      <c r="E681" s="24"/>
    </row>
    <row r="682" spans="2:5" x14ac:dyDescent="0.25">
      <c r="B682" s="24"/>
      <c r="C682" s="24"/>
      <c r="E682" s="24"/>
    </row>
    <row r="683" spans="2:5" x14ac:dyDescent="0.25">
      <c r="B683" s="24"/>
      <c r="C683" s="24"/>
      <c r="E683" s="24"/>
    </row>
    <row r="684" spans="2:5" x14ac:dyDescent="0.25">
      <c r="B684" s="24"/>
      <c r="C684" s="24"/>
      <c r="E684" s="24"/>
    </row>
    <row r="685" spans="2:5" x14ac:dyDescent="0.25">
      <c r="B685" s="24"/>
      <c r="C685" s="24"/>
      <c r="E685" s="24"/>
    </row>
    <row r="686" spans="2:5" x14ac:dyDescent="0.25">
      <c r="B686" s="24"/>
      <c r="C686" s="24"/>
      <c r="E686" s="24"/>
    </row>
    <row r="687" spans="2:5" x14ac:dyDescent="0.25">
      <c r="B687" s="24"/>
      <c r="C687" s="24"/>
      <c r="E687" s="24"/>
    </row>
    <row r="688" spans="2:5" x14ac:dyDescent="0.25">
      <c r="B688" s="24"/>
      <c r="C688" s="24"/>
      <c r="E688" s="24"/>
    </row>
    <row r="689" spans="2:5" x14ac:dyDescent="0.25">
      <c r="B689" s="24"/>
      <c r="C689" s="24"/>
      <c r="E689" s="24"/>
    </row>
    <row r="690" spans="2:5" x14ac:dyDescent="0.25">
      <c r="B690" s="24"/>
      <c r="C690" s="24"/>
      <c r="E690" s="24"/>
    </row>
    <row r="691" spans="2:5" x14ac:dyDescent="0.25">
      <c r="B691" s="24"/>
      <c r="C691" s="24"/>
      <c r="E691" s="24"/>
    </row>
    <row r="692" spans="2:5" x14ac:dyDescent="0.25">
      <c r="B692" s="24"/>
      <c r="C692" s="24"/>
      <c r="E692" s="24"/>
    </row>
    <row r="693" spans="2:5" x14ac:dyDescent="0.25">
      <c r="B693" s="24"/>
      <c r="C693" s="24"/>
      <c r="E693" s="24"/>
    </row>
    <row r="694" spans="2:5" x14ac:dyDescent="0.25">
      <c r="B694" s="24"/>
      <c r="C694" s="24"/>
      <c r="E694" s="24"/>
    </row>
    <row r="695" spans="2:5" x14ac:dyDescent="0.25">
      <c r="B695" s="24"/>
      <c r="C695" s="24"/>
      <c r="E695" s="24"/>
    </row>
    <row r="696" spans="2:5" x14ac:dyDescent="0.25">
      <c r="B696" s="24"/>
      <c r="C696" s="24"/>
      <c r="E696" s="24"/>
    </row>
    <row r="697" spans="2:5" x14ac:dyDescent="0.25">
      <c r="B697" s="24"/>
      <c r="C697" s="24"/>
      <c r="E697" s="24"/>
    </row>
    <row r="698" spans="2:5" x14ac:dyDescent="0.25">
      <c r="B698" s="24"/>
      <c r="C698" s="24"/>
      <c r="E698" s="24"/>
    </row>
    <row r="699" spans="2:5" x14ac:dyDescent="0.25">
      <c r="B699" s="24"/>
      <c r="C699" s="24"/>
      <c r="E699" s="24"/>
    </row>
    <row r="700" spans="2:5" x14ac:dyDescent="0.25">
      <c r="B700" s="24"/>
      <c r="C700" s="24"/>
      <c r="E700" s="24"/>
    </row>
    <row r="701" spans="2:5" x14ac:dyDescent="0.25">
      <c r="B701" s="24"/>
      <c r="C701" s="24"/>
      <c r="E701" s="24"/>
    </row>
    <row r="702" spans="2:5" x14ac:dyDescent="0.25">
      <c r="B702" s="24"/>
      <c r="C702" s="24"/>
      <c r="D702" s="24"/>
      <c r="E702" s="24"/>
    </row>
    <row r="703" spans="2:5" x14ac:dyDescent="0.25">
      <c r="B703" s="24"/>
      <c r="C703" s="24"/>
      <c r="D703" s="24"/>
      <c r="E703" s="24"/>
    </row>
    <row r="704" spans="2:5" x14ac:dyDescent="0.25">
      <c r="B704" s="24"/>
      <c r="C704" s="24"/>
      <c r="D704" s="24"/>
      <c r="E704" s="24"/>
    </row>
    <row r="705" spans="2:5" x14ac:dyDescent="0.25">
      <c r="B705" s="24"/>
      <c r="C705" s="24"/>
      <c r="D705" s="24"/>
      <c r="E705" s="24"/>
    </row>
    <row r="706" spans="2:5" x14ac:dyDescent="0.25">
      <c r="B706" s="24"/>
      <c r="C706" s="24"/>
      <c r="D706" s="24"/>
      <c r="E706" s="24"/>
    </row>
    <row r="707" spans="2:5" x14ac:dyDescent="0.25">
      <c r="B707" s="24"/>
      <c r="C707" s="24"/>
      <c r="D707" s="24"/>
      <c r="E707" s="24"/>
    </row>
    <row r="708" spans="2:5" x14ac:dyDescent="0.25">
      <c r="B708" s="24"/>
      <c r="C708" s="24"/>
      <c r="D708" s="24"/>
      <c r="E708" s="24"/>
    </row>
    <row r="709" spans="2:5" x14ac:dyDescent="0.25">
      <c r="B709" s="24"/>
      <c r="C709" s="24"/>
      <c r="D709" s="24"/>
      <c r="E709" s="24"/>
    </row>
    <row r="710" spans="2:5" x14ac:dyDescent="0.25">
      <c r="B710" s="24"/>
      <c r="C710" s="24"/>
      <c r="D710" s="24"/>
      <c r="E710" s="24"/>
    </row>
    <row r="711" spans="2:5" x14ac:dyDescent="0.25">
      <c r="B711" s="24"/>
      <c r="C711" s="24"/>
      <c r="D711" s="24"/>
      <c r="E711" s="24"/>
    </row>
    <row r="712" spans="2:5" x14ac:dyDescent="0.25">
      <c r="B712" s="24"/>
      <c r="C712" s="24"/>
      <c r="D712" s="24"/>
      <c r="E712" s="24"/>
    </row>
    <row r="713" spans="2:5" x14ac:dyDescent="0.25">
      <c r="B713" s="24"/>
      <c r="C713" s="24"/>
      <c r="D713" s="24"/>
      <c r="E713" s="24"/>
    </row>
    <row r="714" spans="2:5" x14ac:dyDescent="0.25">
      <c r="B714" s="24"/>
      <c r="C714" s="24"/>
      <c r="D714" s="24"/>
      <c r="E714" s="24"/>
    </row>
    <row r="715" spans="2:5" x14ac:dyDescent="0.25">
      <c r="B715" s="24"/>
      <c r="C715" s="24"/>
      <c r="D715" s="24"/>
      <c r="E715" s="2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GetSend_380</vt:lpstr>
      <vt:lpstr>Dummy_Transmitters</vt:lpstr>
      <vt:lpstr>IO_Block_to_be_Inactive</vt:lpstr>
      <vt:lpstr>DI</vt:lpstr>
      <vt:lpstr>DI_Source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SSIGNOR</cp:lastModifiedBy>
  <dcterms:created xsi:type="dcterms:W3CDTF">2010-03-15T14:59:12Z</dcterms:created>
  <dcterms:modified xsi:type="dcterms:W3CDTF">2016-01-04T11:01:07Z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
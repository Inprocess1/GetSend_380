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laudi.marti\Documents\GitHub\Getsend\GetSend_380\"/>
    </mc:Choice>
  </mc:AlternateContent>
  <bookViews>
    <workbookView xWindow="0" yWindow="0" windowWidth="21600" windowHeight="10320"/>
  </bookViews>
  <sheets>
    <sheet name="GetSend_380" sheetId="1" r:id="rId1"/>
    <sheet name="Dummy_Transmitters" sheetId="7" r:id="rId2"/>
    <sheet name="IO_Block_to_be_Inactive" sheetId="8" r:id="rId3"/>
  </sheets>
  <functionGroups builtInGroupCount="18"/>
  <definedNames>
    <definedName name="_xlnm._FilterDatabase" localSheetId="0" hidden="1">GetSend_380!$C$5:$M$490</definedName>
    <definedName name="_xlnm._FilterDatabase" localSheetId="2" hidden="1">IO_Block_to_be_Inactive!$B$1:$G$2209</definedName>
    <definedName name="DI">Dummy_Transmitters!$C:$D</definedName>
    <definedName name="DI_Source">IO_Block_to_be_Inactive!$B$1:$G$2209</definedName>
    <definedName name="FirstColumn">GetSend_380!$D$2</definedName>
    <definedName name="FirstLine">GetSend_380!$C$2</definedName>
    <definedName name="IpAddress">GetSend_380!$A$2</definedName>
    <definedName name="Port">GetSend_380!$B$2</definedName>
  </definedNames>
  <calcPr calcId="152511" calcMode="manual"/>
</workbook>
</file>

<file path=xl/calcChain.xml><?xml version="1.0" encoding="utf-8"?>
<calcChain xmlns="http://schemas.openxmlformats.org/spreadsheetml/2006/main">
  <c r="D12" i="1" l="1"/>
  <c r="J12" i="1" s="1"/>
  <c r="K12" i="1"/>
  <c r="H11" i="8" l="1"/>
  <c r="J39" i="1" l="1"/>
  <c r="K39" i="1"/>
  <c r="J27" i="1" l="1"/>
  <c r="J28" i="1"/>
  <c r="J29" i="1"/>
  <c r="J30" i="1"/>
  <c r="J31" i="1"/>
  <c r="J32" i="1"/>
  <c r="J33" i="1"/>
  <c r="J34" i="1"/>
  <c r="J35" i="1"/>
  <c r="J36" i="1"/>
  <c r="J37" i="1"/>
  <c r="J38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K72" i="1"/>
  <c r="K136" i="1"/>
  <c r="K200" i="1"/>
  <c r="K69" i="1"/>
  <c r="K133" i="1"/>
  <c r="K197" i="1"/>
  <c r="K66" i="1"/>
  <c r="K130" i="1"/>
  <c r="K194" i="1"/>
  <c r="K67" i="1"/>
  <c r="K131" i="1"/>
  <c r="K195" i="1"/>
  <c r="K60" i="1"/>
  <c r="K124" i="1"/>
  <c r="K188" i="1"/>
  <c r="K57" i="1"/>
  <c r="K121" i="1"/>
  <c r="K185" i="1"/>
  <c r="K54" i="1"/>
  <c r="K118" i="1"/>
  <c r="K182" i="1"/>
  <c r="K55" i="1"/>
  <c r="K119" i="1"/>
  <c r="K183" i="1"/>
  <c r="K48" i="1"/>
  <c r="K112" i="1"/>
  <c r="K176" i="1"/>
  <c r="K45" i="1"/>
  <c r="K109" i="1"/>
  <c r="K173" i="1"/>
  <c r="K42" i="1"/>
  <c r="K106" i="1"/>
  <c r="K81" i="1"/>
  <c r="K126" i="1"/>
  <c r="K63" i="1"/>
  <c r="K191" i="1"/>
  <c r="K32" i="1"/>
  <c r="K94" i="1"/>
  <c r="K43" i="1"/>
  <c r="K171" i="1"/>
  <c r="K180" i="1"/>
  <c r="K46" i="1"/>
  <c r="K206" i="1"/>
  <c r="K143" i="1"/>
  <c r="K132" i="1"/>
  <c r="K193" i="1"/>
  <c r="K186" i="1"/>
  <c r="K123" i="1"/>
  <c r="K218" i="1"/>
  <c r="K155" i="1"/>
  <c r="K168" i="1"/>
  <c r="K165" i="1"/>
  <c r="K98" i="1"/>
  <c r="K99" i="1"/>
  <c r="K27" i="1"/>
  <c r="K156" i="1"/>
  <c r="K89" i="1"/>
  <c r="K217" i="1"/>
  <c r="K150" i="1"/>
  <c r="K151" i="1"/>
  <c r="K80" i="1"/>
  <c r="K208" i="1"/>
  <c r="K77" i="1"/>
  <c r="K205" i="1"/>
  <c r="K148" i="1"/>
  <c r="K127" i="1"/>
  <c r="K161" i="1"/>
  <c r="K107" i="1"/>
  <c r="K113" i="1"/>
  <c r="K79" i="1"/>
  <c r="K65" i="1"/>
  <c r="K122" i="1"/>
  <c r="K187" i="1"/>
  <c r="K120" i="1"/>
  <c r="K184" i="1"/>
  <c r="K117" i="1"/>
  <c r="K50" i="1"/>
  <c r="K178" i="1"/>
  <c r="K115" i="1"/>
  <c r="K44" i="1"/>
  <c r="K172" i="1"/>
  <c r="K105" i="1"/>
  <c r="K37" i="1"/>
  <c r="K166" i="1"/>
  <c r="K103" i="1"/>
  <c r="K31" i="1"/>
  <c r="K160" i="1"/>
  <c r="K93" i="1"/>
  <c r="K221" i="1"/>
  <c r="K212" i="1"/>
  <c r="K159" i="1"/>
  <c r="K29" i="1"/>
  <c r="K139" i="1"/>
  <c r="K177" i="1"/>
  <c r="K111" i="1"/>
  <c r="K129" i="1"/>
  <c r="K91" i="1"/>
  <c r="K88" i="1"/>
  <c r="K152" i="1"/>
  <c r="K216" i="1"/>
  <c r="K85" i="1"/>
  <c r="K149" i="1"/>
  <c r="K213" i="1"/>
  <c r="K82" i="1"/>
  <c r="K146" i="1"/>
  <c r="K210" i="1"/>
  <c r="K83" i="1"/>
  <c r="K147" i="1"/>
  <c r="K211" i="1"/>
  <c r="K76" i="1"/>
  <c r="K140" i="1"/>
  <c r="K204" i="1"/>
  <c r="K73" i="1"/>
  <c r="K137" i="1"/>
  <c r="K201" i="1"/>
  <c r="K70" i="1"/>
  <c r="K134" i="1"/>
  <c r="K198" i="1"/>
  <c r="K71" i="1"/>
  <c r="K135" i="1"/>
  <c r="K199" i="1"/>
  <c r="K64" i="1"/>
  <c r="K128" i="1"/>
  <c r="K192" i="1"/>
  <c r="K61" i="1"/>
  <c r="K125" i="1"/>
  <c r="K189" i="1"/>
  <c r="K58" i="1"/>
  <c r="K84" i="1"/>
  <c r="K145" i="1"/>
  <c r="K158" i="1"/>
  <c r="K95" i="1"/>
  <c r="K35" i="1"/>
  <c r="K97" i="1"/>
  <c r="K138" i="1"/>
  <c r="K75" i="1"/>
  <c r="K203" i="1"/>
  <c r="K49" i="1"/>
  <c r="K110" i="1"/>
  <c r="K47" i="1"/>
  <c r="K175" i="1"/>
  <c r="K196" i="1"/>
  <c r="K62" i="1"/>
  <c r="K40" i="1"/>
  <c r="K104" i="1"/>
  <c r="K36" i="1"/>
  <c r="K101" i="1"/>
  <c r="K33" i="1"/>
  <c r="K162" i="1"/>
  <c r="K34" i="1"/>
  <c r="K163" i="1"/>
  <c r="K92" i="1"/>
  <c r="K220" i="1"/>
  <c r="K153" i="1"/>
  <c r="K86" i="1"/>
  <c r="K214" i="1"/>
  <c r="K87" i="1"/>
  <c r="K215" i="1"/>
  <c r="K144" i="1"/>
  <c r="K141" i="1"/>
  <c r="K74" i="1"/>
  <c r="K209" i="1"/>
  <c r="K190" i="1"/>
  <c r="K100" i="1"/>
  <c r="K170" i="1"/>
  <c r="K52" i="1"/>
  <c r="K142" i="1"/>
  <c r="K207" i="1"/>
  <c r="K59" i="1"/>
  <c r="K56" i="1"/>
  <c r="K53" i="1"/>
  <c r="K181" i="1"/>
  <c r="K114" i="1"/>
  <c r="K51" i="1"/>
  <c r="K179" i="1"/>
  <c r="K108" i="1"/>
  <c r="K41" i="1"/>
  <c r="K169" i="1"/>
  <c r="K102" i="1"/>
  <c r="K38" i="1"/>
  <c r="K167" i="1"/>
  <c r="K96" i="1"/>
  <c r="K28" i="1"/>
  <c r="K157" i="1"/>
  <c r="K90" i="1"/>
  <c r="K78" i="1"/>
  <c r="K30" i="1"/>
  <c r="K164" i="1"/>
  <c r="K202" i="1"/>
  <c r="K116" i="1"/>
  <c r="K174" i="1"/>
  <c r="K68" i="1"/>
  <c r="K154" i="1"/>
  <c r="K219" i="1"/>
  <c r="D8" i="1" l="1"/>
  <c r="J8" i="1" s="1"/>
  <c r="D9" i="1"/>
  <c r="J9" i="1" s="1"/>
  <c r="D10" i="1"/>
  <c r="J10" i="1" s="1"/>
  <c r="D11" i="1"/>
  <c r="J11" i="1" s="1"/>
  <c r="D13" i="1"/>
  <c r="J13" i="1" s="1"/>
  <c r="D14" i="1"/>
  <c r="J14" i="1" s="1"/>
  <c r="D15" i="1"/>
  <c r="J15" i="1" s="1"/>
  <c r="D16" i="1"/>
  <c r="J16" i="1" s="1"/>
  <c r="D17" i="1"/>
  <c r="J17" i="1" s="1"/>
  <c r="D18" i="1"/>
  <c r="J18" i="1" s="1"/>
  <c r="D19" i="1"/>
  <c r="J19" i="1" s="1"/>
  <c r="D20" i="1"/>
  <c r="J20" i="1" s="1"/>
  <c r="D21" i="1"/>
  <c r="J21" i="1" s="1"/>
  <c r="D22" i="1"/>
  <c r="J22" i="1" s="1"/>
  <c r="D23" i="1"/>
  <c r="J23" i="1" s="1"/>
  <c r="D24" i="1"/>
  <c r="J24" i="1" s="1"/>
  <c r="D25" i="1"/>
  <c r="J25" i="1" s="1"/>
  <c r="D26" i="1"/>
  <c r="J26" i="1" s="1"/>
  <c r="D7" i="1"/>
  <c r="J7" i="1" s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1030" i="8"/>
  <c r="G1032" i="8"/>
  <c r="G1034" i="8"/>
  <c r="G1036" i="8"/>
  <c r="G1040" i="8"/>
  <c r="G1042" i="8"/>
  <c r="I1042" i="8" s="1"/>
  <c r="G1046" i="8"/>
  <c r="I1046" i="8" s="1"/>
  <c r="G1050" i="8"/>
  <c r="G1052" i="8"/>
  <c r="G1053" i="8"/>
  <c r="I1053" i="8" s="1"/>
  <c r="G1058" i="8"/>
  <c r="I1058" i="8" s="1"/>
  <c r="G1061" i="8"/>
  <c r="G1062" i="8"/>
  <c r="G1064" i="8"/>
  <c r="G1066" i="8"/>
  <c r="I1066" i="8" s="1"/>
  <c r="G1068" i="8"/>
  <c r="G1072" i="8"/>
  <c r="G1074" i="8"/>
  <c r="I1074" i="8" s="1"/>
  <c r="G1078" i="8"/>
  <c r="G1080" i="8"/>
  <c r="I1080" i="8" s="1"/>
  <c r="G1082" i="8"/>
  <c r="I1082" i="8" s="1"/>
  <c r="G1084" i="8"/>
  <c r="G1088" i="8"/>
  <c r="G1094" i="8"/>
  <c r="G1096" i="8"/>
  <c r="G1100" i="8"/>
  <c r="G1104" i="8"/>
  <c r="G1106" i="8"/>
  <c r="G1110" i="8"/>
  <c r="G1112" i="8"/>
  <c r="G1114" i="8"/>
  <c r="G1116" i="8"/>
  <c r="G1120" i="8"/>
  <c r="G1122" i="8"/>
  <c r="G1128" i="8"/>
  <c r="I1128" i="8" s="1"/>
  <c r="G1130" i="8"/>
  <c r="G1132" i="8"/>
  <c r="G1136" i="8"/>
  <c r="I1136" i="8" s="1"/>
  <c r="G1138" i="8"/>
  <c r="G1142" i="8"/>
  <c r="G1144" i="8"/>
  <c r="I1144" i="8" s="1"/>
  <c r="G1146" i="8"/>
  <c r="G1148" i="8"/>
  <c r="G1152" i="8"/>
  <c r="I1152" i="8" s="1"/>
  <c r="G1158" i="8"/>
  <c r="G1160" i="8"/>
  <c r="I1160" i="8" s="1"/>
  <c r="G1164" i="8"/>
  <c r="I1164" i="8" s="1"/>
  <c r="G1168" i="8"/>
  <c r="I1168" i="8" s="1"/>
  <c r="G1170" i="8"/>
  <c r="G1174" i="8"/>
  <c r="G1176" i="8"/>
  <c r="G1178" i="8"/>
  <c r="G1180" i="8"/>
  <c r="I1180" i="8" s="1"/>
  <c r="G1184" i="8"/>
  <c r="G1186" i="8"/>
  <c r="G1192" i="8"/>
  <c r="G1194" i="8"/>
  <c r="G1196" i="8"/>
  <c r="G1200" i="8"/>
  <c r="G1202" i="8"/>
  <c r="G1206" i="8"/>
  <c r="G1208" i="8"/>
  <c r="G1210" i="8"/>
  <c r="G1212" i="8"/>
  <c r="G1216" i="8"/>
  <c r="G1222" i="8"/>
  <c r="G1224" i="8"/>
  <c r="G1228" i="8"/>
  <c r="G1232" i="8"/>
  <c r="G1234" i="8"/>
  <c r="G1238" i="8"/>
  <c r="G1240" i="8"/>
  <c r="G1242" i="8"/>
  <c r="G1244" i="8"/>
  <c r="G1248" i="8"/>
  <c r="G1250" i="8"/>
  <c r="G1256" i="8"/>
  <c r="G1258" i="8"/>
  <c r="G1260" i="8"/>
  <c r="G1264" i="8"/>
  <c r="G1266" i="8"/>
  <c r="G1270" i="8"/>
  <c r="G1272" i="8"/>
  <c r="G1274" i="8"/>
  <c r="G1276" i="8"/>
  <c r="G1280" i="8"/>
  <c r="G1286" i="8"/>
  <c r="G1288" i="8"/>
  <c r="G1292" i="8"/>
  <c r="G1296" i="8"/>
  <c r="G1298" i="8"/>
  <c r="G1302" i="8"/>
  <c r="G1304" i="8"/>
  <c r="G1306" i="8"/>
  <c r="G1308" i="8"/>
  <c r="G1312" i="8"/>
  <c r="G1314" i="8"/>
  <c r="G1320" i="8"/>
  <c r="G1322" i="8"/>
  <c r="G1324" i="8"/>
  <c r="G1328" i="8"/>
  <c r="G1330" i="8"/>
  <c r="G1334" i="8"/>
  <c r="G1336" i="8"/>
  <c r="G1338" i="8"/>
  <c r="G1340" i="8"/>
  <c r="G1344" i="8"/>
  <c r="G1350" i="8"/>
  <c r="G1351" i="8"/>
  <c r="G1354" i="8"/>
  <c r="G1362" i="8"/>
  <c r="G1366" i="8"/>
  <c r="G1367" i="8"/>
  <c r="G1370" i="8"/>
  <c r="G1378" i="8"/>
  <c r="G1382" i="8"/>
  <c r="G1383" i="8"/>
  <c r="G1386" i="8"/>
  <c r="G1394" i="8"/>
  <c r="G1398" i="8"/>
  <c r="G1399" i="8"/>
  <c r="G1402" i="8"/>
  <c r="G1410" i="8"/>
  <c r="G1414" i="8"/>
  <c r="G1415" i="8"/>
  <c r="G1418" i="8"/>
  <c r="G1426" i="8"/>
  <c r="G1430" i="8"/>
  <c r="G1431" i="8"/>
  <c r="G1434" i="8"/>
  <c r="G1442" i="8"/>
  <c r="G1446" i="8"/>
  <c r="G1447" i="8"/>
  <c r="G1450" i="8"/>
  <c r="G1458" i="8"/>
  <c r="G1462" i="8"/>
  <c r="G1463" i="8"/>
  <c r="G1466" i="8"/>
  <c r="G1467" i="8"/>
  <c r="G1474" i="8"/>
  <c r="G1478" i="8"/>
  <c r="G1479" i="8"/>
  <c r="G1482" i="8"/>
  <c r="G1483" i="8"/>
  <c r="G1490" i="8"/>
  <c r="G1494" i="8"/>
  <c r="G1495" i="8"/>
  <c r="G1498" i="8"/>
  <c r="G1499" i="8"/>
  <c r="G1506" i="8"/>
  <c r="G1510" i="8"/>
  <c r="G1511" i="8"/>
  <c r="G1514" i="8"/>
  <c r="G1515" i="8"/>
  <c r="G1522" i="8"/>
  <c r="G1526" i="8"/>
  <c r="G1527" i="8"/>
  <c r="G1530" i="8"/>
  <c r="G1531" i="8"/>
  <c r="G1538" i="8"/>
  <c r="G1542" i="8"/>
  <c r="G1543" i="8"/>
  <c r="G1546" i="8"/>
  <c r="G1547" i="8"/>
  <c r="G1554" i="8"/>
  <c r="G1558" i="8"/>
  <c r="G1559" i="8"/>
  <c r="G1562" i="8"/>
  <c r="G1563" i="8"/>
  <c r="G1570" i="8"/>
  <c r="G1574" i="8"/>
  <c r="G1575" i="8"/>
  <c r="G1578" i="8"/>
  <c r="G1579" i="8"/>
  <c r="G1586" i="8"/>
  <c r="G1590" i="8"/>
  <c r="G1591" i="8"/>
  <c r="G1594" i="8"/>
  <c r="G1595" i="8"/>
  <c r="G1602" i="8"/>
  <c r="G1606" i="8"/>
  <c r="G1607" i="8"/>
  <c r="G1610" i="8"/>
  <c r="G1611" i="8"/>
  <c r="G1618" i="8"/>
  <c r="G1622" i="8"/>
  <c r="G1623" i="8"/>
  <c r="G1626" i="8"/>
  <c r="G1627" i="8"/>
  <c r="G1634" i="8"/>
  <c r="G1638" i="8"/>
  <c r="G1639" i="8"/>
  <c r="G1642" i="8"/>
  <c r="G1643" i="8"/>
  <c r="G1650" i="8"/>
  <c r="G1654" i="8"/>
  <c r="G1655" i="8"/>
  <c r="G1658" i="8"/>
  <c r="G1659" i="8"/>
  <c r="G1666" i="8"/>
  <c r="G1670" i="8"/>
  <c r="G1671" i="8"/>
  <c r="G1674" i="8"/>
  <c r="G1675" i="8"/>
  <c r="G1682" i="8"/>
  <c r="G1686" i="8"/>
  <c r="G1687" i="8"/>
  <c r="G1690" i="8"/>
  <c r="G1691" i="8"/>
  <c r="G1698" i="8"/>
  <c r="G1702" i="8"/>
  <c r="G1703" i="8"/>
  <c r="G1706" i="8"/>
  <c r="G1707" i="8"/>
  <c r="G1714" i="8"/>
  <c r="G1718" i="8"/>
  <c r="G1719" i="8"/>
  <c r="G1722" i="8"/>
  <c r="G1723" i="8"/>
  <c r="G1730" i="8"/>
  <c r="G1734" i="8"/>
  <c r="G1735" i="8"/>
  <c r="G1738" i="8"/>
  <c r="G1739" i="8"/>
  <c r="F1079" i="8"/>
  <c r="G1079" i="8" s="1"/>
  <c r="F1080" i="8"/>
  <c r="F1081" i="8"/>
  <c r="G1081" i="8" s="1"/>
  <c r="I1081" i="8" s="1"/>
  <c r="F1082" i="8"/>
  <c r="F1083" i="8"/>
  <c r="G1083" i="8" s="1"/>
  <c r="F1084" i="8"/>
  <c r="F1085" i="8"/>
  <c r="G1085" i="8" s="1"/>
  <c r="I1085" i="8" s="1"/>
  <c r="F1086" i="8"/>
  <c r="G1086" i="8" s="1"/>
  <c r="F1087" i="8"/>
  <c r="G1087" i="8" s="1"/>
  <c r="I1087" i="8" s="1"/>
  <c r="F1088" i="8"/>
  <c r="F1089" i="8"/>
  <c r="G1089" i="8" s="1"/>
  <c r="F1090" i="8"/>
  <c r="G1090" i="8" s="1"/>
  <c r="F1091" i="8"/>
  <c r="G1091" i="8" s="1"/>
  <c r="F1092" i="8"/>
  <c r="G1092" i="8" s="1"/>
  <c r="F1093" i="8"/>
  <c r="G1093" i="8" s="1"/>
  <c r="F1094" i="8"/>
  <c r="F1095" i="8"/>
  <c r="G1095" i="8" s="1"/>
  <c r="F1096" i="8"/>
  <c r="F1097" i="8"/>
  <c r="G1097" i="8" s="1"/>
  <c r="F1098" i="8"/>
  <c r="G1098" i="8" s="1"/>
  <c r="F1099" i="8"/>
  <c r="G1099" i="8" s="1"/>
  <c r="F1100" i="8"/>
  <c r="F1101" i="8"/>
  <c r="G1101" i="8" s="1"/>
  <c r="F1102" i="8"/>
  <c r="G1102" i="8" s="1"/>
  <c r="F1103" i="8"/>
  <c r="G1103" i="8" s="1"/>
  <c r="F1104" i="8"/>
  <c r="F1105" i="8"/>
  <c r="G1105" i="8" s="1"/>
  <c r="F1106" i="8"/>
  <c r="F1107" i="8"/>
  <c r="G1107" i="8" s="1"/>
  <c r="F1108" i="8"/>
  <c r="G1108" i="8" s="1"/>
  <c r="F1109" i="8"/>
  <c r="G1109" i="8" s="1"/>
  <c r="F1110" i="8"/>
  <c r="F1111" i="8"/>
  <c r="G1111" i="8" s="1"/>
  <c r="F1112" i="8"/>
  <c r="F1113" i="8"/>
  <c r="G1113" i="8" s="1"/>
  <c r="F1114" i="8"/>
  <c r="F1115" i="8"/>
  <c r="G1115" i="8" s="1"/>
  <c r="F1116" i="8"/>
  <c r="F1117" i="8"/>
  <c r="G1117" i="8" s="1"/>
  <c r="F1118" i="8"/>
  <c r="G1118" i="8" s="1"/>
  <c r="F1119" i="8"/>
  <c r="G1119" i="8" s="1"/>
  <c r="F1120" i="8"/>
  <c r="F1121" i="8"/>
  <c r="G1121" i="8" s="1"/>
  <c r="F1122" i="8"/>
  <c r="F1123" i="8"/>
  <c r="G1123" i="8" s="1"/>
  <c r="F1124" i="8"/>
  <c r="G1124" i="8" s="1"/>
  <c r="F1125" i="8"/>
  <c r="G1125" i="8" s="1"/>
  <c r="F1126" i="8"/>
  <c r="G1126" i="8" s="1"/>
  <c r="F1127" i="8"/>
  <c r="G1127" i="8" s="1"/>
  <c r="F1128" i="8"/>
  <c r="F1129" i="8"/>
  <c r="F1130" i="8"/>
  <c r="F1131" i="8"/>
  <c r="G1131" i="8" s="1"/>
  <c r="F1132" i="8"/>
  <c r="F1133" i="8"/>
  <c r="G1133" i="8" s="1"/>
  <c r="I1133" i="8" s="1"/>
  <c r="F1134" i="8"/>
  <c r="F1135" i="8"/>
  <c r="G1135" i="8" s="1"/>
  <c r="I1135" i="8" s="1"/>
  <c r="F1136" i="8"/>
  <c r="F1137" i="8"/>
  <c r="G1137" i="8" s="1"/>
  <c r="F1138" i="8"/>
  <c r="F1139" i="8"/>
  <c r="G1139" i="8" s="1"/>
  <c r="F1140" i="8"/>
  <c r="G1140" i="8" s="1"/>
  <c r="F1141" i="8"/>
  <c r="F1142" i="8"/>
  <c r="F1143" i="8"/>
  <c r="G1143" i="8" s="1"/>
  <c r="F1144" i="8"/>
  <c r="F1145" i="8"/>
  <c r="F1146" i="8"/>
  <c r="F1147" i="8"/>
  <c r="G1147" i="8" s="1"/>
  <c r="I1147" i="8" s="1"/>
  <c r="F1148" i="8"/>
  <c r="F1149" i="8"/>
  <c r="G1149" i="8" s="1"/>
  <c r="I1149" i="8" s="1"/>
  <c r="F1150" i="8"/>
  <c r="F1151" i="8"/>
  <c r="G1151" i="8" s="1"/>
  <c r="F1152" i="8"/>
  <c r="F1153" i="8"/>
  <c r="F1154" i="8"/>
  <c r="F1155" i="8"/>
  <c r="G1155" i="8" s="1"/>
  <c r="F1156" i="8"/>
  <c r="G1156" i="8" s="1"/>
  <c r="I1156" i="8" s="1"/>
  <c r="F1157" i="8"/>
  <c r="F1158" i="8"/>
  <c r="F1159" i="8"/>
  <c r="G1159" i="8" s="1"/>
  <c r="F1160" i="8"/>
  <c r="F1161" i="8"/>
  <c r="F1162" i="8"/>
  <c r="F1163" i="8"/>
  <c r="G1163" i="8" s="1"/>
  <c r="F1164" i="8"/>
  <c r="F1165" i="8"/>
  <c r="G1165" i="8" s="1"/>
  <c r="I1165" i="8" s="1"/>
  <c r="F1166" i="8"/>
  <c r="F1167" i="8"/>
  <c r="G1167" i="8" s="1"/>
  <c r="F1168" i="8"/>
  <c r="F1169" i="8"/>
  <c r="F1170" i="8"/>
  <c r="F1171" i="8"/>
  <c r="G1171" i="8" s="1"/>
  <c r="F1172" i="8"/>
  <c r="G1172" i="8" s="1"/>
  <c r="I1172" i="8" s="1"/>
  <c r="F1173" i="8"/>
  <c r="G1173" i="8" s="1"/>
  <c r="F1174" i="8"/>
  <c r="F1175" i="8"/>
  <c r="G1175" i="8" s="1"/>
  <c r="F1176" i="8"/>
  <c r="F1177" i="8"/>
  <c r="F1178" i="8"/>
  <c r="F1179" i="8"/>
  <c r="G1179" i="8" s="1"/>
  <c r="F1180" i="8"/>
  <c r="F1181" i="8"/>
  <c r="G1181" i="8" s="1"/>
  <c r="I1181" i="8" s="1"/>
  <c r="F1182" i="8"/>
  <c r="F1183" i="8"/>
  <c r="G1183" i="8" s="1"/>
  <c r="F1184" i="8"/>
  <c r="F1185" i="8"/>
  <c r="G1185" i="8" s="1"/>
  <c r="F1186" i="8"/>
  <c r="F1187" i="8"/>
  <c r="G1187" i="8" s="1"/>
  <c r="F1188" i="8"/>
  <c r="G1188" i="8" s="1"/>
  <c r="F1189" i="8"/>
  <c r="G1189" i="8" s="1"/>
  <c r="F1190" i="8"/>
  <c r="G1190" i="8" s="1"/>
  <c r="F1191" i="8"/>
  <c r="G1191" i="8" s="1"/>
  <c r="F1192" i="8"/>
  <c r="F1193" i="8"/>
  <c r="G1193" i="8" s="1"/>
  <c r="F1194" i="8"/>
  <c r="F1195" i="8"/>
  <c r="G1195" i="8" s="1"/>
  <c r="F1196" i="8"/>
  <c r="F1197" i="8"/>
  <c r="G1197" i="8" s="1"/>
  <c r="F1198" i="8"/>
  <c r="G1198" i="8" s="1"/>
  <c r="F1199" i="8"/>
  <c r="G1199" i="8" s="1"/>
  <c r="F1200" i="8"/>
  <c r="F1201" i="8"/>
  <c r="G1201" i="8" s="1"/>
  <c r="F1202" i="8"/>
  <c r="F1203" i="8"/>
  <c r="G1203" i="8" s="1"/>
  <c r="F1204" i="8"/>
  <c r="G1204" i="8" s="1"/>
  <c r="F1205" i="8"/>
  <c r="G1205" i="8" s="1"/>
  <c r="F1206" i="8"/>
  <c r="F1207" i="8"/>
  <c r="G1207" i="8" s="1"/>
  <c r="F1208" i="8"/>
  <c r="F1209" i="8"/>
  <c r="G1209" i="8" s="1"/>
  <c r="F1210" i="8"/>
  <c r="F1211" i="8"/>
  <c r="G1211" i="8" s="1"/>
  <c r="F1212" i="8"/>
  <c r="F1213" i="8"/>
  <c r="G1213" i="8" s="1"/>
  <c r="F1214" i="8"/>
  <c r="G1214" i="8" s="1"/>
  <c r="F1215" i="8"/>
  <c r="G1215" i="8" s="1"/>
  <c r="F1216" i="8"/>
  <c r="F1217" i="8"/>
  <c r="G1217" i="8" s="1"/>
  <c r="F1218" i="8"/>
  <c r="G1218" i="8" s="1"/>
  <c r="F1219" i="8"/>
  <c r="G1219" i="8" s="1"/>
  <c r="F1220" i="8"/>
  <c r="G1220" i="8" s="1"/>
  <c r="F1221" i="8"/>
  <c r="G1221" i="8" s="1"/>
  <c r="F1222" i="8"/>
  <c r="F1223" i="8"/>
  <c r="G1223" i="8" s="1"/>
  <c r="F1224" i="8"/>
  <c r="F1225" i="8"/>
  <c r="G1225" i="8" s="1"/>
  <c r="F1226" i="8"/>
  <c r="G1226" i="8" s="1"/>
  <c r="F1227" i="8"/>
  <c r="G1227" i="8" s="1"/>
  <c r="F1228" i="8"/>
  <c r="F1229" i="8"/>
  <c r="G1229" i="8" s="1"/>
  <c r="F1230" i="8"/>
  <c r="G1230" i="8" s="1"/>
  <c r="F1231" i="8"/>
  <c r="G1231" i="8" s="1"/>
  <c r="F1232" i="8"/>
  <c r="F1233" i="8"/>
  <c r="G1233" i="8" s="1"/>
  <c r="F1234" i="8"/>
  <c r="F1235" i="8"/>
  <c r="G1235" i="8" s="1"/>
  <c r="F1236" i="8"/>
  <c r="G1236" i="8" s="1"/>
  <c r="F1237" i="8"/>
  <c r="G1237" i="8" s="1"/>
  <c r="F1238" i="8"/>
  <c r="F1239" i="8"/>
  <c r="G1239" i="8" s="1"/>
  <c r="F1240" i="8"/>
  <c r="F1241" i="8"/>
  <c r="G1241" i="8" s="1"/>
  <c r="F1242" i="8"/>
  <c r="F1243" i="8"/>
  <c r="G1243" i="8" s="1"/>
  <c r="F1244" i="8"/>
  <c r="F1245" i="8"/>
  <c r="G1245" i="8" s="1"/>
  <c r="F1246" i="8"/>
  <c r="G1246" i="8" s="1"/>
  <c r="F1247" i="8"/>
  <c r="G1247" i="8" s="1"/>
  <c r="F1248" i="8"/>
  <c r="F1249" i="8"/>
  <c r="G1249" i="8" s="1"/>
  <c r="F1250" i="8"/>
  <c r="F1251" i="8"/>
  <c r="G1251" i="8" s="1"/>
  <c r="F1252" i="8"/>
  <c r="G1252" i="8" s="1"/>
  <c r="F1253" i="8"/>
  <c r="G1253" i="8" s="1"/>
  <c r="F1254" i="8"/>
  <c r="G1254" i="8" s="1"/>
  <c r="F1255" i="8"/>
  <c r="G1255" i="8" s="1"/>
  <c r="F1256" i="8"/>
  <c r="F1257" i="8"/>
  <c r="G1257" i="8" s="1"/>
  <c r="F1258" i="8"/>
  <c r="F1259" i="8"/>
  <c r="G1259" i="8" s="1"/>
  <c r="F1260" i="8"/>
  <c r="F1261" i="8"/>
  <c r="G1261" i="8" s="1"/>
  <c r="F1262" i="8"/>
  <c r="G1262" i="8" s="1"/>
  <c r="F1263" i="8"/>
  <c r="G1263" i="8" s="1"/>
  <c r="F1264" i="8"/>
  <c r="F1265" i="8"/>
  <c r="G1265" i="8" s="1"/>
  <c r="F1266" i="8"/>
  <c r="F1267" i="8"/>
  <c r="G1267" i="8" s="1"/>
  <c r="F1268" i="8"/>
  <c r="G1268" i="8" s="1"/>
  <c r="F1269" i="8"/>
  <c r="G1269" i="8" s="1"/>
  <c r="F1270" i="8"/>
  <c r="F1271" i="8"/>
  <c r="G1271" i="8" s="1"/>
  <c r="F1272" i="8"/>
  <c r="F1273" i="8"/>
  <c r="G1273" i="8" s="1"/>
  <c r="F1274" i="8"/>
  <c r="F1275" i="8"/>
  <c r="G1275" i="8" s="1"/>
  <c r="F1276" i="8"/>
  <c r="F1277" i="8"/>
  <c r="G1277" i="8" s="1"/>
  <c r="F1278" i="8"/>
  <c r="G1278" i="8" s="1"/>
  <c r="F1279" i="8"/>
  <c r="G1279" i="8" s="1"/>
  <c r="F1280" i="8"/>
  <c r="F1281" i="8"/>
  <c r="G1281" i="8" s="1"/>
  <c r="F1282" i="8"/>
  <c r="G1282" i="8" s="1"/>
  <c r="F1283" i="8"/>
  <c r="G1283" i="8" s="1"/>
  <c r="F1284" i="8"/>
  <c r="G1284" i="8" s="1"/>
  <c r="F1285" i="8"/>
  <c r="G1285" i="8" s="1"/>
  <c r="F1286" i="8"/>
  <c r="F1287" i="8"/>
  <c r="G1287" i="8" s="1"/>
  <c r="F1288" i="8"/>
  <c r="F1289" i="8"/>
  <c r="G1289" i="8" s="1"/>
  <c r="F1290" i="8"/>
  <c r="G1290" i="8" s="1"/>
  <c r="F1291" i="8"/>
  <c r="G1291" i="8" s="1"/>
  <c r="F1292" i="8"/>
  <c r="F1293" i="8"/>
  <c r="G1293" i="8" s="1"/>
  <c r="F1294" i="8"/>
  <c r="G1294" i="8" s="1"/>
  <c r="F1295" i="8"/>
  <c r="G1295" i="8" s="1"/>
  <c r="F1296" i="8"/>
  <c r="F1297" i="8"/>
  <c r="G1297" i="8" s="1"/>
  <c r="F1298" i="8"/>
  <c r="F1299" i="8"/>
  <c r="G1299" i="8" s="1"/>
  <c r="F1300" i="8"/>
  <c r="G1300" i="8" s="1"/>
  <c r="F1301" i="8"/>
  <c r="G1301" i="8" s="1"/>
  <c r="F1302" i="8"/>
  <c r="F1303" i="8"/>
  <c r="G1303" i="8" s="1"/>
  <c r="F1304" i="8"/>
  <c r="F1305" i="8"/>
  <c r="G1305" i="8" s="1"/>
  <c r="F1306" i="8"/>
  <c r="F1307" i="8"/>
  <c r="G1307" i="8" s="1"/>
  <c r="F1308" i="8"/>
  <c r="F1309" i="8"/>
  <c r="G1309" i="8" s="1"/>
  <c r="F1310" i="8"/>
  <c r="G1310" i="8" s="1"/>
  <c r="F1311" i="8"/>
  <c r="G1311" i="8" s="1"/>
  <c r="F1312" i="8"/>
  <c r="F1313" i="8"/>
  <c r="G1313" i="8" s="1"/>
  <c r="F1314" i="8"/>
  <c r="F1315" i="8"/>
  <c r="G1315" i="8" s="1"/>
  <c r="F1316" i="8"/>
  <c r="G1316" i="8" s="1"/>
  <c r="F1317" i="8"/>
  <c r="G1317" i="8" s="1"/>
  <c r="F1318" i="8"/>
  <c r="G1318" i="8" s="1"/>
  <c r="F1319" i="8"/>
  <c r="G1319" i="8" s="1"/>
  <c r="F1320" i="8"/>
  <c r="F1321" i="8"/>
  <c r="G1321" i="8" s="1"/>
  <c r="F1322" i="8"/>
  <c r="F1323" i="8"/>
  <c r="G1323" i="8" s="1"/>
  <c r="F1324" i="8"/>
  <c r="F1325" i="8"/>
  <c r="G1325" i="8" s="1"/>
  <c r="F1326" i="8"/>
  <c r="G1326" i="8" s="1"/>
  <c r="F1327" i="8"/>
  <c r="G1327" i="8" s="1"/>
  <c r="F1328" i="8"/>
  <c r="F1329" i="8"/>
  <c r="G1329" i="8" s="1"/>
  <c r="F1330" i="8"/>
  <c r="F1331" i="8"/>
  <c r="G1331" i="8" s="1"/>
  <c r="F1332" i="8"/>
  <c r="G1332" i="8" s="1"/>
  <c r="F1333" i="8"/>
  <c r="G1333" i="8" s="1"/>
  <c r="F1334" i="8"/>
  <c r="F1335" i="8"/>
  <c r="G1335" i="8" s="1"/>
  <c r="F1336" i="8"/>
  <c r="F1337" i="8"/>
  <c r="G1337" i="8" s="1"/>
  <c r="F1338" i="8"/>
  <c r="F1339" i="8"/>
  <c r="G1339" i="8" s="1"/>
  <c r="F1340" i="8"/>
  <c r="F1341" i="8"/>
  <c r="G1341" i="8" s="1"/>
  <c r="F1342" i="8"/>
  <c r="G1342" i="8" s="1"/>
  <c r="F1343" i="8"/>
  <c r="G1343" i="8" s="1"/>
  <c r="F1344" i="8"/>
  <c r="F1345" i="8"/>
  <c r="G1345" i="8" s="1"/>
  <c r="F1346" i="8"/>
  <c r="G1346" i="8" s="1"/>
  <c r="F1347" i="8"/>
  <c r="G1347" i="8" s="1"/>
  <c r="F1348" i="8"/>
  <c r="G1348" i="8" s="1"/>
  <c r="F1349" i="8"/>
  <c r="G1349" i="8" s="1"/>
  <c r="F1350" i="8"/>
  <c r="F1351" i="8"/>
  <c r="F1352" i="8"/>
  <c r="G1352" i="8" s="1"/>
  <c r="F1353" i="8"/>
  <c r="G1353" i="8" s="1"/>
  <c r="F1354" i="8"/>
  <c r="F1355" i="8"/>
  <c r="G1355" i="8" s="1"/>
  <c r="F1356" i="8"/>
  <c r="G1356" i="8" s="1"/>
  <c r="F1357" i="8"/>
  <c r="G1357" i="8" s="1"/>
  <c r="F1358" i="8"/>
  <c r="G1358" i="8" s="1"/>
  <c r="F1359" i="8"/>
  <c r="G1359" i="8" s="1"/>
  <c r="F1360" i="8"/>
  <c r="G1360" i="8" s="1"/>
  <c r="F1361" i="8"/>
  <c r="G1361" i="8" s="1"/>
  <c r="F1362" i="8"/>
  <c r="F1363" i="8"/>
  <c r="G1363" i="8" s="1"/>
  <c r="F1364" i="8"/>
  <c r="G1364" i="8" s="1"/>
  <c r="F1365" i="8"/>
  <c r="G1365" i="8" s="1"/>
  <c r="F1366" i="8"/>
  <c r="F1367" i="8"/>
  <c r="F1368" i="8"/>
  <c r="G1368" i="8" s="1"/>
  <c r="F1369" i="8"/>
  <c r="G1369" i="8" s="1"/>
  <c r="F1370" i="8"/>
  <c r="F1371" i="8"/>
  <c r="G1371" i="8" s="1"/>
  <c r="F1372" i="8"/>
  <c r="G1372" i="8" s="1"/>
  <c r="F1373" i="8"/>
  <c r="G1373" i="8" s="1"/>
  <c r="F1374" i="8"/>
  <c r="G1374" i="8" s="1"/>
  <c r="F1375" i="8"/>
  <c r="G1375" i="8" s="1"/>
  <c r="F1376" i="8"/>
  <c r="G1376" i="8" s="1"/>
  <c r="F1377" i="8"/>
  <c r="G1377" i="8" s="1"/>
  <c r="F1378" i="8"/>
  <c r="F1379" i="8"/>
  <c r="G1379" i="8" s="1"/>
  <c r="F1380" i="8"/>
  <c r="G1380" i="8" s="1"/>
  <c r="F1381" i="8"/>
  <c r="G1381" i="8" s="1"/>
  <c r="F1382" i="8"/>
  <c r="F1383" i="8"/>
  <c r="F1384" i="8"/>
  <c r="G1384" i="8" s="1"/>
  <c r="F1385" i="8"/>
  <c r="G1385" i="8" s="1"/>
  <c r="F1386" i="8"/>
  <c r="F1387" i="8"/>
  <c r="G1387" i="8" s="1"/>
  <c r="F1388" i="8"/>
  <c r="G1388" i="8" s="1"/>
  <c r="F1389" i="8"/>
  <c r="G1389" i="8" s="1"/>
  <c r="F1390" i="8"/>
  <c r="G1390" i="8" s="1"/>
  <c r="F1391" i="8"/>
  <c r="G1391" i="8" s="1"/>
  <c r="F1392" i="8"/>
  <c r="G1392" i="8" s="1"/>
  <c r="F1393" i="8"/>
  <c r="G1393" i="8" s="1"/>
  <c r="F1394" i="8"/>
  <c r="F1395" i="8"/>
  <c r="G1395" i="8" s="1"/>
  <c r="F1396" i="8"/>
  <c r="G1396" i="8" s="1"/>
  <c r="F1397" i="8"/>
  <c r="G1397" i="8" s="1"/>
  <c r="F1398" i="8"/>
  <c r="F1399" i="8"/>
  <c r="F1400" i="8"/>
  <c r="G1400" i="8" s="1"/>
  <c r="F1401" i="8"/>
  <c r="G1401" i="8" s="1"/>
  <c r="F1402" i="8"/>
  <c r="F1403" i="8"/>
  <c r="G1403" i="8" s="1"/>
  <c r="F1404" i="8"/>
  <c r="G1404" i="8" s="1"/>
  <c r="F1405" i="8"/>
  <c r="G1405" i="8" s="1"/>
  <c r="F1406" i="8"/>
  <c r="G1406" i="8" s="1"/>
  <c r="F1407" i="8"/>
  <c r="G1407" i="8" s="1"/>
  <c r="F1408" i="8"/>
  <c r="G1408" i="8" s="1"/>
  <c r="F1409" i="8"/>
  <c r="G1409" i="8" s="1"/>
  <c r="F1410" i="8"/>
  <c r="F1411" i="8"/>
  <c r="G1411" i="8" s="1"/>
  <c r="F1412" i="8"/>
  <c r="G1412" i="8" s="1"/>
  <c r="F1413" i="8"/>
  <c r="G1413" i="8" s="1"/>
  <c r="F1414" i="8"/>
  <c r="F1415" i="8"/>
  <c r="F1416" i="8"/>
  <c r="G1416" i="8" s="1"/>
  <c r="F1417" i="8"/>
  <c r="G1417" i="8" s="1"/>
  <c r="F1418" i="8"/>
  <c r="F1419" i="8"/>
  <c r="G1419" i="8" s="1"/>
  <c r="F1420" i="8"/>
  <c r="G1420" i="8" s="1"/>
  <c r="F1421" i="8"/>
  <c r="G1421" i="8" s="1"/>
  <c r="F1422" i="8"/>
  <c r="G1422" i="8" s="1"/>
  <c r="F1423" i="8"/>
  <c r="G1423" i="8" s="1"/>
  <c r="F1424" i="8"/>
  <c r="G1424" i="8" s="1"/>
  <c r="F1425" i="8"/>
  <c r="G1425" i="8" s="1"/>
  <c r="F1426" i="8"/>
  <c r="F1427" i="8"/>
  <c r="G1427" i="8" s="1"/>
  <c r="F1428" i="8"/>
  <c r="G1428" i="8" s="1"/>
  <c r="F1429" i="8"/>
  <c r="G1429" i="8" s="1"/>
  <c r="F1430" i="8"/>
  <c r="F1431" i="8"/>
  <c r="F1432" i="8"/>
  <c r="G1432" i="8" s="1"/>
  <c r="F1433" i="8"/>
  <c r="G1433" i="8" s="1"/>
  <c r="F1434" i="8"/>
  <c r="F1435" i="8"/>
  <c r="G1435" i="8" s="1"/>
  <c r="F1436" i="8"/>
  <c r="G1436" i="8" s="1"/>
  <c r="F1437" i="8"/>
  <c r="G1437" i="8" s="1"/>
  <c r="F1438" i="8"/>
  <c r="G1438" i="8" s="1"/>
  <c r="F1439" i="8"/>
  <c r="G1439" i="8" s="1"/>
  <c r="F1440" i="8"/>
  <c r="G1440" i="8" s="1"/>
  <c r="F1441" i="8"/>
  <c r="G1441" i="8" s="1"/>
  <c r="F1442" i="8"/>
  <c r="F1443" i="8"/>
  <c r="G1443" i="8" s="1"/>
  <c r="F1444" i="8"/>
  <c r="G1444" i="8" s="1"/>
  <c r="F1445" i="8"/>
  <c r="G1445" i="8" s="1"/>
  <c r="F1446" i="8"/>
  <c r="F1447" i="8"/>
  <c r="F1448" i="8"/>
  <c r="G1448" i="8" s="1"/>
  <c r="F1449" i="8"/>
  <c r="G1449" i="8" s="1"/>
  <c r="F1450" i="8"/>
  <c r="F1451" i="8"/>
  <c r="G1451" i="8" s="1"/>
  <c r="F1452" i="8"/>
  <c r="G1452" i="8" s="1"/>
  <c r="F1453" i="8"/>
  <c r="G1453" i="8" s="1"/>
  <c r="F1454" i="8"/>
  <c r="G1454" i="8" s="1"/>
  <c r="F1455" i="8"/>
  <c r="G1455" i="8" s="1"/>
  <c r="F1456" i="8"/>
  <c r="G1456" i="8" s="1"/>
  <c r="F1457" i="8"/>
  <c r="G1457" i="8" s="1"/>
  <c r="F1458" i="8"/>
  <c r="F1459" i="8"/>
  <c r="G1459" i="8" s="1"/>
  <c r="F1460" i="8"/>
  <c r="G1460" i="8" s="1"/>
  <c r="F1461" i="8"/>
  <c r="G1461" i="8" s="1"/>
  <c r="F1462" i="8"/>
  <c r="F1463" i="8"/>
  <c r="F1464" i="8"/>
  <c r="G1464" i="8" s="1"/>
  <c r="F1465" i="8"/>
  <c r="G1465" i="8" s="1"/>
  <c r="F1466" i="8"/>
  <c r="F1467" i="8"/>
  <c r="F1468" i="8"/>
  <c r="G1468" i="8" s="1"/>
  <c r="F1469" i="8"/>
  <c r="G1469" i="8" s="1"/>
  <c r="F1470" i="8"/>
  <c r="G1470" i="8" s="1"/>
  <c r="F1471" i="8"/>
  <c r="G1471" i="8" s="1"/>
  <c r="F1472" i="8"/>
  <c r="G1472" i="8" s="1"/>
  <c r="F1473" i="8"/>
  <c r="G1473" i="8" s="1"/>
  <c r="F1474" i="8"/>
  <c r="F1475" i="8"/>
  <c r="G1475" i="8" s="1"/>
  <c r="F1476" i="8"/>
  <c r="G1476" i="8" s="1"/>
  <c r="F1477" i="8"/>
  <c r="G1477" i="8" s="1"/>
  <c r="F1478" i="8"/>
  <c r="F1479" i="8"/>
  <c r="F1480" i="8"/>
  <c r="G1480" i="8" s="1"/>
  <c r="F1481" i="8"/>
  <c r="G1481" i="8" s="1"/>
  <c r="F1482" i="8"/>
  <c r="F1483" i="8"/>
  <c r="F1484" i="8"/>
  <c r="G1484" i="8" s="1"/>
  <c r="F1485" i="8"/>
  <c r="G1485" i="8" s="1"/>
  <c r="F1486" i="8"/>
  <c r="G1486" i="8" s="1"/>
  <c r="F1487" i="8"/>
  <c r="G1487" i="8" s="1"/>
  <c r="F1488" i="8"/>
  <c r="G1488" i="8" s="1"/>
  <c r="F1489" i="8"/>
  <c r="G1489" i="8" s="1"/>
  <c r="F1490" i="8"/>
  <c r="F1491" i="8"/>
  <c r="G1491" i="8" s="1"/>
  <c r="F1492" i="8"/>
  <c r="G1492" i="8" s="1"/>
  <c r="F1493" i="8"/>
  <c r="G1493" i="8" s="1"/>
  <c r="F1494" i="8"/>
  <c r="F1495" i="8"/>
  <c r="F1496" i="8"/>
  <c r="G1496" i="8" s="1"/>
  <c r="F1497" i="8"/>
  <c r="G1497" i="8" s="1"/>
  <c r="F1498" i="8"/>
  <c r="F1499" i="8"/>
  <c r="F1500" i="8"/>
  <c r="G1500" i="8" s="1"/>
  <c r="F1501" i="8"/>
  <c r="G1501" i="8" s="1"/>
  <c r="F1502" i="8"/>
  <c r="G1502" i="8" s="1"/>
  <c r="F1503" i="8"/>
  <c r="G1503" i="8" s="1"/>
  <c r="F1504" i="8"/>
  <c r="G1504" i="8" s="1"/>
  <c r="F1505" i="8"/>
  <c r="G1505" i="8" s="1"/>
  <c r="F1506" i="8"/>
  <c r="F1507" i="8"/>
  <c r="G1507" i="8" s="1"/>
  <c r="F1508" i="8"/>
  <c r="G1508" i="8" s="1"/>
  <c r="F1509" i="8"/>
  <c r="G1509" i="8" s="1"/>
  <c r="F1510" i="8"/>
  <c r="F1511" i="8"/>
  <c r="F1512" i="8"/>
  <c r="G1512" i="8" s="1"/>
  <c r="F1513" i="8"/>
  <c r="G1513" i="8" s="1"/>
  <c r="F1514" i="8"/>
  <c r="F1515" i="8"/>
  <c r="F1516" i="8"/>
  <c r="G1516" i="8" s="1"/>
  <c r="F1517" i="8"/>
  <c r="G1517" i="8" s="1"/>
  <c r="F1518" i="8"/>
  <c r="G1518" i="8" s="1"/>
  <c r="F1519" i="8"/>
  <c r="G1519" i="8" s="1"/>
  <c r="F1520" i="8"/>
  <c r="G1520" i="8" s="1"/>
  <c r="F1521" i="8"/>
  <c r="G1521" i="8" s="1"/>
  <c r="F1522" i="8"/>
  <c r="F1523" i="8"/>
  <c r="G1523" i="8" s="1"/>
  <c r="F1524" i="8"/>
  <c r="G1524" i="8" s="1"/>
  <c r="F1525" i="8"/>
  <c r="G1525" i="8" s="1"/>
  <c r="F1526" i="8"/>
  <c r="F1527" i="8"/>
  <c r="F1528" i="8"/>
  <c r="G1528" i="8" s="1"/>
  <c r="F1529" i="8"/>
  <c r="G1529" i="8" s="1"/>
  <c r="F1530" i="8"/>
  <c r="F1531" i="8"/>
  <c r="F1532" i="8"/>
  <c r="G1532" i="8" s="1"/>
  <c r="F1533" i="8"/>
  <c r="G1533" i="8" s="1"/>
  <c r="F1534" i="8"/>
  <c r="G1534" i="8" s="1"/>
  <c r="F1535" i="8"/>
  <c r="G1535" i="8" s="1"/>
  <c r="F1536" i="8"/>
  <c r="G1536" i="8" s="1"/>
  <c r="F1537" i="8"/>
  <c r="G1537" i="8" s="1"/>
  <c r="F1538" i="8"/>
  <c r="F1539" i="8"/>
  <c r="G1539" i="8" s="1"/>
  <c r="F1540" i="8"/>
  <c r="G1540" i="8" s="1"/>
  <c r="F1541" i="8"/>
  <c r="G1541" i="8" s="1"/>
  <c r="F1542" i="8"/>
  <c r="F1543" i="8"/>
  <c r="F1544" i="8"/>
  <c r="G1544" i="8" s="1"/>
  <c r="F1545" i="8"/>
  <c r="G1545" i="8" s="1"/>
  <c r="F1546" i="8"/>
  <c r="F1547" i="8"/>
  <c r="F1548" i="8"/>
  <c r="G1548" i="8" s="1"/>
  <c r="F1549" i="8"/>
  <c r="G1549" i="8" s="1"/>
  <c r="F1550" i="8"/>
  <c r="G1550" i="8" s="1"/>
  <c r="F1551" i="8"/>
  <c r="G1551" i="8" s="1"/>
  <c r="F1552" i="8"/>
  <c r="G1552" i="8" s="1"/>
  <c r="F1553" i="8"/>
  <c r="G1553" i="8" s="1"/>
  <c r="F1554" i="8"/>
  <c r="F1555" i="8"/>
  <c r="G1555" i="8" s="1"/>
  <c r="F1556" i="8"/>
  <c r="G1556" i="8" s="1"/>
  <c r="F1557" i="8"/>
  <c r="G1557" i="8" s="1"/>
  <c r="F1558" i="8"/>
  <c r="F1559" i="8"/>
  <c r="F1560" i="8"/>
  <c r="G1560" i="8" s="1"/>
  <c r="F1561" i="8"/>
  <c r="G1561" i="8" s="1"/>
  <c r="F1562" i="8"/>
  <c r="F1563" i="8"/>
  <c r="F1564" i="8"/>
  <c r="G1564" i="8" s="1"/>
  <c r="F1565" i="8"/>
  <c r="G1565" i="8" s="1"/>
  <c r="F1566" i="8"/>
  <c r="G1566" i="8" s="1"/>
  <c r="F1567" i="8"/>
  <c r="G1567" i="8" s="1"/>
  <c r="F1568" i="8"/>
  <c r="G1568" i="8" s="1"/>
  <c r="F1569" i="8"/>
  <c r="G1569" i="8" s="1"/>
  <c r="F1570" i="8"/>
  <c r="F1571" i="8"/>
  <c r="G1571" i="8" s="1"/>
  <c r="F1572" i="8"/>
  <c r="G1572" i="8" s="1"/>
  <c r="F1573" i="8"/>
  <c r="G1573" i="8" s="1"/>
  <c r="F1574" i="8"/>
  <c r="F1575" i="8"/>
  <c r="F1576" i="8"/>
  <c r="G1576" i="8" s="1"/>
  <c r="F1577" i="8"/>
  <c r="G1577" i="8" s="1"/>
  <c r="F1578" i="8"/>
  <c r="F1579" i="8"/>
  <c r="F1580" i="8"/>
  <c r="G1580" i="8" s="1"/>
  <c r="F1581" i="8"/>
  <c r="G1581" i="8" s="1"/>
  <c r="F1582" i="8"/>
  <c r="G1582" i="8" s="1"/>
  <c r="F1583" i="8"/>
  <c r="G1583" i="8" s="1"/>
  <c r="F1584" i="8"/>
  <c r="G1584" i="8" s="1"/>
  <c r="F1585" i="8"/>
  <c r="G1585" i="8" s="1"/>
  <c r="F1586" i="8"/>
  <c r="F1587" i="8"/>
  <c r="G1587" i="8" s="1"/>
  <c r="F1588" i="8"/>
  <c r="G1588" i="8" s="1"/>
  <c r="F1589" i="8"/>
  <c r="G1589" i="8" s="1"/>
  <c r="F1590" i="8"/>
  <c r="F1591" i="8"/>
  <c r="F1592" i="8"/>
  <c r="G1592" i="8" s="1"/>
  <c r="F1593" i="8"/>
  <c r="G1593" i="8" s="1"/>
  <c r="F1594" i="8"/>
  <c r="F1595" i="8"/>
  <c r="F1596" i="8"/>
  <c r="G1596" i="8" s="1"/>
  <c r="F1597" i="8"/>
  <c r="G1597" i="8" s="1"/>
  <c r="F1598" i="8"/>
  <c r="G1598" i="8" s="1"/>
  <c r="F1599" i="8"/>
  <c r="G1599" i="8" s="1"/>
  <c r="F1600" i="8"/>
  <c r="G1600" i="8" s="1"/>
  <c r="F1601" i="8"/>
  <c r="G1601" i="8" s="1"/>
  <c r="F1602" i="8"/>
  <c r="F1603" i="8"/>
  <c r="G1603" i="8" s="1"/>
  <c r="F1604" i="8"/>
  <c r="G1604" i="8" s="1"/>
  <c r="F1605" i="8"/>
  <c r="G1605" i="8" s="1"/>
  <c r="F1606" i="8"/>
  <c r="F1607" i="8"/>
  <c r="F1608" i="8"/>
  <c r="G1608" i="8" s="1"/>
  <c r="F1609" i="8"/>
  <c r="G1609" i="8" s="1"/>
  <c r="F1610" i="8"/>
  <c r="F1611" i="8"/>
  <c r="F1612" i="8"/>
  <c r="G1612" i="8" s="1"/>
  <c r="F1613" i="8"/>
  <c r="G1613" i="8" s="1"/>
  <c r="F1614" i="8"/>
  <c r="G1614" i="8" s="1"/>
  <c r="F1615" i="8"/>
  <c r="G1615" i="8" s="1"/>
  <c r="F1616" i="8"/>
  <c r="G1616" i="8" s="1"/>
  <c r="F1617" i="8"/>
  <c r="G1617" i="8" s="1"/>
  <c r="F1618" i="8"/>
  <c r="F1619" i="8"/>
  <c r="G1619" i="8" s="1"/>
  <c r="F1620" i="8"/>
  <c r="G1620" i="8" s="1"/>
  <c r="F1621" i="8"/>
  <c r="G1621" i="8" s="1"/>
  <c r="F1622" i="8"/>
  <c r="F1623" i="8"/>
  <c r="F1624" i="8"/>
  <c r="G1624" i="8" s="1"/>
  <c r="F1625" i="8"/>
  <c r="G1625" i="8" s="1"/>
  <c r="F1626" i="8"/>
  <c r="F1627" i="8"/>
  <c r="F1628" i="8"/>
  <c r="G1628" i="8" s="1"/>
  <c r="F1629" i="8"/>
  <c r="G1629" i="8" s="1"/>
  <c r="F1630" i="8"/>
  <c r="G1630" i="8" s="1"/>
  <c r="F1631" i="8"/>
  <c r="G1631" i="8" s="1"/>
  <c r="F1632" i="8"/>
  <c r="G1632" i="8" s="1"/>
  <c r="F1633" i="8"/>
  <c r="G1633" i="8" s="1"/>
  <c r="F1634" i="8"/>
  <c r="F1635" i="8"/>
  <c r="G1635" i="8" s="1"/>
  <c r="F1636" i="8"/>
  <c r="G1636" i="8" s="1"/>
  <c r="F1637" i="8"/>
  <c r="G1637" i="8" s="1"/>
  <c r="F1638" i="8"/>
  <c r="F1639" i="8"/>
  <c r="F1640" i="8"/>
  <c r="G1640" i="8" s="1"/>
  <c r="F1641" i="8"/>
  <c r="G1641" i="8" s="1"/>
  <c r="F1642" i="8"/>
  <c r="F1643" i="8"/>
  <c r="F1644" i="8"/>
  <c r="G1644" i="8" s="1"/>
  <c r="F1645" i="8"/>
  <c r="G1645" i="8" s="1"/>
  <c r="F1646" i="8"/>
  <c r="G1646" i="8" s="1"/>
  <c r="F1647" i="8"/>
  <c r="G1647" i="8" s="1"/>
  <c r="F1648" i="8"/>
  <c r="G1648" i="8" s="1"/>
  <c r="F1649" i="8"/>
  <c r="G1649" i="8" s="1"/>
  <c r="F1650" i="8"/>
  <c r="F1651" i="8"/>
  <c r="G1651" i="8" s="1"/>
  <c r="F1652" i="8"/>
  <c r="G1652" i="8" s="1"/>
  <c r="F1653" i="8"/>
  <c r="G1653" i="8" s="1"/>
  <c r="F1654" i="8"/>
  <c r="F1655" i="8"/>
  <c r="F1656" i="8"/>
  <c r="G1656" i="8" s="1"/>
  <c r="F1657" i="8"/>
  <c r="G1657" i="8" s="1"/>
  <c r="F1658" i="8"/>
  <c r="F1659" i="8"/>
  <c r="F1660" i="8"/>
  <c r="G1660" i="8" s="1"/>
  <c r="F1661" i="8"/>
  <c r="G1661" i="8" s="1"/>
  <c r="F1662" i="8"/>
  <c r="G1662" i="8" s="1"/>
  <c r="F1663" i="8"/>
  <c r="G1663" i="8" s="1"/>
  <c r="F1664" i="8"/>
  <c r="G1664" i="8" s="1"/>
  <c r="F1665" i="8"/>
  <c r="G1665" i="8" s="1"/>
  <c r="F1666" i="8"/>
  <c r="F1667" i="8"/>
  <c r="G1667" i="8" s="1"/>
  <c r="F1668" i="8"/>
  <c r="G1668" i="8" s="1"/>
  <c r="F1669" i="8"/>
  <c r="G1669" i="8" s="1"/>
  <c r="F1670" i="8"/>
  <c r="F1671" i="8"/>
  <c r="F1672" i="8"/>
  <c r="G1672" i="8" s="1"/>
  <c r="F1673" i="8"/>
  <c r="G1673" i="8" s="1"/>
  <c r="F1674" i="8"/>
  <c r="F1675" i="8"/>
  <c r="F1676" i="8"/>
  <c r="G1676" i="8" s="1"/>
  <c r="F1677" i="8"/>
  <c r="G1677" i="8" s="1"/>
  <c r="F1678" i="8"/>
  <c r="G1678" i="8" s="1"/>
  <c r="F1679" i="8"/>
  <c r="G1679" i="8" s="1"/>
  <c r="F1680" i="8"/>
  <c r="G1680" i="8" s="1"/>
  <c r="F1681" i="8"/>
  <c r="G1681" i="8" s="1"/>
  <c r="F1682" i="8"/>
  <c r="F1683" i="8"/>
  <c r="G1683" i="8" s="1"/>
  <c r="F1684" i="8"/>
  <c r="G1684" i="8" s="1"/>
  <c r="F1685" i="8"/>
  <c r="G1685" i="8" s="1"/>
  <c r="F1686" i="8"/>
  <c r="F1687" i="8"/>
  <c r="F1688" i="8"/>
  <c r="G1688" i="8" s="1"/>
  <c r="F1689" i="8"/>
  <c r="G1689" i="8" s="1"/>
  <c r="F1690" i="8"/>
  <c r="F1691" i="8"/>
  <c r="F1692" i="8"/>
  <c r="G1692" i="8" s="1"/>
  <c r="F1693" i="8"/>
  <c r="G1693" i="8" s="1"/>
  <c r="F1694" i="8"/>
  <c r="G1694" i="8" s="1"/>
  <c r="F1695" i="8"/>
  <c r="G1695" i="8" s="1"/>
  <c r="F1696" i="8"/>
  <c r="G1696" i="8" s="1"/>
  <c r="F1697" i="8"/>
  <c r="G1697" i="8" s="1"/>
  <c r="F1698" i="8"/>
  <c r="F1699" i="8"/>
  <c r="G1699" i="8" s="1"/>
  <c r="F1700" i="8"/>
  <c r="G1700" i="8" s="1"/>
  <c r="F1701" i="8"/>
  <c r="G1701" i="8" s="1"/>
  <c r="F1702" i="8"/>
  <c r="F1703" i="8"/>
  <c r="F1704" i="8"/>
  <c r="G1704" i="8" s="1"/>
  <c r="F1705" i="8"/>
  <c r="G1705" i="8" s="1"/>
  <c r="F1706" i="8"/>
  <c r="F1707" i="8"/>
  <c r="F1708" i="8"/>
  <c r="G1708" i="8" s="1"/>
  <c r="F1709" i="8"/>
  <c r="G1709" i="8" s="1"/>
  <c r="F1710" i="8"/>
  <c r="G1710" i="8" s="1"/>
  <c r="F1711" i="8"/>
  <c r="G1711" i="8" s="1"/>
  <c r="F1712" i="8"/>
  <c r="G1712" i="8" s="1"/>
  <c r="F1713" i="8"/>
  <c r="G1713" i="8" s="1"/>
  <c r="F1714" i="8"/>
  <c r="F1715" i="8"/>
  <c r="G1715" i="8" s="1"/>
  <c r="F1716" i="8"/>
  <c r="G1716" i="8" s="1"/>
  <c r="F1717" i="8"/>
  <c r="G1717" i="8" s="1"/>
  <c r="F1718" i="8"/>
  <c r="F1719" i="8"/>
  <c r="F1720" i="8"/>
  <c r="G1720" i="8" s="1"/>
  <c r="F1721" i="8"/>
  <c r="G1721" i="8" s="1"/>
  <c r="F1722" i="8"/>
  <c r="F1723" i="8"/>
  <c r="F1724" i="8"/>
  <c r="G1724" i="8" s="1"/>
  <c r="F1725" i="8"/>
  <c r="G1725" i="8" s="1"/>
  <c r="F1726" i="8"/>
  <c r="G1726" i="8" s="1"/>
  <c r="F1727" i="8"/>
  <c r="G1727" i="8" s="1"/>
  <c r="F1728" i="8"/>
  <c r="G1728" i="8" s="1"/>
  <c r="F1729" i="8"/>
  <c r="G1729" i="8" s="1"/>
  <c r="F1730" i="8"/>
  <c r="F1731" i="8"/>
  <c r="G1731" i="8" s="1"/>
  <c r="F1732" i="8"/>
  <c r="G1732" i="8" s="1"/>
  <c r="F1733" i="8"/>
  <c r="G1733" i="8" s="1"/>
  <c r="F1734" i="8"/>
  <c r="F1735" i="8"/>
  <c r="F1736" i="8"/>
  <c r="G1736" i="8" s="1"/>
  <c r="F1737" i="8"/>
  <c r="G1737" i="8" s="1"/>
  <c r="F1738" i="8"/>
  <c r="F1739" i="8"/>
  <c r="F1740" i="8"/>
  <c r="G1740" i="8" s="1"/>
  <c r="F1741" i="8"/>
  <c r="G1741" i="8" s="1"/>
  <c r="F1742" i="8"/>
  <c r="G1742" i="8" s="1"/>
  <c r="F1029" i="8"/>
  <c r="G1029" i="8" s="1"/>
  <c r="I1029" i="8" s="1"/>
  <c r="F1030" i="8"/>
  <c r="F1031" i="8"/>
  <c r="F1032" i="8"/>
  <c r="F1033" i="8"/>
  <c r="G1033" i="8" s="1"/>
  <c r="I1033" i="8" s="1"/>
  <c r="F1034" i="8"/>
  <c r="F1035" i="8"/>
  <c r="F1036" i="8"/>
  <c r="F1037" i="8"/>
  <c r="G1037" i="8" s="1"/>
  <c r="I1037" i="8" s="1"/>
  <c r="F1038" i="8"/>
  <c r="G1038" i="8" s="1"/>
  <c r="I1038" i="8" s="1"/>
  <c r="F1039" i="8"/>
  <c r="F1040" i="8"/>
  <c r="F1041" i="8"/>
  <c r="G1041" i="8" s="1"/>
  <c r="I1041" i="8" s="1"/>
  <c r="F1042" i="8"/>
  <c r="F1043" i="8"/>
  <c r="F1044" i="8"/>
  <c r="F1045" i="8"/>
  <c r="G1045" i="8" s="1"/>
  <c r="I1045" i="8" s="1"/>
  <c r="F1046" i="8"/>
  <c r="F1047" i="8"/>
  <c r="F1048" i="8"/>
  <c r="F1049" i="8"/>
  <c r="G1049" i="8" s="1"/>
  <c r="I1049" i="8" s="1"/>
  <c r="F1050" i="8"/>
  <c r="F1051" i="8"/>
  <c r="F1052" i="8"/>
  <c r="F1053" i="8"/>
  <c r="F1054" i="8"/>
  <c r="G1054" i="8" s="1"/>
  <c r="I1054" i="8" s="1"/>
  <c r="F1055" i="8"/>
  <c r="F1056" i="8"/>
  <c r="F1057" i="8"/>
  <c r="G1057" i="8" s="1"/>
  <c r="I1057" i="8" s="1"/>
  <c r="F1058" i="8"/>
  <c r="F1059" i="8"/>
  <c r="F1060" i="8"/>
  <c r="F1061" i="8"/>
  <c r="F1062" i="8"/>
  <c r="F1063" i="8"/>
  <c r="F1064" i="8"/>
  <c r="F1065" i="8"/>
  <c r="G1065" i="8" s="1"/>
  <c r="I1065" i="8" s="1"/>
  <c r="F1066" i="8"/>
  <c r="F1067" i="8"/>
  <c r="F1068" i="8"/>
  <c r="F1069" i="8"/>
  <c r="G1069" i="8" s="1"/>
  <c r="I1069" i="8" s="1"/>
  <c r="F1070" i="8"/>
  <c r="G1070" i="8" s="1"/>
  <c r="I1070" i="8" s="1"/>
  <c r="F1071" i="8"/>
  <c r="F1072" i="8"/>
  <c r="F1073" i="8"/>
  <c r="G1073" i="8" s="1"/>
  <c r="I1073" i="8" s="1"/>
  <c r="F1074" i="8"/>
  <c r="F1075" i="8"/>
  <c r="F1076" i="8"/>
  <c r="F1077" i="8"/>
  <c r="G1077" i="8" s="1"/>
  <c r="I1077" i="8" s="1"/>
  <c r="F1078" i="8"/>
  <c r="I1079" i="8"/>
  <c r="I1061" i="8"/>
  <c r="I1086" i="8"/>
  <c r="I1127" i="8"/>
  <c r="I1131" i="8"/>
  <c r="I1132" i="8"/>
  <c r="I1139" i="8"/>
  <c r="I1140" i="8"/>
  <c r="I1143" i="8"/>
  <c r="I1148" i="8"/>
  <c r="I1151" i="8"/>
  <c r="I1155" i="8"/>
  <c r="I1159" i="8"/>
  <c r="I1163" i="8"/>
  <c r="I1167" i="8"/>
  <c r="I1171" i="8"/>
  <c r="I1175" i="8"/>
  <c r="I1176" i="8"/>
  <c r="I1179" i="8"/>
  <c r="H1029" i="8"/>
  <c r="H1030" i="8"/>
  <c r="H1031" i="8"/>
  <c r="H1032" i="8"/>
  <c r="H1033" i="8"/>
  <c r="H1034" i="8"/>
  <c r="H1035" i="8"/>
  <c r="H1036" i="8"/>
  <c r="H1037" i="8"/>
  <c r="H1038" i="8"/>
  <c r="H1039" i="8"/>
  <c r="H1040" i="8"/>
  <c r="H1041" i="8"/>
  <c r="H1042" i="8"/>
  <c r="H1043" i="8"/>
  <c r="H1044" i="8"/>
  <c r="H1045" i="8"/>
  <c r="H1046" i="8"/>
  <c r="H1047" i="8"/>
  <c r="H1048" i="8"/>
  <c r="H1049" i="8"/>
  <c r="H1050" i="8"/>
  <c r="H1051" i="8"/>
  <c r="H1052" i="8"/>
  <c r="H1053" i="8"/>
  <c r="H1054" i="8"/>
  <c r="H1055" i="8"/>
  <c r="H1056" i="8"/>
  <c r="H1057" i="8"/>
  <c r="H1058" i="8"/>
  <c r="H1059" i="8"/>
  <c r="H1060" i="8"/>
  <c r="H1061" i="8"/>
  <c r="H1062" i="8"/>
  <c r="H1063" i="8"/>
  <c r="H1064" i="8"/>
  <c r="H1065" i="8"/>
  <c r="H1066" i="8"/>
  <c r="H1067" i="8"/>
  <c r="H1068" i="8"/>
  <c r="H1069" i="8"/>
  <c r="H1070" i="8"/>
  <c r="H1071" i="8"/>
  <c r="H1072" i="8"/>
  <c r="H1073" i="8"/>
  <c r="H1074" i="8"/>
  <c r="H1075" i="8"/>
  <c r="H1076" i="8"/>
  <c r="H1077" i="8"/>
  <c r="H1078" i="8"/>
  <c r="H1079" i="8"/>
  <c r="H1080" i="8"/>
  <c r="H1081" i="8"/>
  <c r="H1082" i="8"/>
  <c r="H1083" i="8"/>
  <c r="H1084" i="8"/>
  <c r="H1085" i="8"/>
  <c r="H1086" i="8"/>
  <c r="H1087" i="8"/>
  <c r="H1088" i="8"/>
  <c r="H1089" i="8"/>
  <c r="H1090" i="8"/>
  <c r="H1091" i="8"/>
  <c r="H1092" i="8"/>
  <c r="H1093" i="8"/>
  <c r="H1094" i="8"/>
  <c r="H1095" i="8"/>
  <c r="H1096" i="8"/>
  <c r="H1097" i="8"/>
  <c r="H1098" i="8"/>
  <c r="H1099" i="8"/>
  <c r="H1100" i="8"/>
  <c r="H1101" i="8"/>
  <c r="H1102" i="8"/>
  <c r="H1103" i="8"/>
  <c r="H1104" i="8"/>
  <c r="H1105" i="8"/>
  <c r="H1106" i="8"/>
  <c r="H1107" i="8"/>
  <c r="H1108" i="8"/>
  <c r="H1109" i="8"/>
  <c r="H1110" i="8"/>
  <c r="H1111" i="8"/>
  <c r="H1112" i="8"/>
  <c r="H1113" i="8"/>
  <c r="H1114" i="8"/>
  <c r="H1115" i="8"/>
  <c r="H1116" i="8"/>
  <c r="H1117" i="8"/>
  <c r="H1118" i="8"/>
  <c r="H1119" i="8"/>
  <c r="H1120" i="8"/>
  <c r="H1121" i="8"/>
  <c r="H1122" i="8"/>
  <c r="H1123" i="8"/>
  <c r="H1124" i="8"/>
  <c r="H1125" i="8"/>
  <c r="H1126" i="8"/>
  <c r="H1127" i="8"/>
  <c r="H1128" i="8"/>
  <c r="H1129" i="8"/>
  <c r="H1130" i="8"/>
  <c r="H1131" i="8"/>
  <c r="H1132" i="8"/>
  <c r="H1133" i="8"/>
  <c r="H1134" i="8"/>
  <c r="H1135" i="8"/>
  <c r="H1136" i="8"/>
  <c r="H1137" i="8"/>
  <c r="H1138" i="8"/>
  <c r="H1139" i="8"/>
  <c r="H1140" i="8"/>
  <c r="H1141" i="8"/>
  <c r="H1142" i="8"/>
  <c r="H1143" i="8"/>
  <c r="H1144" i="8"/>
  <c r="H1145" i="8"/>
  <c r="H1146" i="8"/>
  <c r="H1147" i="8"/>
  <c r="H1148" i="8"/>
  <c r="H1149" i="8"/>
  <c r="H1150" i="8"/>
  <c r="H1151" i="8"/>
  <c r="H1152" i="8"/>
  <c r="H1153" i="8"/>
  <c r="H1154" i="8"/>
  <c r="H1155" i="8"/>
  <c r="H1156" i="8"/>
  <c r="H1157" i="8"/>
  <c r="H1158" i="8"/>
  <c r="H1159" i="8"/>
  <c r="H1160" i="8"/>
  <c r="H1161" i="8"/>
  <c r="H1162" i="8"/>
  <c r="H1163" i="8"/>
  <c r="H1164" i="8"/>
  <c r="H1165" i="8"/>
  <c r="H1166" i="8"/>
  <c r="H1167" i="8"/>
  <c r="H1168" i="8"/>
  <c r="H1169" i="8"/>
  <c r="H1170" i="8"/>
  <c r="H1171" i="8"/>
  <c r="H1172" i="8"/>
  <c r="H1173" i="8"/>
  <c r="H1174" i="8"/>
  <c r="H1175" i="8"/>
  <c r="H1176" i="8"/>
  <c r="H1177" i="8"/>
  <c r="H1178" i="8"/>
  <c r="H1179" i="8"/>
  <c r="H1180" i="8"/>
  <c r="H1181" i="8"/>
  <c r="H1182" i="8"/>
  <c r="H1183" i="8"/>
  <c r="H1184" i="8"/>
  <c r="H1185" i="8"/>
  <c r="H1189" i="8"/>
  <c r="H1190" i="8"/>
  <c r="H1193" i="8"/>
  <c r="H1201" i="8"/>
  <c r="H1202" i="8"/>
  <c r="H1203" i="8"/>
  <c r="H1204" i="8"/>
  <c r="H1206" i="8"/>
  <c r="H1212" i="8"/>
  <c r="H1213" i="8"/>
  <c r="H1216" i="8"/>
  <c r="H1219" i="8"/>
  <c r="H1220" i="8"/>
  <c r="H1221" i="8"/>
  <c r="H1222" i="8"/>
  <c r="H1231" i="8"/>
  <c r="H1232" i="8"/>
  <c r="H1233" i="8"/>
  <c r="H1234" i="8"/>
  <c r="H1235" i="8"/>
  <c r="H1236" i="8"/>
  <c r="H1237" i="8"/>
  <c r="H1238" i="8"/>
  <c r="H1239" i="8"/>
  <c r="H1240" i="8"/>
  <c r="H1241" i="8"/>
  <c r="H1242" i="8"/>
  <c r="H1243" i="8"/>
  <c r="H1244" i="8"/>
  <c r="H1245" i="8"/>
  <c r="H1246" i="8"/>
  <c r="H1247" i="8"/>
  <c r="H1248" i="8"/>
  <c r="H1249" i="8"/>
  <c r="H1250" i="8"/>
  <c r="H1251" i="8"/>
  <c r="H1262" i="8"/>
  <c r="H1263" i="8"/>
  <c r="H1264" i="8"/>
  <c r="H1265" i="8"/>
  <c r="H1266" i="8"/>
  <c r="H1267" i="8"/>
  <c r="H1272" i="8"/>
  <c r="H1273" i="8"/>
  <c r="H1274" i="8"/>
  <c r="H1275" i="8"/>
  <c r="H1276" i="8"/>
  <c r="H1277" i="8"/>
  <c r="H1278" i="8"/>
  <c r="H1279" i="8"/>
  <c r="H1280" i="8"/>
  <c r="H1281" i="8"/>
  <c r="H1282" i="8"/>
  <c r="H1283" i="8"/>
  <c r="H1284" i="8"/>
  <c r="H1285" i="8"/>
  <c r="H1286" i="8"/>
  <c r="H1287" i="8"/>
  <c r="H1288" i="8"/>
  <c r="H1289" i="8"/>
  <c r="H1290" i="8"/>
  <c r="H1291" i="8"/>
  <c r="H1292" i="8"/>
  <c r="H1293" i="8"/>
  <c r="H1294" i="8"/>
  <c r="H1295" i="8"/>
  <c r="H1296" i="8"/>
  <c r="H1297" i="8"/>
  <c r="H1298" i="8"/>
  <c r="H1299" i="8"/>
  <c r="H1300" i="8"/>
  <c r="H1301" i="8"/>
  <c r="H1302" i="8"/>
  <c r="H1303" i="8"/>
  <c r="H1304" i="8"/>
  <c r="H1305" i="8"/>
  <c r="H1306" i="8"/>
  <c r="H1307" i="8"/>
  <c r="H1308" i="8"/>
  <c r="H1309" i="8"/>
  <c r="H1310" i="8"/>
  <c r="H1311" i="8"/>
  <c r="H1312" i="8"/>
  <c r="H1313" i="8"/>
  <c r="H1314" i="8"/>
  <c r="H1315" i="8"/>
  <c r="H1316" i="8"/>
  <c r="H1317" i="8"/>
  <c r="H1318" i="8"/>
  <c r="H1319" i="8"/>
  <c r="H1320" i="8"/>
  <c r="H1321" i="8"/>
  <c r="H1322" i="8"/>
  <c r="H1323" i="8"/>
  <c r="H1324" i="8"/>
  <c r="H1325" i="8"/>
  <c r="H1326" i="8"/>
  <c r="H1327" i="8"/>
  <c r="H1328" i="8"/>
  <c r="H1329" i="8"/>
  <c r="H1330" i="8"/>
  <c r="H1331" i="8"/>
  <c r="H1332" i="8"/>
  <c r="H1333" i="8"/>
  <c r="H1334" i="8"/>
  <c r="H1335" i="8"/>
  <c r="H1336" i="8"/>
  <c r="H1337" i="8"/>
  <c r="H1338" i="8"/>
  <c r="H1339" i="8"/>
  <c r="H1340" i="8"/>
  <c r="H1341" i="8"/>
  <c r="H1342" i="8"/>
  <c r="H1343" i="8"/>
  <c r="H1344" i="8"/>
  <c r="H1345" i="8"/>
  <c r="H1346" i="8"/>
  <c r="H1347" i="8"/>
  <c r="H1348" i="8"/>
  <c r="H1349" i="8"/>
  <c r="H1350" i="8"/>
  <c r="H1351" i="8"/>
  <c r="H1352" i="8"/>
  <c r="H1353" i="8"/>
  <c r="H1354" i="8"/>
  <c r="H1355" i="8"/>
  <c r="H1356" i="8"/>
  <c r="H1357" i="8"/>
  <c r="H1358" i="8"/>
  <c r="H1359" i="8"/>
  <c r="H1360" i="8"/>
  <c r="H1361" i="8"/>
  <c r="H1362" i="8"/>
  <c r="H1363" i="8"/>
  <c r="H1364" i="8"/>
  <c r="H1365" i="8"/>
  <c r="H1366" i="8"/>
  <c r="H1367" i="8"/>
  <c r="H1368" i="8"/>
  <c r="H1369" i="8"/>
  <c r="H1370" i="8"/>
  <c r="H1371" i="8"/>
  <c r="H1372" i="8"/>
  <c r="H1373" i="8"/>
  <c r="H1374" i="8"/>
  <c r="H1375" i="8"/>
  <c r="H1376" i="8"/>
  <c r="H1377" i="8"/>
  <c r="H1378" i="8"/>
  <c r="H1379" i="8"/>
  <c r="H1380" i="8"/>
  <c r="H1382" i="8"/>
  <c r="H1387" i="8"/>
  <c r="H1388" i="8"/>
  <c r="H1392" i="8"/>
  <c r="H1393" i="8"/>
  <c r="H1394" i="8"/>
  <c r="H1395" i="8"/>
  <c r="H1396" i="8"/>
  <c r="H1397" i="8"/>
  <c r="H1398" i="8"/>
  <c r="H1399" i="8"/>
  <c r="H1400" i="8"/>
  <c r="H1401" i="8"/>
  <c r="H1402" i="8"/>
  <c r="H1403" i="8"/>
  <c r="H1404" i="8"/>
  <c r="H1405" i="8"/>
  <c r="H1406" i="8"/>
  <c r="H1407" i="8"/>
  <c r="H1408" i="8"/>
  <c r="H1409" i="8"/>
  <c r="H1410" i="8"/>
  <c r="H1411" i="8"/>
  <c r="H1412" i="8"/>
  <c r="H1413" i="8"/>
  <c r="H1414" i="8"/>
  <c r="H1415" i="8"/>
  <c r="H1416" i="8"/>
  <c r="H1417" i="8"/>
  <c r="H1418" i="8"/>
  <c r="H1419" i="8"/>
  <c r="H1420" i="8"/>
  <c r="H1421" i="8"/>
  <c r="H1422" i="8"/>
  <c r="H1423" i="8"/>
  <c r="H1424" i="8"/>
  <c r="H1425" i="8"/>
  <c r="H1426" i="8"/>
  <c r="H1427" i="8"/>
  <c r="H1428" i="8"/>
  <c r="H1429" i="8"/>
  <c r="H1430" i="8"/>
  <c r="H1431" i="8"/>
  <c r="H1432" i="8"/>
  <c r="H1433" i="8"/>
  <c r="H1434" i="8"/>
  <c r="H1435" i="8"/>
  <c r="H1436" i="8"/>
  <c r="H1437" i="8"/>
  <c r="H1438" i="8"/>
  <c r="H1439" i="8"/>
  <c r="H1440" i="8"/>
  <c r="H1441" i="8"/>
  <c r="H1442" i="8"/>
  <c r="H1443" i="8"/>
  <c r="H1444" i="8"/>
  <c r="H1445" i="8"/>
  <c r="H1446" i="8"/>
  <c r="H1447" i="8"/>
  <c r="H1448" i="8"/>
  <c r="H1449" i="8"/>
  <c r="H1450" i="8"/>
  <c r="H1451" i="8"/>
  <c r="H1452" i="8"/>
  <c r="H1453" i="8"/>
  <c r="H1454" i="8"/>
  <c r="H1455" i="8"/>
  <c r="H1456" i="8"/>
  <c r="H1457" i="8"/>
  <c r="H1458" i="8"/>
  <c r="H1459" i="8"/>
  <c r="H1460" i="8"/>
  <c r="H1461" i="8"/>
  <c r="H1462" i="8"/>
  <c r="H1463" i="8"/>
  <c r="H1464" i="8"/>
  <c r="H1465" i="8"/>
  <c r="H1466" i="8"/>
  <c r="H1467" i="8"/>
  <c r="H1468" i="8"/>
  <c r="H1469" i="8"/>
  <c r="H1470" i="8"/>
  <c r="H1471" i="8"/>
  <c r="H1472" i="8"/>
  <c r="H1473" i="8"/>
  <c r="H1474" i="8"/>
  <c r="H1475" i="8"/>
  <c r="H1476" i="8"/>
  <c r="H1477" i="8"/>
  <c r="H1478" i="8"/>
  <c r="H1479" i="8"/>
  <c r="H1480" i="8"/>
  <c r="H1481" i="8"/>
  <c r="H1482" i="8"/>
  <c r="H1483" i="8"/>
  <c r="H1484" i="8"/>
  <c r="H1485" i="8"/>
  <c r="H1486" i="8"/>
  <c r="H1487" i="8"/>
  <c r="H1488" i="8"/>
  <c r="H1489" i="8"/>
  <c r="H1490" i="8"/>
  <c r="H1491" i="8"/>
  <c r="H1492" i="8"/>
  <c r="H1493" i="8"/>
  <c r="H1494" i="8"/>
  <c r="H1495" i="8"/>
  <c r="H1496" i="8"/>
  <c r="H1497" i="8"/>
  <c r="H1498" i="8"/>
  <c r="H1499" i="8"/>
  <c r="H1500" i="8"/>
  <c r="H1505" i="8"/>
  <c r="H1506" i="8"/>
  <c r="H1510" i="8"/>
  <c r="H1511" i="8"/>
  <c r="H1512" i="8"/>
  <c r="H1513" i="8"/>
  <c r="H1514" i="8"/>
  <c r="H1515" i="8"/>
  <c r="H1516" i="8"/>
  <c r="H1517" i="8"/>
  <c r="H1518" i="8"/>
  <c r="H1519" i="8"/>
  <c r="H1520" i="8"/>
  <c r="H1521" i="8"/>
  <c r="H1523" i="8"/>
  <c r="H1524" i="8"/>
  <c r="H1525" i="8"/>
  <c r="H1526" i="8"/>
  <c r="H1527" i="8"/>
  <c r="H1528" i="8"/>
  <c r="H1529" i="8"/>
  <c r="H1530" i="8"/>
  <c r="H1531" i="8"/>
  <c r="H1532" i="8"/>
  <c r="H1535" i="8"/>
  <c r="H1538" i="8"/>
  <c r="H1539" i="8"/>
  <c r="H1540" i="8"/>
  <c r="H1542" i="8"/>
  <c r="H1543" i="8"/>
  <c r="H1544" i="8"/>
  <c r="H1545" i="8"/>
  <c r="H1546" i="8"/>
  <c r="H1547" i="8"/>
  <c r="H1548" i="8"/>
  <c r="H1549" i="8"/>
  <c r="H1550" i="8"/>
  <c r="H1551" i="8"/>
  <c r="H1552" i="8"/>
  <c r="H1553" i="8"/>
  <c r="H1554" i="8"/>
  <c r="H1555" i="8"/>
  <c r="H1556" i="8"/>
  <c r="H1557" i="8"/>
  <c r="H1558" i="8"/>
  <c r="H1559" i="8"/>
  <c r="H1560" i="8"/>
  <c r="H1561" i="8"/>
  <c r="H1562" i="8"/>
  <c r="H1563" i="8"/>
  <c r="H1564" i="8"/>
  <c r="H1565" i="8"/>
  <c r="H1566" i="8"/>
  <c r="H1567" i="8"/>
  <c r="H1568" i="8"/>
  <c r="H1569" i="8"/>
  <c r="H1570" i="8"/>
  <c r="H1571" i="8"/>
  <c r="H1572" i="8"/>
  <c r="H1573" i="8"/>
  <c r="H1574" i="8"/>
  <c r="H1575" i="8"/>
  <c r="H1576" i="8"/>
  <c r="H1577" i="8"/>
  <c r="H1578" i="8"/>
  <c r="H1579" i="8"/>
  <c r="H1580" i="8"/>
  <c r="H1581" i="8"/>
  <c r="H1582" i="8"/>
  <c r="H1583" i="8"/>
  <c r="H1584" i="8"/>
  <c r="H1586" i="8"/>
  <c r="H1587" i="8"/>
  <c r="H1589" i="8"/>
  <c r="H1590" i="8"/>
  <c r="H1591" i="8"/>
  <c r="H1592" i="8"/>
  <c r="H1593" i="8"/>
  <c r="H1594" i="8"/>
  <c r="H1595" i="8"/>
  <c r="H1596" i="8"/>
  <c r="H1597" i="8"/>
  <c r="H1598" i="8"/>
  <c r="H1599" i="8"/>
  <c r="H1600" i="8"/>
  <c r="H1602" i="8"/>
  <c r="H1603" i="8"/>
  <c r="H1605" i="8"/>
  <c r="H1606" i="8"/>
  <c r="H1608" i="8"/>
  <c r="H1609" i="8"/>
  <c r="H1610" i="8"/>
  <c r="H1611" i="8"/>
  <c r="H1612" i="8"/>
  <c r="H1613" i="8"/>
  <c r="H1614" i="8"/>
  <c r="H1615" i="8"/>
  <c r="H1617" i="8"/>
  <c r="H1618" i="8"/>
  <c r="H1620" i="8"/>
  <c r="H1621" i="8"/>
  <c r="H1623" i="8"/>
  <c r="H1624" i="8"/>
  <c r="H1625" i="8"/>
  <c r="H1626" i="8"/>
  <c r="H1629" i="8"/>
  <c r="H1630" i="8"/>
  <c r="H1631" i="8"/>
  <c r="H1632" i="8"/>
  <c r="H1634" i="8"/>
  <c r="H1635" i="8"/>
  <c r="H1637" i="8"/>
  <c r="H1638" i="8"/>
  <c r="H1639" i="8"/>
  <c r="H1640" i="8"/>
  <c r="H1641" i="8"/>
  <c r="H1642" i="8"/>
  <c r="H1643" i="8"/>
  <c r="H1644" i="8"/>
  <c r="H1645" i="8"/>
  <c r="H1646" i="8"/>
  <c r="H1647" i="8"/>
  <c r="H1648" i="8"/>
  <c r="H1650" i="8"/>
  <c r="H1651" i="8"/>
  <c r="H1654" i="8"/>
  <c r="H1659" i="8"/>
  <c r="H1660" i="8"/>
  <c r="H1661" i="8"/>
  <c r="H1662" i="8"/>
  <c r="H1664" i="8"/>
  <c r="H1665" i="8"/>
  <c r="H1666" i="8"/>
  <c r="H1667" i="8"/>
  <c r="H1668" i="8"/>
  <c r="H1669" i="8"/>
  <c r="H1670" i="8"/>
  <c r="H1671" i="8"/>
  <c r="H1672" i="8"/>
  <c r="H1673" i="8"/>
  <c r="H1674" i="8"/>
  <c r="H1675" i="8"/>
  <c r="H1676" i="8"/>
  <c r="H1677" i="8"/>
  <c r="H1678" i="8"/>
  <c r="H1679" i="8"/>
  <c r="H1680" i="8"/>
  <c r="H1681" i="8"/>
  <c r="H1682" i="8"/>
  <c r="H1683" i="8"/>
  <c r="H1684" i="8"/>
  <c r="H1685" i="8"/>
  <c r="H1686" i="8"/>
  <c r="H1689" i="8"/>
  <c r="H1690" i="8"/>
  <c r="H1691" i="8"/>
  <c r="H1692" i="8"/>
  <c r="H1693" i="8"/>
  <c r="H1694" i="8"/>
  <c r="H1695" i="8"/>
  <c r="H1696" i="8"/>
  <c r="H1697" i="8"/>
  <c r="H1698" i="8"/>
  <c r="H1699" i="8"/>
  <c r="H1700" i="8"/>
  <c r="H1701" i="8"/>
  <c r="H1702" i="8"/>
  <c r="H1703" i="8"/>
  <c r="H1704" i="8"/>
  <c r="H1705" i="8"/>
  <c r="H1706" i="8"/>
  <c r="H1707" i="8"/>
  <c r="H1708" i="8"/>
  <c r="H1709" i="8"/>
  <c r="H1711" i="8"/>
  <c r="H1714" i="8"/>
  <c r="H1715" i="8"/>
  <c r="H1717" i="8"/>
  <c r="H1718" i="8"/>
  <c r="H1719" i="8"/>
  <c r="H1721" i="8"/>
  <c r="H1722" i="8"/>
  <c r="H1723" i="8"/>
  <c r="H1724" i="8"/>
  <c r="H1725" i="8"/>
  <c r="H1726" i="8"/>
  <c r="H1727" i="8"/>
  <c r="H1728" i="8"/>
  <c r="H1729" i="8"/>
  <c r="H1730" i="8"/>
  <c r="H1731" i="8"/>
  <c r="H1732" i="8"/>
  <c r="H1733" i="8"/>
  <c r="H1734" i="8"/>
  <c r="H1735" i="8"/>
  <c r="H1736" i="8"/>
  <c r="H1737" i="8"/>
  <c r="H1738" i="8"/>
  <c r="H1739" i="8"/>
  <c r="H1740" i="8"/>
  <c r="H1741" i="8"/>
  <c r="H1742" i="8"/>
  <c r="I1030" i="8"/>
  <c r="I1034" i="8"/>
  <c r="I1050" i="8"/>
  <c r="I1062" i="8"/>
  <c r="I1078" i="8"/>
  <c r="I1083" i="8"/>
  <c r="I1084" i="8"/>
  <c r="I1088" i="8"/>
  <c r="K20" i="1"/>
  <c r="K15" i="1"/>
  <c r="K17" i="1"/>
  <c r="K11" i="1"/>
  <c r="K7" i="1"/>
  <c r="K13" i="1"/>
  <c r="K22" i="1"/>
  <c r="K10" i="1"/>
  <c r="K23" i="1"/>
  <c r="K8" i="1"/>
  <c r="K9" i="1"/>
  <c r="K16" i="1"/>
  <c r="K26" i="1"/>
  <c r="K14" i="1"/>
  <c r="K21" i="1"/>
  <c r="K25" i="1"/>
  <c r="K24" i="1"/>
  <c r="K19" i="1"/>
  <c r="K18" i="1"/>
  <c r="G1059" i="8" l="1"/>
  <c r="I1059" i="8" s="1"/>
  <c r="G1043" i="8"/>
  <c r="I1043" i="8" s="1"/>
  <c r="G1035" i="8"/>
  <c r="I1035" i="8" s="1"/>
  <c r="G1075" i="8"/>
  <c r="I1075" i="8" s="1"/>
  <c r="G1071" i="8"/>
  <c r="I1071" i="8" s="1"/>
  <c r="G1067" i="8"/>
  <c r="I1067" i="8" s="1"/>
  <c r="G1063" i="8"/>
  <c r="I1063" i="8" s="1"/>
  <c r="G1055" i="8"/>
  <c r="I1055" i="8" s="1"/>
  <c r="G1051" i="8"/>
  <c r="I1051" i="8" s="1"/>
  <c r="G1047" i="8"/>
  <c r="I1047" i="8" s="1"/>
  <c r="G1039" i="8"/>
  <c r="I1039" i="8" s="1"/>
  <c r="G1031" i="8"/>
  <c r="I1031" i="8" s="1"/>
  <c r="G1177" i="8"/>
  <c r="I1177" i="8" s="1"/>
  <c r="I1173" i="8"/>
  <c r="I1169" i="8"/>
  <c r="G1161" i="8"/>
  <c r="I1161" i="8" s="1"/>
  <c r="I1153" i="8"/>
  <c r="G1145" i="8"/>
  <c r="I1145" i="8" s="1"/>
  <c r="I1137" i="8"/>
  <c r="G1129" i="8"/>
  <c r="I1129" i="8" s="1"/>
  <c r="G1153" i="8"/>
  <c r="G1157" i="8"/>
  <c r="I1157" i="8" s="1"/>
  <c r="G1076" i="8"/>
  <c r="I1076" i="8" s="1"/>
  <c r="I1072" i="8"/>
  <c r="I1068" i="8"/>
  <c r="I1064" i="8"/>
  <c r="I1060" i="8"/>
  <c r="G1060" i="8"/>
  <c r="I1056" i="8"/>
  <c r="I1052" i="8"/>
  <c r="I1048" i="8"/>
  <c r="G1044" i="8"/>
  <c r="I1044" i="8" s="1"/>
  <c r="I1040" i="8"/>
  <c r="I1036" i="8"/>
  <c r="I1032" i="8"/>
  <c r="I1182" i="8"/>
  <c r="G1182" i="8"/>
  <c r="I1178" i="8"/>
  <c r="I1174" i="8"/>
  <c r="I1170" i="8"/>
  <c r="G1166" i="8"/>
  <c r="I1166" i="8" s="1"/>
  <c r="I1158" i="8"/>
  <c r="I1150" i="8"/>
  <c r="G1150" i="8"/>
  <c r="I1146" i="8"/>
  <c r="I1142" i="8"/>
  <c r="I1138" i="8"/>
  <c r="G1134" i="8"/>
  <c r="I1134" i="8" s="1"/>
  <c r="I1130" i="8"/>
  <c r="G1169" i="8"/>
  <c r="G1162" i="8"/>
  <c r="I1162" i="8" s="1"/>
  <c r="G1154" i="8"/>
  <c r="I1154" i="8" s="1"/>
  <c r="G1141" i="8"/>
  <c r="I1141" i="8" s="1"/>
  <c r="G1056" i="8"/>
  <c r="G1048" i="8"/>
  <c r="D71" i="7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2" i="8"/>
  <c r="H3" i="8"/>
  <c r="H4" i="8"/>
  <c r="H5" i="8"/>
  <c r="H6" i="8"/>
  <c r="H7" i="8"/>
  <c r="H8" i="8"/>
  <c r="H9" i="8"/>
  <c r="H10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H1003" i="8"/>
  <c r="H1004" i="8"/>
  <c r="H1005" i="8"/>
  <c r="H1006" i="8"/>
  <c r="H1007" i="8"/>
  <c r="H1008" i="8"/>
  <c r="H1009" i="8"/>
  <c r="H1010" i="8"/>
  <c r="H1011" i="8"/>
  <c r="H1012" i="8"/>
  <c r="H1013" i="8"/>
  <c r="H1014" i="8"/>
  <c r="H1015" i="8"/>
  <c r="H1016" i="8"/>
  <c r="H1017" i="8"/>
  <c r="H1018" i="8"/>
  <c r="H1019" i="8"/>
  <c r="H1020" i="8"/>
  <c r="H1021" i="8"/>
  <c r="H1022" i="8"/>
  <c r="H1023" i="8"/>
  <c r="H1024" i="8"/>
  <c r="H1025" i="8"/>
  <c r="H1026" i="8"/>
  <c r="H1027" i="8"/>
  <c r="H1028" i="8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G597" i="8" s="1"/>
  <c r="I597" i="8" s="1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735" i="7"/>
  <c r="D736" i="7"/>
  <c r="D737" i="7"/>
  <c r="D738" i="7"/>
  <c r="D739" i="7"/>
  <c r="D740" i="7"/>
  <c r="D741" i="7"/>
  <c r="D742" i="7"/>
  <c r="D743" i="7"/>
  <c r="D744" i="7"/>
  <c r="D745" i="7"/>
  <c r="D746" i="7"/>
  <c r="D747" i="7"/>
  <c r="D748" i="7"/>
  <c r="D749" i="7"/>
  <c r="D750" i="7"/>
  <c r="D751" i="7"/>
  <c r="D752" i="7"/>
  <c r="D753" i="7"/>
  <c r="D754" i="7"/>
  <c r="D755" i="7"/>
  <c r="D756" i="7"/>
  <c r="D757" i="7"/>
  <c r="D758" i="7"/>
  <c r="D759" i="7"/>
  <c r="D760" i="7"/>
  <c r="D761" i="7"/>
  <c r="D762" i="7"/>
  <c r="D763" i="7"/>
  <c r="D764" i="7"/>
  <c r="D765" i="7"/>
  <c r="D766" i="7"/>
  <c r="D767" i="7"/>
  <c r="D768" i="7"/>
  <c r="D769" i="7"/>
  <c r="D770" i="7"/>
  <c r="D771" i="7"/>
  <c r="D772" i="7"/>
  <c r="D773" i="7"/>
  <c r="D774" i="7"/>
  <c r="D775" i="7"/>
  <c r="D776" i="7"/>
  <c r="D777" i="7"/>
  <c r="D778" i="7"/>
  <c r="D779" i="7"/>
  <c r="D780" i="7"/>
  <c r="D781" i="7"/>
  <c r="D782" i="7"/>
  <c r="D783" i="7"/>
  <c r="D784" i="7"/>
  <c r="D785" i="7"/>
  <c r="D786" i="7"/>
  <c r="D787" i="7"/>
  <c r="D788" i="7"/>
  <c r="D789" i="7"/>
  <c r="D790" i="7"/>
  <c r="D791" i="7"/>
  <c r="D792" i="7"/>
  <c r="D793" i="7"/>
  <c r="D794" i="7"/>
  <c r="D795" i="7"/>
  <c r="D796" i="7"/>
  <c r="D797" i="7"/>
  <c r="D798" i="7"/>
  <c r="D799" i="7"/>
  <c r="D800" i="7"/>
  <c r="D801" i="7"/>
  <c r="D802" i="7"/>
  <c r="D803" i="7"/>
  <c r="D804" i="7"/>
  <c r="D805" i="7"/>
  <c r="D806" i="7"/>
  <c r="D807" i="7"/>
  <c r="D808" i="7"/>
  <c r="D809" i="7"/>
  <c r="D810" i="7"/>
  <c r="D811" i="7"/>
  <c r="D812" i="7"/>
  <c r="D813" i="7"/>
  <c r="D814" i="7"/>
  <c r="D815" i="7"/>
  <c r="D816" i="7"/>
  <c r="D817" i="7"/>
  <c r="D818" i="7"/>
  <c r="D819" i="7"/>
  <c r="D820" i="7"/>
  <c r="D821" i="7"/>
  <c r="D822" i="7"/>
  <c r="D823" i="7"/>
  <c r="D824" i="7"/>
  <c r="D825" i="7"/>
  <c r="D826" i="7"/>
  <c r="D827" i="7"/>
  <c r="D828" i="7"/>
  <c r="D829" i="7"/>
  <c r="D830" i="7"/>
  <c r="D831" i="7"/>
  <c r="D832" i="7"/>
  <c r="D833" i="7"/>
  <c r="D834" i="7"/>
  <c r="D835" i="7"/>
  <c r="D836" i="7"/>
  <c r="D837" i="7"/>
  <c r="D838" i="7"/>
  <c r="D839" i="7"/>
  <c r="D840" i="7"/>
  <c r="D841" i="7"/>
  <c r="D842" i="7"/>
  <c r="D843" i="7"/>
  <c r="D844" i="7"/>
  <c r="D845" i="7"/>
  <c r="D846" i="7"/>
  <c r="D847" i="7"/>
  <c r="D848" i="7"/>
  <c r="D849" i="7"/>
  <c r="D850" i="7"/>
  <c r="D851" i="7"/>
  <c r="D852" i="7"/>
  <c r="D853" i="7"/>
  <c r="D854" i="7"/>
  <c r="D855" i="7"/>
  <c r="D856" i="7"/>
  <c r="D857" i="7"/>
  <c r="D858" i="7"/>
  <c r="D859" i="7"/>
  <c r="D860" i="7"/>
  <c r="D861" i="7"/>
  <c r="D862" i="7"/>
  <c r="D863" i="7"/>
  <c r="D864" i="7"/>
  <c r="D865" i="7"/>
  <c r="D866" i="7"/>
  <c r="D867" i="7"/>
  <c r="D868" i="7"/>
  <c r="D869" i="7"/>
  <c r="D870" i="7"/>
  <c r="D871" i="7"/>
  <c r="D872" i="7"/>
  <c r="D873" i="7"/>
  <c r="D874" i="7"/>
  <c r="D875" i="7"/>
  <c r="D876" i="7"/>
  <c r="D877" i="7"/>
  <c r="D878" i="7"/>
  <c r="D879" i="7"/>
  <c r="D880" i="7"/>
  <c r="D881" i="7"/>
  <c r="D882" i="7"/>
  <c r="D883" i="7"/>
  <c r="D884" i="7"/>
  <c r="D885" i="7"/>
  <c r="D886" i="7"/>
  <c r="D887" i="7"/>
  <c r="D888" i="7"/>
  <c r="D889" i="7"/>
  <c r="D890" i="7"/>
  <c r="D891" i="7"/>
  <c r="D892" i="7"/>
  <c r="D893" i="7"/>
  <c r="D894" i="7"/>
  <c r="D895" i="7"/>
  <c r="D896" i="7"/>
  <c r="D897" i="7"/>
  <c r="D898" i="7"/>
  <c r="D899" i="7"/>
  <c r="D900" i="7"/>
  <c r="D901" i="7"/>
  <c r="D902" i="7"/>
  <c r="D903" i="7"/>
  <c r="D904" i="7"/>
  <c r="D905" i="7"/>
  <c r="D906" i="7"/>
  <c r="D907" i="7"/>
  <c r="D908" i="7"/>
  <c r="D909" i="7"/>
  <c r="D910" i="7"/>
  <c r="D911" i="7"/>
  <c r="D912" i="7"/>
  <c r="D913" i="7"/>
  <c r="D914" i="7"/>
  <c r="D915" i="7"/>
  <c r="D916" i="7"/>
  <c r="D917" i="7"/>
  <c r="D918" i="7"/>
  <c r="D919" i="7"/>
  <c r="D920" i="7"/>
  <c r="D921" i="7"/>
  <c r="D922" i="7"/>
  <c r="D923" i="7"/>
  <c r="D924" i="7"/>
  <c r="D925" i="7"/>
  <c r="D926" i="7"/>
  <c r="D927" i="7"/>
  <c r="D928" i="7"/>
  <c r="D929" i="7"/>
  <c r="D930" i="7"/>
  <c r="D931" i="7"/>
  <c r="D932" i="7"/>
  <c r="D933" i="7"/>
  <c r="D934" i="7"/>
  <c r="D935" i="7"/>
  <c r="D936" i="7"/>
  <c r="D937" i="7"/>
  <c r="D938" i="7"/>
  <c r="D939" i="7"/>
  <c r="D940" i="7"/>
  <c r="D941" i="7"/>
  <c r="D942" i="7"/>
  <c r="D943" i="7"/>
  <c r="D944" i="7"/>
  <c r="D945" i="7"/>
  <c r="D946" i="7"/>
  <c r="D947" i="7"/>
  <c r="D948" i="7"/>
  <c r="D949" i="7"/>
  <c r="D950" i="7"/>
  <c r="D951" i="7"/>
  <c r="D952" i="7"/>
  <c r="D953" i="7"/>
  <c r="D954" i="7"/>
  <c r="D955" i="7"/>
  <c r="D956" i="7"/>
  <c r="D957" i="7"/>
  <c r="D958" i="7"/>
  <c r="D959" i="7"/>
  <c r="D960" i="7"/>
  <c r="D961" i="7"/>
  <c r="D962" i="7"/>
  <c r="D963" i="7"/>
  <c r="D964" i="7"/>
  <c r="D965" i="7"/>
  <c r="D966" i="7"/>
  <c r="D967" i="7"/>
  <c r="D968" i="7"/>
  <c r="D969" i="7"/>
  <c r="D970" i="7"/>
  <c r="D971" i="7"/>
  <c r="D972" i="7"/>
  <c r="D973" i="7"/>
  <c r="D974" i="7"/>
  <c r="D975" i="7"/>
  <c r="D976" i="7"/>
  <c r="D977" i="7"/>
  <c r="D978" i="7"/>
  <c r="D979" i="7"/>
  <c r="D980" i="7"/>
  <c r="D981" i="7"/>
  <c r="D982" i="7"/>
  <c r="D983" i="7"/>
  <c r="D984" i="7"/>
  <c r="D985" i="7"/>
  <c r="D986" i="7"/>
  <c r="D987" i="7"/>
  <c r="D988" i="7"/>
  <c r="D989" i="7"/>
  <c r="D990" i="7"/>
  <c r="D991" i="7"/>
  <c r="D992" i="7"/>
  <c r="D993" i="7"/>
  <c r="D994" i="7"/>
  <c r="D995" i="7"/>
  <c r="D996" i="7"/>
  <c r="D997" i="7"/>
  <c r="D998" i="7"/>
  <c r="D999" i="7"/>
  <c r="D1000" i="7"/>
  <c r="D1001" i="7"/>
  <c r="D1002" i="7"/>
  <c r="D1003" i="7"/>
  <c r="D1004" i="7"/>
  <c r="D1005" i="7"/>
  <c r="D1006" i="7"/>
  <c r="D1007" i="7"/>
  <c r="D1008" i="7"/>
  <c r="D1009" i="7"/>
  <c r="D1010" i="7"/>
  <c r="D1011" i="7"/>
  <c r="D1012" i="7"/>
  <c r="D1013" i="7"/>
  <c r="D1014" i="7"/>
  <c r="D1015" i="7"/>
  <c r="D1016" i="7"/>
  <c r="D1017" i="7"/>
  <c r="D1018" i="7"/>
  <c r="D1019" i="7"/>
  <c r="D1020" i="7"/>
  <c r="D1021" i="7"/>
  <c r="D1022" i="7"/>
  <c r="D1023" i="7"/>
  <c r="D1024" i="7"/>
  <c r="D1025" i="7"/>
  <c r="D1026" i="7"/>
  <c r="D1027" i="7"/>
  <c r="D1028" i="7"/>
  <c r="D1029" i="7"/>
  <c r="D1030" i="7"/>
  <c r="D1031" i="7"/>
  <c r="D1032" i="7"/>
  <c r="D1033" i="7"/>
  <c r="D1034" i="7"/>
  <c r="D1035" i="7"/>
  <c r="D1036" i="7"/>
  <c r="D1037" i="7"/>
  <c r="D1038" i="7"/>
  <c r="D1039" i="7"/>
  <c r="D1040" i="7"/>
  <c r="D1041" i="7"/>
  <c r="D1042" i="7"/>
  <c r="D1043" i="7"/>
  <c r="D1044" i="7"/>
  <c r="D1045" i="7"/>
  <c r="D1046" i="7"/>
  <c r="D1047" i="7"/>
  <c r="D1048" i="7"/>
  <c r="D1049" i="7"/>
  <c r="D1050" i="7"/>
  <c r="D1051" i="7"/>
  <c r="D1052" i="7"/>
  <c r="D1053" i="7"/>
  <c r="D1054" i="7"/>
  <c r="D1055" i="7"/>
  <c r="D1056" i="7"/>
  <c r="D1057" i="7"/>
  <c r="D1058" i="7"/>
  <c r="D1059" i="7"/>
  <c r="D1060" i="7"/>
  <c r="D1061" i="7"/>
  <c r="D1062" i="7"/>
  <c r="D1063" i="7"/>
  <c r="D1064" i="7"/>
  <c r="D1065" i="7"/>
  <c r="D1066" i="7"/>
  <c r="D1067" i="7"/>
  <c r="D1068" i="7"/>
  <c r="D1069" i="7"/>
  <c r="D1070" i="7"/>
  <c r="D1071" i="7"/>
  <c r="D1072" i="7"/>
  <c r="D1073" i="7"/>
  <c r="D1074" i="7"/>
  <c r="D1075" i="7"/>
  <c r="D1076" i="7"/>
  <c r="D1077" i="7"/>
  <c r="D1078" i="7"/>
  <c r="D1079" i="7"/>
  <c r="D1080" i="7"/>
  <c r="D1081" i="7"/>
  <c r="D1082" i="7"/>
  <c r="D1083" i="7"/>
  <c r="D1084" i="7"/>
  <c r="D1085" i="7"/>
  <c r="D1086" i="7"/>
  <c r="D1087" i="7"/>
  <c r="D1088" i="7"/>
  <c r="D1089" i="7"/>
  <c r="D1090" i="7"/>
  <c r="D1091" i="7"/>
  <c r="D1092" i="7"/>
  <c r="D1093" i="7"/>
  <c r="D1094" i="7"/>
  <c r="D1095" i="7"/>
  <c r="D1096" i="7"/>
  <c r="D1097" i="7"/>
  <c r="D1098" i="7"/>
  <c r="D1099" i="7"/>
  <c r="D1100" i="7"/>
  <c r="D1101" i="7"/>
  <c r="D1102" i="7"/>
  <c r="D1103" i="7"/>
  <c r="D1104" i="7"/>
  <c r="D1105" i="7"/>
  <c r="D1106" i="7"/>
  <c r="D1107" i="7"/>
  <c r="D1108" i="7"/>
  <c r="D1109" i="7"/>
  <c r="D1110" i="7"/>
  <c r="D1111" i="7"/>
  <c r="D1112" i="7"/>
  <c r="D1113" i="7"/>
  <c r="D1114" i="7"/>
  <c r="D1115" i="7"/>
  <c r="D1116" i="7"/>
  <c r="D1117" i="7"/>
  <c r="D1118" i="7"/>
  <c r="D1119" i="7"/>
  <c r="D1120" i="7"/>
  <c r="D1121" i="7"/>
  <c r="D1122" i="7"/>
  <c r="D1123" i="7"/>
  <c r="D1124" i="7"/>
  <c r="D1125" i="7"/>
  <c r="D1126" i="7"/>
  <c r="D1127" i="7"/>
  <c r="D1128" i="7"/>
  <c r="D1129" i="7"/>
  <c r="D1130" i="7"/>
  <c r="D1131" i="7"/>
  <c r="D1132" i="7"/>
  <c r="D1133" i="7"/>
  <c r="D1134" i="7"/>
  <c r="D1135" i="7"/>
  <c r="D1136" i="7"/>
  <c r="D1137" i="7"/>
  <c r="D1138" i="7"/>
  <c r="D1139" i="7"/>
  <c r="D1140" i="7"/>
  <c r="D1141" i="7"/>
  <c r="D1142" i="7"/>
  <c r="D1143" i="7"/>
  <c r="D1144" i="7"/>
  <c r="D1145" i="7"/>
  <c r="D1146" i="7"/>
  <c r="D1147" i="7"/>
  <c r="D1148" i="7"/>
  <c r="D1149" i="7"/>
  <c r="D1150" i="7"/>
  <c r="D1151" i="7"/>
  <c r="D1152" i="7"/>
  <c r="D1153" i="7"/>
  <c r="D1154" i="7"/>
  <c r="D1155" i="7"/>
  <c r="D1156" i="7"/>
  <c r="D1157" i="7"/>
  <c r="D1158" i="7"/>
  <c r="D1159" i="7"/>
  <c r="D1160" i="7"/>
  <c r="D1161" i="7"/>
  <c r="D1162" i="7"/>
  <c r="D1163" i="7"/>
  <c r="D1164" i="7"/>
  <c r="D1165" i="7"/>
  <c r="D1166" i="7"/>
  <c r="D1167" i="7"/>
  <c r="D1168" i="7"/>
  <c r="D1169" i="7"/>
  <c r="D1170" i="7"/>
  <c r="D1171" i="7"/>
  <c r="D1172" i="7"/>
  <c r="D1173" i="7"/>
  <c r="D1174" i="7"/>
  <c r="D1175" i="7"/>
  <c r="D1176" i="7"/>
  <c r="D1177" i="7"/>
  <c r="D1178" i="7"/>
  <c r="D1179" i="7"/>
  <c r="D1180" i="7"/>
  <c r="D1181" i="7"/>
  <c r="D1182" i="7"/>
  <c r="D1183" i="7"/>
  <c r="D1184" i="7"/>
  <c r="D1185" i="7"/>
  <c r="D1186" i="7"/>
  <c r="D1187" i="7"/>
  <c r="D1188" i="7"/>
  <c r="D1189" i="7"/>
  <c r="D1190" i="7"/>
  <c r="D1191" i="7"/>
  <c r="D1192" i="7"/>
  <c r="D1193" i="7"/>
  <c r="D1194" i="7"/>
  <c r="D1195" i="7"/>
  <c r="D1196" i="7"/>
  <c r="D1197" i="7"/>
  <c r="D1198" i="7"/>
  <c r="D1199" i="7"/>
  <c r="D1200" i="7"/>
  <c r="D1201" i="7"/>
  <c r="D1202" i="7"/>
  <c r="D1203" i="7"/>
  <c r="D1204" i="7"/>
  <c r="D1205" i="7"/>
  <c r="D1206" i="7"/>
  <c r="D1207" i="7"/>
  <c r="D1208" i="7"/>
  <c r="D1209" i="7"/>
  <c r="D1210" i="7"/>
  <c r="D1211" i="7"/>
  <c r="D1212" i="7"/>
  <c r="D1213" i="7"/>
  <c r="D1214" i="7"/>
  <c r="D1215" i="7"/>
  <c r="D1216" i="7"/>
  <c r="D1217" i="7"/>
  <c r="D1218" i="7"/>
  <c r="D1219" i="7"/>
  <c r="D1220" i="7"/>
  <c r="D1221" i="7"/>
  <c r="D1222" i="7"/>
  <c r="D1223" i="7"/>
  <c r="D1224" i="7"/>
  <c r="D1225" i="7"/>
  <c r="D1226" i="7"/>
  <c r="D1227" i="7"/>
  <c r="D1228" i="7"/>
  <c r="D1229" i="7"/>
  <c r="D1230" i="7"/>
  <c r="D1231" i="7"/>
  <c r="D1232" i="7"/>
  <c r="D1233" i="7"/>
  <c r="D1234" i="7"/>
  <c r="D1235" i="7"/>
  <c r="D1236" i="7"/>
  <c r="D1237" i="7"/>
  <c r="D1238" i="7"/>
  <c r="D1239" i="7"/>
  <c r="D1240" i="7"/>
  <c r="D1241" i="7"/>
  <c r="D1242" i="7"/>
  <c r="D1243" i="7"/>
  <c r="D1244" i="7"/>
  <c r="D1245" i="7"/>
  <c r="D1246" i="7"/>
  <c r="D1247" i="7"/>
  <c r="D1248" i="7"/>
  <c r="D1249" i="7"/>
  <c r="D1250" i="7"/>
  <c r="D1251" i="7"/>
  <c r="D1252" i="7"/>
  <c r="D1253" i="7"/>
  <c r="D1254" i="7"/>
  <c r="D1255" i="7"/>
  <c r="D1256" i="7"/>
  <c r="D1257" i="7"/>
  <c r="D1258" i="7"/>
  <c r="D1259" i="7"/>
  <c r="D1260" i="7"/>
  <c r="D1261" i="7"/>
  <c r="D1262" i="7"/>
  <c r="D1263" i="7"/>
  <c r="D1264" i="7"/>
  <c r="D1265" i="7"/>
  <c r="D1266" i="7"/>
  <c r="D1267" i="7"/>
  <c r="D1268" i="7"/>
  <c r="D1269" i="7"/>
  <c r="D1270" i="7"/>
  <c r="D1271" i="7"/>
  <c r="D1272" i="7"/>
  <c r="G693" i="8" s="1"/>
  <c r="I693" i="8" s="1"/>
  <c r="D1273" i="7"/>
  <c r="D1274" i="7"/>
  <c r="D1275" i="7"/>
  <c r="D1276" i="7"/>
  <c r="D1277" i="7"/>
  <c r="D1278" i="7"/>
  <c r="D1279" i="7"/>
  <c r="D1280" i="7"/>
  <c r="D1281" i="7"/>
  <c r="D1282" i="7"/>
  <c r="D1283" i="7"/>
  <c r="D1284" i="7"/>
  <c r="D1285" i="7"/>
  <c r="D1286" i="7"/>
  <c r="D1287" i="7"/>
  <c r="D1288" i="7"/>
  <c r="D1289" i="7"/>
  <c r="D1290" i="7"/>
  <c r="D1291" i="7"/>
  <c r="D1292" i="7"/>
  <c r="D1293" i="7"/>
  <c r="D1294" i="7"/>
  <c r="D1295" i="7"/>
  <c r="D1296" i="7"/>
  <c r="D1297" i="7"/>
  <c r="D1298" i="7"/>
  <c r="D1299" i="7"/>
  <c r="D1300" i="7"/>
  <c r="D1301" i="7"/>
  <c r="D1302" i="7"/>
  <c r="D1303" i="7"/>
  <c r="D1304" i="7"/>
  <c r="D1305" i="7"/>
  <c r="D1306" i="7"/>
  <c r="D1307" i="7"/>
  <c r="D1308" i="7"/>
  <c r="D1309" i="7"/>
  <c r="D1310" i="7"/>
  <c r="D1311" i="7"/>
  <c r="D1312" i="7"/>
  <c r="D1313" i="7"/>
  <c r="D1314" i="7"/>
  <c r="D1315" i="7"/>
  <c r="D1316" i="7"/>
  <c r="D1317" i="7"/>
  <c r="D1318" i="7"/>
  <c r="D1319" i="7"/>
  <c r="D1320" i="7"/>
  <c r="D1321" i="7"/>
  <c r="D1322" i="7"/>
  <c r="D1323" i="7"/>
  <c r="D1324" i="7"/>
  <c r="D1325" i="7"/>
  <c r="D1326" i="7"/>
  <c r="D1327" i="7"/>
  <c r="D1328" i="7"/>
  <c r="D1329" i="7"/>
  <c r="D1330" i="7"/>
  <c r="D1331" i="7"/>
  <c r="D1332" i="7"/>
  <c r="D1333" i="7"/>
  <c r="D1334" i="7"/>
  <c r="D1335" i="7"/>
  <c r="D1336" i="7"/>
  <c r="D1337" i="7"/>
  <c r="D1338" i="7"/>
  <c r="D1339" i="7"/>
  <c r="D1340" i="7"/>
  <c r="D1341" i="7"/>
  <c r="D1342" i="7"/>
  <c r="D1343" i="7"/>
  <c r="D1344" i="7"/>
  <c r="D1345" i="7"/>
  <c r="D1346" i="7"/>
  <c r="D1347" i="7"/>
  <c r="D1348" i="7"/>
  <c r="D1349" i="7"/>
  <c r="D1350" i="7"/>
  <c r="D1351" i="7"/>
  <c r="D1352" i="7"/>
  <c r="D1353" i="7"/>
  <c r="D1354" i="7"/>
  <c r="D1355" i="7"/>
  <c r="D1356" i="7"/>
  <c r="D1357" i="7"/>
  <c r="D1358" i="7"/>
  <c r="D1359" i="7"/>
  <c r="D1360" i="7"/>
  <c r="D1361" i="7"/>
  <c r="D1362" i="7"/>
  <c r="D1363" i="7"/>
  <c r="D1364" i="7"/>
  <c r="D1365" i="7"/>
  <c r="D1366" i="7"/>
  <c r="D1367" i="7"/>
  <c r="D1368" i="7"/>
  <c r="D1369" i="7"/>
  <c r="D1370" i="7"/>
  <c r="D1371" i="7"/>
  <c r="D1372" i="7"/>
  <c r="D1373" i="7"/>
  <c r="D1374" i="7"/>
  <c r="D1375" i="7"/>
  <c r="D1376" i="7"/>
  <c r="D1377" i="7"/>
  <c r="D1378" i="7"/>
  <c r="D1379" i="7"/>
  <c r="D1380" i="7"/>
  <c r="D1381" i="7"/>
  <c r="D1382" i="7"/>
  <c r="D1383" i="7"/>
  <c r="D1384" i="7"/>
  <c r="D1385" i="7"/>
  <c r="D1386" i="7"/>
  <c r="D1387" i="7"/>
  <c r="D1388" i="7"/>
  <c r="D1389" i="7"/>
  <c r="D1390" i="7"/>
  <c r="D1391" i="7"/>
  <c r="D1392" i="7"/>
  <c r="G725" i="8" s="1"/>
  <c r="D1393" i="7"/>
  <c r="D1394" i="7"/>
  <c r="D1395" i="7"/>
  <c r="D1396" i="7"/>
  <c r="D1397" i="7"/>
  <c r="D1398" i="7"/>
  <c r="D1399" i="7"/>
  <c r="D1400" i="7"/>
  <c r="D1401" i="7"/>
  <c r="D1402" i="7"/>
  <c r="D1403" i="7"/>
  <c r="D1404" i="7"/>
  <c r="D1405" i="7"/>
  <c r="D1406" i="7"/>
  <c r="D1407" i="7"/>
  <c r="D1408" i="7"/>
  <c r="D1409" i="7"/>
  <c r="D1410" i="7"/>
  <c r="D1411" i="7"/>
  <c r="D1412" i="7"/>
  <c r="D1413" i="7"/>
  <c r="D1414" i="7"/>
  <c r="D1415" i="7"/>
  <c r="D1416" i="7"/>
  <c r="D1417" i="7"/>
  <c r="D1418" i="7"/>
  <c r="D1419" i="7"/>
  <c r="D1420" i="7"/>
  <c r="D1421" i="7"/>
  <c r="D1422" i="7"/>
  <c r="D1423" i="7"/>
  <c r="D1424" i="7"/>
  <c r="D1425" i="7"/>
  <c r="D1426" i="7"/>
  <c r="D1427" i="7"/>
  <c r="D1428" i="7"/>
  <c r="D1429" i="7"/>
  <c r="D1430" i="7"/>
  <c r="D1431" i="7"/>
  <c r="D1432" i="7"/>
  <c r="D1433" i="7"/>
  <c r="D1434" i="7"/>
  <c r="D1435" i="7"/>
  <c r="D1436" i="7"/>
  <c r="D1437" i="7"/>
  <c r="D1438" i="7"/>
  <c r="D1439" i="7"/>
  <c r="D1440" i="7"/>
  <c r="D1441" i="7"/>
  <c r="D1442" i="7"/>
  <c r="D1443" i="7"/>
  <c r="D1444" i="7"/>
  <c r="D1445" i="7"/>
  <c r="D1446" i="7"/>
  <c r="D1447" i="7"/>
  <c r="D1448" i="7"/>
  <c r="D1449" i="7"/>
  <c r="D1450" i="7"/>
  <c r="D1451" i="7"/>
  <c r="D1452" i="7"/>
  <c r="D1453" i="7"/>
  <c r="D1454" i="7"/>
  <c r="D1455" i="7"/>
  <c r="D1456" i="7"/>
  <c r="D1457" i="7"/>
  <c r="D1458" i="7"/>
  <c r="D1459" i="7"/>
  <c r="D1460" i="7"/>
  <c r="D1461" i="7"/>
  <c r="D1462" i="7"/>
  <c r="F4" i="7"/>
  <c r="F562" i="8"/>
  <c r="G562" i="8" s="1"/>
  <c r="F563" i="8"/>
  <c r="F564" i="8"/>
  <c r="F565" i="8"/>
  <c r="F566" i="8"/>
  <c r="F567" i="8"/>
  <c r="F568" i="8"/>
  <c r="F569" i="8"/>
  <c r="F570" i="8"/>
  <c r="G570" i="8" s="1"/>
  <c r="F571" i="8"/>
  <c r="F572" i="8"/>
  <c r="F573" i="8"/>
  <c r="F574" i="8"/>
  <c r="F575" i="8"/>
  <c r="F576" i="8"/>
  <c r="F577" i="8"/>
  <c r="F578" i="8"/>
  <c r="G578" i="8" s="1"/>
  <c r="F579" i="8"/>
  <c r="F580" i="8"/>
  <c r="F581" i="8"/>
  <c r="F582" i="8"/>
  <c r="F583" i="8"/>
  <c r="F584" i="8"/>
  <c r="G584" i="8" s="1"/>
  <c r="F585" i="8"/>
  <c r="G585" i="8" s="1"/>
  <c r="I585" i="8" s="1"/>
  <c r="F586" i="8"/>
  <c r="G586" i="8" s="1"/>
  <c r="F587" i="8"/>
  <c r="F588" i="8"/>
  <c r="F589" i="8"/>
  <c r="F590" i="8"/>
  <c r="F591" i="8"/>
  <c r="F592" i="8"/>
  <c r="G592" i="8" s="1"/>
  <c r="F593" i="8"/>
  <c r="F594" i="8"/>
  <c r="G594" i="8" s="1"/>
  <c r="F595" i="8"/>
  <c r="F596" i="8"/>
  <c r="F597" i="8"/>
  <c r="F598" i="8"/>
  <c r="F599" i="8"/>
  <c r="F600" i="8"/>
  <c r="F601" i="8"/>
  <c r="F602" i="8"/>
  <c r="G602" i="8" s="1"/>
  <c r="F603" i="8"/>
  <c r="F604" i="8"/>
  <c r="G604" i="8" s="1"/>
  <c r="F605" i="8"/>
  <c r="F606" i="8"/>
  <c r="G606" i="8" s="1"/>
  <c r="I606" i="8" s="1"/>
  <c r="F607" i="8"/>
  <c r="F608" i="8"/>
  <c r="G608" i="8" s="1"/>
  <c r="F609" i="8"/>
  <c r="F610" i="8"/>
  <c r="G610" i="8" s="1"/>
  <c r="F611" i="8"/>
  <c r="F612" i="8"/>
  <c r="F613" i="8"/>
  <c r="F614" i="8"/>
  <c r="G614" i="8" s="1"/>
  <c r="I614" i="8" s="1"/>
  <c r="F615" i="8"/>
  <c r="F616" i="8"/>
  <c r="F617" i="8"/>
  <c r="G617" i="8" s="1"/>
  <c r="F618" i="8"/>
  <c r="F619" i="8"/>
  <c r="G619" i="8" s="1"/>
  <c r="I619" i="8" s="1"/>
  <c r="F620" i="8"/>
  <c r="G620" i="8" s="1"/>
  <c r="F621" i="8"/>
  <c r="F622" i="8"/>
  <c r="G622" i="8" s="1"/>
  <c r="I622" i="8" s="1"/>
  <c r="F623" i="8"/>
  <c r="F624" i="8"/>
  <c r="F625" i="8"/>
  <c r="F626" i="8"/>
  <c r="F627" i="8"/>
  <c r="F628" i="8"/>
  <c r="G628" i="8" s="1"/>
  <c r="F629" i="8"/>
  <c r="F630" i="8"/>
  <c r="F631" i="8"/>
  <c r="F632" i="8"/>
  <c r="G632" i="8" s="1"/>
  <c r="F633" i="8"/>
  <c r="F634" i="8"/>
  <c r="G634" i="8" s="1"/>
  <c r="F635" i="8"/>
  <c r="F636" i="8"/>
  <c r="G636" i="8" s="1"/>
  <c r="F637" i="8"/>
  <c r="G637" i="8" s="1"/>
  <c r="F638" i="8"/>
  <c r="G638" i="8" s="1"/>
  <c r="F639" i="8"/>
  <c r="F640" i="8"/>
  <c r="F641" i="8"/>
  <c r="F642" i="8"/>
  <c r="G642" i="8" s="1"/>
  <c r="F643" i="8"/>
  <c r="F644" i="8"/>
  <c r="G644" i="8" s="1"/>
  <c r="F645" i="8"/>
  <c r="F646" i="8"/>
  <c r="G646" i="8" s="1"/>
  <c r="F647" i="8"/>
  <c r="G647" i="8" s="1"/>
  <c r="I647" i="8" s="1"/>
  <c r="F648" i="8"/>
  <c r="G648" i="8" s="1"/>
  <c r="F649" i="8"/>
  <c r="F650" i="8"/>
  <c r="F651" i="8"/>
  <c r="F652" i="8"/>
  <c r="F653" i="8"/>
  <c r="G653" i="8" s="1"/>
  <c r="I653" i="8" s="1"/>
  <c r="F654" i="8"/>
  <c r="F655" i="8"/>
  <c r="F656" i="8"/>
  <c r="F657" i="8"/>
  <c r="F658" i="8"/>
  <c r="F659" i="8"/>
  <c r="F660" i="8"/>
  <c r="F661" i="8"/>
  <c r="F662" i="8"/>
  <c r="F663" i="8"/>
  <c r="F664" i="8"/>
  <c r="G664" i="8" s="1"/>
  <c r="F665" i="8"/>
  <c r="F666" i="8"/>
  <c r="G666" i="8" s="1"/>
  <c r="F667" i="8"/>
  <c r="F668" i="8"/>
  <c r="G668" i="8" s="1"/>
  <c r="F669" i="8"/>
  <c r="F670" i="8"/>
  <c r="G670" i="8" s="1"/>
  <c r="I670" i="8" s="1"/>
  <c r="F671" i="8"/>
  <c r="F672" i="8"/>
  <c r="G672" i="8" s="1"/>
  <c r="F673" i="8"/>
  <c r="F674" i="8"/>
  <c r="G674" i="8" s="1"/>
  <c r="F675" i="8"/>
  <c r="F676" i="8"/>
  <c r="G676" i="8" s="1"/>
  <c r="F677" i="8"/>
  <c r="F678" i="8"/>
  <c r="G678" i="8" s="1"/>
  <c r="F679" i="8"/>
  <c r="G679" i="8" s="1"/>
  <c r="I679" i="8" s="1"/>
  <c r="F680" i="8"/>
  <c r="G680" i="8" s="1"/>
  <c r="F681" i="8"/>
  <c r="G681" i="8" s="1"/>
  <c r="F682" i="8"/>
  <c r="G682" i="8" s="1"/>
  <c r="F683" i="8"/>
  <c r="F684" i="8"/>
  <c r="G684" i="8" s="1"/>
  <c r="F685" i="8"/>
  <c r="G685" i="8" s="1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G701" i="8" s="1"/>
  <c r="I701" i="8" s="1"/>
  <c r="F702" i="8"/>
  <c r="G702" i="8" s="1"/>
  <c r="I702" i="8" s="1"/>
  <c r="F703" i="8"/>
  <c r="F704" i="8"/>
  <c r="F705" i="8"/>
  <c r="G705" i="8" s="1"/>
  <c r="I705" i="8" s="1"/>
  <c r="F706" i="8"/>
  <c r="F707" i="8"/>
  <c r="G707" i="8" s="1"/>
  <c r="F708" i="8"/>
  <c r="F709" i="8"/>
  <c r="F710" i="8"/>
  <c r="F711" i="8"/>
  <c r="G711" i="8" s="1"/>
  <c r="I711" i="8" s="1"/>
  <c r="F712" i="8"/>
  <c r="F713" i="8"/>
  <c r="F714" i="8"/>
  <c r="G714" i="8" s="1"/>
  <c r="F715" i="8"/>
  <c r="F716" i="8"/>
  <c r="G716" i="8" s="1"/>
  <c r="F717" i="8"/>
  <c r="F718" i="8"/>
  <c r="F719" i="8"/>
  <c r="G719" i="8" s="1"/>
  <c r="F720" i="8"/>
  <c r="G720" i="8" s="1"/>
  <c r="F721" i="8"/>
  <c r="F722" i="8"/>
  <c r="F723" i="8"/>
  <c r="F724" i="8"/>
  <c r="G724" i="8" s="1"/>
  <c r="F725" i="8"/>
  <c r="F726" i="8"/>
  <c r="G726" i="8" s="1"/>
  <c r="F727" i="8"/>
  <c r="G727" i="8" s="1"/>
  <c r="F728" i="8"/>
  <c r="F729" i="8"/>
  <c r="F730" i="8"/>
  <c r="F731" i="8"/>
  <c r="F732" i="8"/>
  <c r="G732" i="8" s="1"/>
  <c r="F733" i="8"/>
  <c r="F734" i="8"/>
  <c r="G734" i="8" s="1"/>
  <c r="I734" i="8" s="1"/>
  <c r="F735" i="8"/>
  <c r="F736" i="8"/>
  <c r="F737" i="8"/>
  <c r="F738" i="8"/>
  <c r="G738" i="8" s="1"/>
  <c r="F739" i="8"/>
  <c r="F740" i="8"/>
  <c r="G740" i="8" s="1"/>
  <c r="F741" i="8"/>
  <c r="F742" i="8"/>
  <c r="F743" i="8"/>
  <c r="F744" i="8"/>
  <c r="G744" i="8" s="1"/>
  <c r="F745" i="8"/>
  <c r="F746" i="8"/>
  <c r="G746" i="8" s="1"/>
  <c r="F747" i="8"/>
  <c r="F748" i="8"/>
  <c r="F749" i="8"/>
  <c r="F750" i="8"/>
  <c r="G750" i="8" s="1"/>
  <c r="I750" i="8" s="1"/>
  <c r="F751" i="8"/>
  <c r="G751" i="8" s="1"/>
  <c r="F752" i="8"/>
  <c r="G752" i="8" s="1"/>
  <c r="F753" i="8"/>
  <c r="F754" i="8"/>
  <c r="F755" i="8"/>
  <c r="G755" i="8" s="1"/>
  <c r="I755" i="8" s="1"/>
  <c r="F756" i="8"/>
  <c r="F757" i="8"/>
  <c r="F758" i="8"/>
  <c r="F759" i="8"/>
  <c r="F760" i="8"/>
  <c r="G760" i="8" s="1"/>
  <c r="F761" i="8"/>
  <c r="F762" i="8"/>
  <c r="G762" i="8" s="1"/>
  <c r="F763" i="8"/>
  <c r="F764" i="8"/>
  <c r="G764" i="8" s="1"/>
  <c r="F765" i="8"/>
  <c r="F766" i="8"/>
  <c r="G766" i="8" s="1"/>
  <c r="I766" i="8" s="1"/>
  <c r="F767" i="8"/>
  <c r="F768" i="8"/>
  <c r="F769" i="8"/>
  <c r="F770" i="8"/>
  <c r="F771" i="8"/>
  <c r="G771" i="8" s="1"/>
  <c r="F772" i="8"/>
  <c r="F773" i="8"/>
  <c r="F774" i="8"/>
  <c r="F775" i="8"/>
  <c r="F776" i="8"/>
  <c r="F777" i="8"/>
  <c r="G777" i="8" s="1"/>
  <c r="F778" i="8"/>
  <c r="G778" i="8" s="1"/>
  <c r="F779" i="8"/>
  <c r="F780" i="8"/>
  <c r="F781" i="8"/>
  <c r="G781" i="8" s="1"/>
  <c r="F782" i="8"/>
  <c r="G782" i="8" s="1"/>
  <c r="I782" i="8" s="1"/>
  <c r="F783" i="8"/>
  <c r="F784" i="8"/>
  <c r="F785" i="8"/>
  <c r="F786" i="8"/>
  <c r="G786" i="8" s="1"/>
  <c r="F787" i="8"/>
  <c r="G787" i="8" s="1"/>
  <c r="I787" i="8" s="1"/>
  <c r="F788" i="8"/>
  <c r="F789" i="8"/>
  <c r="F790" i="8"/>
  <c r="G790" i="8" s="1"/>
  <c r="F791" i="8"/>
  <c r="G791" i="8" s="1"/>
  <c r="F792" i="8"/>
  <c r="G792" i="8" s="1"/>
  <c r="F793" i="8"/>
  <c r="G793" i="8" s="1"/>
  <c r="F794" i="8"/>
  <c r="G794" i="8" s="1"/>
  <c r="F795" i="8"/>
  <c r="F796" i="8"/>
  <c r="F797" i="8"/>
  <c r="F798" i="8"/>
  <c r="G798" i="8" s="1"/>
  <c r="I798" i="8" s="1"/>
  <c r="F799" i="8"/>
  <c r="F800" i="8"/>
  <c r="G800" i="8" s="1"/>
  <c r="F801" i="8"/>
  <c r="F802" i="8"/>
  <c r="G802" i="8" s="1"/>
  <c r="F803" i="8"/>
  <c r="F804" i="8"/>
  <c r="F805" i="8"/>
  <c r="G805" i="8" s="1"/>
  <c r="I805" i="8" s="1"/>
  <c r="F806" i="8"/>
  <c r="F807" i="8"/>
  <c r="F808" i="8"/>
  <c r="F809" i="8"/>
  <c r="G809" i="8" s="1"/>
  <c r="F810" i="8"/>
  <c r="G810" i="8" s="1"/>
  <c r="F811" i="8"/>
  <c r="G811" i="8" s="1"/>
  <c r="I811" i="8" s="1"/>
  <c r="F812" i="8"/>
  <c r="F813" i="8"/>
  <c r="F814" i="8"/>
  <c r="G814" i="8" s="1"/>
  <c r="I814" i="8" s="1"/>
  <c r="F815" i="8"/>
  <c r="F816" i="8"/>
  <c r="F817" i="8"/>
  <c r="F818" i="8"/>
  <c r="F819" i="8"/>
  <c r="G819" i="8" s="1"/>
  <c r="I819" i="8" s="1"/>
  <c r="F820" i="8"/>
  <c r="F821" i="8"/>
  <c r="F822" i="8"/>
  <c r="G822" i="8" s="1"/>
  <c r="F823" i="8"/>
  <c r="F824" i="8"/>
  <c r="F825" i="8"/>
  <c r="F826" i="8"/>
  <c r="F827" i="8"/>
  <c r="F828" i="8"/>
  <c r="G828" i="8" s="1"/>
  <c r="F829" i="8"/>
  <c r="G829" i="8" s="1"/>
  <c r="F830" i="8"/>
  <c r="G830" i="8" s="1"/>
  <c r="I830" i="8" s="1"/>
  <c r="F831" i="8"/>
  <c r="F832" i="8"/>
  <c r="F833" i="8"/>
  <c r="F834" i="8"/>
  <c r="G834" i="8" s="1"/>
  <c r="F835" i="8"/>
  <c r="G835" i="8" s="1"/>
  <c r="I835" i="8" s="1"/>
  <c r="F836" i="8"/>
  <c r="F837" i="8"/>
  <c r="G837" i="8" s="1"/>
  <c r="F838" i="8"/>
  <c r="F839" i="8"/>
  <c r="F840" i="8"/>
  <c r="G840" i="8" s="1"/>
  <c r="F841" i="8"/>
  <c r="F842" i="8"/>
  <c r="G842" i="8" s="1"/>
  <c r="F843" i="8"/>
  <c r="G843" i="8" s="1"/>
  <c r="I843" i="8" s="1"/>
  <c r="F844" i="8"/>
  <c r="F845" i="8"/>
  <c r="F846" i="8"/>
  <c r="G846" i="8" s="1"/>
  <c r="I846" i="8" s="1"/>
  <c r="F847" i="8"/>
  <c r="F848" i="8"/>
  <c r="F849" i="8"/>
  <c r="F850" i="8"/>
  <c r="G850" i="8" s="1"/>
  <c r="F851" i="8"/>
  <c r="G851" i="8" s="1"/>
  <c r="I851" i="8" s="1"/>
  <c r="F852" i="8"/>
  <c r="G852" i="8" s="1"/>
  <c r="F853" i="8"/>
  <c r="F854" i="8"/>
  <c r="F855" i="8"/>
  <c r="F856" i="8"/>
  <c r="F857" i="8"/>
  <c r="F858" i="8"/>
  <c r="G858" i="8" s="1"/>
  <c r="F859" i="8"/>
  <c r="G859" i="8" s="1"/>
  <c r="I859" i="8" s="1"/>
  <c r="F860" i="8"/>
  <c r="F861" i="8"/>
  <c r="F862" i="8"/>
  <c r="F863" i="8"/>
  <c r="F864" i="8"/>
  <c r="G864" i="8" s="1"/>
  <c r="F865" i="8"/>
  <c r="F866" i="8"/>
  <c r="G866" i="8" s="1"/>
  <c r="F867" i="8"/>
  <c r="G867" i="8" s="1"/>
  <c r="I867" i="8" s="1"/>
  <c r="F868" i="8"/>
  <c r="G868" i="8" s="1"/>
  <c r="F869" i="8"/>
  <c r="F870" i="8"/>
  <c r="G870" i="8" s="1"/>
  <c r="F871" i="8"/>
  <c r="F872" i="8"/>
  <c r="G872" i="8" s="1"/>
  <c r="F873" i="8"/>
  <c r="G873" i="8" s="1"/>
  <c r="I873" i="8" s="1"/>
  <c r="F874" i="8"/>
  <c r="G874" i="8" s="1"/>
  <c r="F875" i="8"/>
  <c r="G875" i="8" s="1"/>
  <c r="F876" i="8"/>
  <c r="G876" i="8" s="1"/>
  <c r="F877" i="8"/>
  <c r="F878" i="8"/>
  <c r="G878" i="8" s="1"/>
  <c r="I878" i="8" s="1"/>
  <c r="F879" i="8"/>
  <c r="F880" i="8"/>
  <c r="F881" i="8"/>
  <c r="F882" i="8"/>
  <c r="G882" i="8" s="1"/>
  <c r="F883" i="8"/>
  <c r="G883" i="8" s="1"/>
  <c r="F884" i="8"/>
  <c r="F885" i="8"/>
  <c r="G885" i="8" s="1"/>
  <c r="I885" i="8" s="1"/>
  <c r="F886" i="8"/>
  <c r="G886" i="8" s="1"/>
  <c r="F887" i="8"/>
  <c r="F888" i="8"/>
  <c r="F889" i="8"/>
  <c r="F890" i="8"/>
  <c r="G890" i="8" s="1"/>
  <c r="F891" i="8"/>
  <c r="G891" i="8" s="1"/>
  <c r="F892" i="8"/>
  <c r="F893" i="8"/>
  <c r="G893" i="8" s="1"/>
  <c r="I893" i="8" s="1"/>
  <c r="F894" i="8"/>
  <c r="G894" i="8" s="1"/>
  <c r="I894" i="8" s="1"/>
  <c r="F895" i="8"/>
  <c r="F896" i="8"/>
  <c r="F897" i="8"/>
  <c r="G897" i="8" s="1"/>
  <c r="I897" i="8" s="1"/>
  <c r="F898" i="8"/>
  <c r="G898" i="8" s="1"/>
  <c r="F899" i="8"/>
  <c r="G899" i="8" s="1"/>
  <c r="F900" i="8"/>
  <c r="G900" i="8" s="1"/>
  <c r="F901" i="8"/>
  <c r="F902" i="8"/>
  <c r="G902" i="8" s="1"/>
  <c r="F903" i="8"/>
  <c r="F904" i="8"/>
  <c r="F905" i="8"/>
  <c r="F906" i="8"/>
  <c r="G906" i="8" s="1"/>
  <c r="F907" i="8"/>
  <c r="G907" i="8" s="1"/>
  <c r="F908" i="8"/>
  <c r="G908" i="8" s="1"/>
  <c r="F909" i="8"/>
  <c r="G909" i="8" s="1"/>
  <c r="I909" i="8" s="1"/>
  <c r="F910" i="8"/>
  <c r="G910" i="8" s="1"/>
  <c r="I910" i="8" s="1"/>
  <c r="F911" i="8"/>
  <c r="F912" i="8"/>
  <c r="F913" i="8"/>
  <c r="F914" i="8"/>
  <c r="G914" i="8" s="1"/>
  <c r="F915" i="8"/>
  <c r="F916" i="8"/>
  <c r="G916" i="8" s="1"/>
  <c r="F917" i="8"/>
  <c r="F918" i="8"/>
  <c r="G918" i="8" s="1"/>
  <c r="F919" i="8"/>
  <c r="F920" i="8"/>
  <c r="G920" i="8" s="1"/>
  <c r="F921" i="8"/>
  <c r="F922" i="8"/>
  <c r="G922" i="8" s="1"/>
  <c r="F923" i="8"/>
  <c r="F924" i="8"/>
  <c r="G924" i="8" s="1"/>
  <c r="F925" i="8"/>
  <c r="F926" i="8"/>
  <c r="G926" i="8" s="1"/>
  <c r="I926" i="8" s="1"/>
  <c r="F927" i="8"/>
  <c r="F928" i="8"/>
  <c r="F929" i="8"/>
  <c r="F930" i="8"/>
  <c r="G930" i="8" s="1"/>
  <c r="F931" i="8"/>
  <c r="G931" i="8" s="1"/>
  <c r="F932" i="8"/>
  <c r="G932" i="8" s="1"/>
  <c r="F933" i="8"/>
  <c r="F934" i="8"/>
  <c r="G934" i="8" s="1"/>
  <c r="F935" i="8"/>
  <c r="F936" i="8"/>
  <c r="F937" i="8"/>
  <c r="F938" i="8"/>
  <c r="G938" i="8" s="1"/>
  <c r="F939" i="8"/>
  <c r="G939" i="8" s="1"/>
  <c r="F940" i="8"/>
  <c r="F941" i="8"/>
  <c r="F942" i="8"/>
  <c r="G942" i="8" s="1"/>
  <c r="I942" i="8" s="1"/>
  <c r="F943" i="8"/>
  <c r="F944" i="8"/>
  <c r="G944" i="8" s="1"/>
  <c r="F945" i="8"/>
  <c r="F946" i="8"/>
  <c r="G946" i="8" s="1"/>
  <c r="F947" i="8"/>
  <c r="G947" i="8" s="1"/>
  <c r="F948" i="8"/>
  <c r="G948" i="8" s="1"/>
  <c r="F949" i="8"/>
  <c r="F950" i="8"/>
  <c r="G950" i="8" s="1"/>
  <c r="F951" i="8"/>
  <c r="F952" i="8"/>
  <c r="F953" i="8"/>
  <c r="F954" i="8"/>
  <c r="G954" i="8" s="1"/>
  <c r="F955" i="8"/>
  <c r="G955" i="8" s="1"/>
  <c r="F956" i="8"/>
  <c r="F957" i="8"/>
  <c r="F958" i="8"/>
  <c r="G958" i="8" s="1"/>
  <c r="I958" i="8" s="1"/>
  <c r="F959" i="8"/>
  <c r="F960" i="8"/>
  <c r="G960" i="8" s="1"/>
  <c r="F961" i="8"/>
  <c r="F962" i="8"/>
  <c r="G962" i="8" s="1"/>
  <c r="F963" i="8"/>
  <c r="F964" i="8"/>
  <c r="G964" i="8" s="1"/>
  <c r="F965" i="8"/>
  <c r="F966" i="8"/>
  <c r="G966" i="8" s="1"/>
  <c r="F967" i="8"/>
  <c r="F968" i="8"/>
  <c r="F969" i="8"/>
  <c r="F970" i="8"/>
  <c r="G970" i="8" s="1"/>
  <c r="F971" i="8"/>
  <c r="G971" i="8" s="1"/>
  <c r="F972" i="8"/>
  <c r="F973" i="8"/>
  <c r="F974" i="8"/>
  <c r="G974" i="8" s="1"/>
  <c r="I974" i="8" s="1"/>
  <c r="F975" i="8"/>
  <c r="F976" i="8"/>
  <c r="F977" i="8"/>
  <c r="F978" i="8"/>
  <c r="G978" i="8" s="1"/>
  <c r="F979" i="8"/>
  <c r="G979" i="8" s="1"/>
  <c r="F980" i="8"/>
  <c r="G980" i="8" s="1"/>
  <c r="F981" i="8"/>
  <c r="F982" i="8"/>
  <c r="G982" i="8" s="1"/>
  <c r="F983" i="8"/>
  <c r="F984" i="8"/>
  <c r="G984" i="8" s="1"/>
  <c r="F985" i="8"/>
  <c r="F986" i="8"/>
  <c r="G986" i="8" s="1"/>
  <c r="F987" i="8"/>
  <c r="G987" i="8" s="1"/>
  <c r="I987" i="8" s="1"/>
  <c r="F988" i="8"/>
  <c r="G988" i="8" s="1"/>
  <c r="F989" i="8"/>
  <c r="G989" i="8" s="1"/>
  <c r="F990" i="8"/>
  <c r="G990" i="8" s="1"/>
  <c r="I990" i="8" s="1"/>
  <c r="F991" i="8"/>
  <c r="F992" i="8"/>
  <c r="G992" i="8" s="1"/>
  <c r="F993" i="8"/>
  <c r="G993" i="8" s="1"/>
  <c r="I993" i="8" s="1"/>
  <c r="F994" i="8"/>
  <c r="G994" i="8" s="1"/>
  <c r="F995" i="8"/>
  <c r="G995" i="8" s="1"/>
  <c r="F996" i="8"/>
  <c r="F997" i="8"/>
  <c r="F998" i="8"/>
  <c r="G998" i="8" s="1"/>
  <c r="I998" i="8" s="1"/>
  <c r="F999" i="8"/>
  <c r="F1000" i="8"/>
  <c r="F1001" i="8"/>
  <c r="F1002" i="8"/>
  <c r="G1002" i="8" s="1"/>
  <c r="F1003" i="8"/>
  <c r="G1003" i="8" s="1"/>
  <c r="F1004" i="8"/>
  <c r="G1004" i="8" s="1"/>
  <c r="F1005" i="8"/>
  <c r="F1006" i="8"/>
  <c r="G1006" i="8" s="1"/>
  <c r="I1006" i="8" s="1"/>
  <c r="F1007" i="8"/>
  <c r="F1008" i="8"/>
  <c r="F1009" i="8"/>
  <c r="F1010" i="8"/>
  <c r="G1010" i="8" s="1"/>
  <c r="F1011" i="8"/>
  <c r="G1011" i="8" s="1"/>
  <c r="F1012" i="8"/>
  <c r="G1012" i="8" s="1"/>
  <c r="F1013" i="8"/>
  <c r="F1014" i="8"/>
  <c r="G1014" i="8" s="1"/>
  <c r="F1015" i="8"/>
  <c r="G1015" i="8" s="1"/>
  <c r="F1016" i="8"/>
  <c r="G1016" i="8" s="1"/>
  <c r="F1017" i="8"/>
  <c r="F1018" i="8"/>
  <c r="G1018" i="8" s="1"/>
  <c r="F1019" i="8"/>
  <c r="G1019" i="8" s="1"/>
  <c r="F1020" i="8"/>
  <c r="G1020" i="8" s="1"/>
  <c r="F1021" i="8"/>
  <c r="G1021" i="8" s="1"/>
  <c r="F1022" i="8"/>
  <c r="F1023" i="8"/>
  <c r="G1023" i="8" s="1"/>
  <c r="F1024" i="8"/>
  <c r="G1024" i="8" s="1"/>
  <c r="F1025" i="8"/>
  <c r="G1025" i="8" s="1"/>
  <c r="F1026" i="8"/>
  <c r="G1026" i="8" s="1"/>
  <c r="F1027" i="8"/>
  <c r="G1027" i="8" s="1"/>
  <c r="F1028" i="8"/>
  <c r="G1028" i="8" s="1"/>
  <c r="I793" i="8"/>
  <c r="G1022" i="8" l="1"/>
  <c r="I1022" i="8" s="1"/>
  <c r="G1017" i="8"/>
  <c r="I1017" i="8" s="1"/>
  <c r="G1013" i="8"/>
  <c r="I1013" i="8" s="1"/>
  <c r="G569" i="8"/>
  <c r="G729" i="8"/>
  <c r="I729" i="8" s="1"/>
  <c r="G661" i="8"/>
  <c r="I661" i="8" s="1"/>
  <c r="G657" i="8"/>
  <c r="I657" i="8" s="1"/>
  <c r="G629" i="8"/>
  <c r="G761" i="8"/>
  <c r="I761" i="8" s="1"/>
  <c r="G757" i="8"/>
  <c r="I757" i="8" s="1"/>
  <c r="G753" i="8"/>
  <c r="I753" i="8" s="1"/>
  <c r="G975" i="8"/>
  <c r="G783" i="8"/>
  <c r="I783" i="8" s="1"/>
  <c r="G1007" i="8"/>
  <c r="I1007" i="8" s="1"/>
  <c r="G959" i="8"/>
  <c r="I959" i="8" s="1"/>
  <c r="G935" i="8"/>
  <c r="G863" i="8"/>
  <c r="I863" i="8" s="1"/>
  <c r="G903" i="8"/>
  <c r="I903" i="8" s="1"/>
  <c r="G855" i="8"/>
  <c r="I855" i="8" s="1"/>
  <c r="G847" i="8"/>
  <c r="I847" i="8" s="1"/>
  <c r="G839" i="8"/>
  <c r="I839" i="8" s="1"/>
  <c r="G767" i="8"/>
  <c r="G775" i="8"/>
  <c r="I775" i="8" s="1"/>
  <c r="G721" i="8"/>
  <c r="G951" i="8"/>
  <c r="G697" i="8"/>
  <c r="I697" i="8" s="1"/>
  <c r="G565" i="8"/>
  <c r="I565" i="8" s="1"/>
  <c r="G625" i="8"/>
  <c r="G799" i="8"/>
  <c r="I799" i="8" s="1"/>
  <c r="G815" i="8"/>
  <c r="I815" i="8" s="1"/>
  <c r="G967" i="8"/>
  <c r="I967" i="8" s="1"/>
  <c r="G919" i="8"/>
  <c r="G927" i="8"/>
  <c r="I927" i="8" s="1"/>
  <c r="G911" i="8"/>
  <c r="G879" i="8"/>
  <c r="I879" i="8" s="1"/>
  <c r="G871" i="8"/>
  <c r="G895" i="8"/>
  <c r="I895" i="8" s="1"/>
  <c r="G991" i="8"/>
  <c r="I991" i="8" s="1"/>
  <c r="G983" i="8"/>
  <c r="G943" i="8"/>
  <c r="I943" i="8" s="1"/>
  <c r="G689" i="8"/>
  <c r="I689" i="8" s="1"/>
  <c r="G665" i="8"/>
  <c r="I665" i="8" s="1"/>
  <c r="G887" i="8"/>
  <c r="I887" i="8" s="1"/>
  <c r="G633" i="8"/>
  <c r="I633" i="8" s="1"/>
  <c r="G593" i="8"/>
  <c r="G831" i="8"/>
  <c r="I831" i="8" s="1"/>
  <c r="G601" i="8"/>
  <c r="G999" i="8"/>
  <c r="I999" i="8" s="1"/>
  <c r="G823" i="8"/>
  <c r="G807" i="8"/>
  <c r="I807" i="8" s="1"/>
  <c r="G838" i="8"/>
  <c r="G826" i="8"/>
  <c r="G1001" i="8"/>
  <c r="I1001" i="8" s="1"/>
  <c r="G997" i="8"/>
  <c r="I997" i="8" s="1"/>
  <c r="G985" i="8"/>
  <c r="G981" i="8"/>
  <c r="G973" i="8"/>
  <c r="I973" i="8" s="1"/>
  <c r="G969" i="8"/>
  <c r="G961" i="8"/>
  <c r="G953" i="8"/>
  <c r="G949" i="8"/>
  <c r="I949" i="8" s="1"/>
  <c r="G941" i="8"/>
  <c r="G933" i="8"/>
  <c r="I933" i="8" s="1"/>
  <c r="G921" i="8"/>
  <c r="G913" i="8"/>
  <c r="I913" i="8" s="1"/>
  <c r="G901" i="8"/>
  <c r="I901" i="8" s="1"/>
  <c r="G889" i="8"/>
  <c r="G861" i="8"/>
  <c r="G857" i="8"/>
  <c r="I857" i="8" s="1"/>
  <c r="G853" i="8"/>
  <c r="I853" i="8" s="1"/>
  <c r="G845" i="8"/>
  <c r="G841" i="8"/>
  <c r="G821" i="8"/>
  <c r="I821" i="8" s="1"/>
  <c r="G817" i="8"/>
  <c r="G785" i="8"/>
  <c r="G749" i="8"/>
  <c r="G733" i="8"/>
  <c r="I733" i="8" s="1"/>
  <c r="G673" i="8"/>
  <c r="I673" i="8" s="1"/>
  <c r="G645" i="8"/>
  <c r="I645" i="8" s="1"/>
  <c r="G770" i="8"/>
  <c r="G742" i="8"/>
  <c r="I742" i="8" s="1"/>
  <c r="G718" i="8"/>
  <c r="I718" i="8" s="1"/>
  <c r="G710" i="8"/>
  <c r="G694" i="8"/>
  <c r="G658" i="8"/>
  <c r="I658" i="8" s="1"/>
  <c r="G650" i="8"/>
  <c r="G630" i="8"/>
  <c r="I630" i="8" s="1"/>
  <c r="G618" i="8"/>
  <c r="G598" i="8"/>
  <c r="I598" i="8" s="1"/>
  <c r="G590" i="8"/>
  <c r="I590" i="8" s="1"/>
  <c r="G582" i="8"/>
  <c r="I582" i="8" s="1"/>
  <c r="G862" i="8"/>
  <c r="I862" i="8" s="1"/>
  <c r="G818" i="8"/>
  <c r="I818" i="8" s="1"/>
  <c r="G774" i="8"/>
  <c r="I774" i="8" s="1"/>
  <c r="G758" i="8"/>
  <c r="I758" i="8" s="1"/>
  <c r="G754" i="8"/>
  <c r="G730" i="8"/>
  <c r="I730" i="8" s="1"/>
  <c r="G722" i="8"/>
  <c r="I722" i="8" s="1"/>
  <c r="G706" i="8"/>
  <c r="G698" i="8"/>
  <c r="G690" i="8"/>
  <c r="I690" i="8" s="1"/>
  <c r="G686" i="8"/>
  <c r="I686" i="8" s="1"/>
  <c r="G662" i="8"/>
  <c r="I662" i="8" s="1"/>
  <c r="G654" i="8"/>
  <c r="I654" i="8" s="1"/>
  <c r="G626" i="8"/>
  <c r="I626" i="8" s="1"/>
  <c r="G574" i="8"/>
  <c r="I574" i="8" s="1"/>
  <c r="G566" i="8"/>
  <c r="I566" i="8" s="1"/>
  <c r="G1009" i="8"/>
  <c r="I1009" i="8" s="1"/>
  <c r="G977" i="8"/>
  <c r="I977" i="8" s="1"/>
  <c r="G965" i="8"/>
  <c r="I965" i="8" s="1"/>
  <c r="G925" i="8"/>
  <c r="G917" i="8"/>
  <c r="I917" i="8" s="1"/>
  <c r="G905" i="8"/>
  <c r="I905" i="8" s="1"/>
  <c r="G881" i="8"/>
  <c r="I881" i="8" s="1"/>
  <c r="G869" i="8"/>
  <c r="G865" i="8"/>
  <c r="I865" i="8" s="1"/>
  <c r="G849" i="8"/>
  <c r="I849" i="8" s="1"/>
  <c r="G773" i="8"/>
  <c r="I773" i="8" s="1"/>
  <c r="G765" i="8"/>
  <c r="I765" i="8" s="1"/>
  <c r="G741" i="8"/>
  <c r="I741" i="8" s="1"/>
  <c r="G737" i="8"/>
  <c r="I737" i="8" s="1"/>
  <c r="G717" i="8"/>
  <c r="I717" i="8" s="1"/>
  <c r="G709" i="8"/>
  <c r="I709" i="8" s="1"/>
  <c r="G677" i="8"/>
  <c r="I677" i="8" s="1"/>
  <c r="G649" i="8"/>
  <c r="I649" i="8" s="1"/>
  <c r="G641" i="8"/>
  <c r="I641" i="8" s="1"/>
  <c r="G621" i="8"/>
  <c r="G613" i="8"/>
  <c r="I613" i="8" s="1"/>
  <c r="G581" i="8"/>
  <c r="I581" i="8" s="1"/>
  <c r="G577" i="8"/>
  <c r="G854" i="8"/>
  <c r="G806" i="8"/>
  <c r="I806" i="8" s="1"/>
  <c r="G1008" i="8"/>
  <c r="I1008" i="8" s="1"/>
  <c r="G1000" i="8"/>
  <c r="I1000" i="8" s="1"/>
  <c r="G972" i="8"/>
  <c r="G956" i="8"/>
  <c r="I956" i="8" s="1"/>
  <c r="G940" i="8"/>
  <c r="I940" i="8" s="1"/>
  <c r="G928" i="8"/>
  <c r="I928" i="8" s="1"/>
  <c r="G888" i="8"/>
  <c r="G884" i="8"/>
  <c r="I884" i="8" s="1"/>
  <c r="G880" i="8"/>
  <c r="I880" i="8" s="1"/>
  <c r="G848" i="8"/>
  <c r="I848" i="8" s="1"/>
  <c r="G844" i="8"/>
  <c r="G836" i="8"/>
  <c r="I836" i="8" s="1"/>
  <c r="G832" i="8"/>
  <c r="I832" i="8" s="1"/>
  <c r="G820" i="8"/>
  <c r="I820" i="8" s="1"/>
  <c r="G812" i="8"/>
  <c r="G808" i="8"/>
  <c r="I808" i="8" s="1"/>
  <c r="G796" i="8"/>
  <c r="I796" i="8" s="1"/>
  <c r="G788" i="8"/>
  <c r="G776" i="8"/>
  <c r="G736" i="8"/>
  <c r="I736" i="8" s="1"/>
  <c r="G708" i="8"/>
  <c r="I708" i="8" s="1"/>
  <c r="G704" i="8"/>
  <c r="I704" i="8" s="1"/>
  <c r="G696" i="8"/>
  <c r="G688" i="8"/>
  <c r="I688" i="8" s="1"/>
  <c r="G652" i="8"/>
  <c r="I652" i="8" s="1"/>
  <c r="G640" i="8"/>
  <c r="G616" i="8"/>
  <c r="G596" i="8"/>
  <c r="I596" i="8" s="1"/>
  <c r="G580" i="8"/>
  <c r="I580" i="8" s="1"/>
  <c r="G1005" i="8"/>
  <c r="G996" i="8"/>
  <c r="I996" i="8" s="1"/>
  <c r="G892" i="8"/>
  <c r="I892" i="8" s="1"/>
  <c r="G860" i="8"/>
  <c r="I860" i="8" s="1"/>
  <c r="G784" i="8"/>
  <c r="I784" i="8" s="1"/>
  <c r="G768" i="8"/>
  <c r="I768" i="8" s="1"/>
  <c r="G756" i="8"/>
  <c r="I756" i="8" s="1"/>
  <c r="G728" i="8"/>
  <c r="I728" i="8" s="1"/>
  <c r="G712" i="8"/>
  <c r="G700" i="8"/>
  <c r="I700" i="8" s="1"/>
  <c r="G692" i="8"/>
  <c r="I692" i="8" s="1"/>
  <c r="G660" i="8"/>
  <c r="I660" i="8" s="1"/>
  <c r="G656" i="8"/>
  <c r="I656" i="8" s="1"/>
  <c r="G963" i="8"/>
  <c r="I963" i="8" s="1"/>
  <c r="G923" i="8"/>
  <c r="I923" i="8" s="1"/>
  <c r="G915" i="8"/>
  <c r="I915" i="8" s="1"/>
  <c r="G827" i="8"/>
  <c r="I827" i="8" s="1"/>
  <c r="G803" i="8"/>
  <c r="I803" i="8" s="1"/>
  <c r="G795" i="8"/>
  <c r="I795" i="8" s="1"/>
  <c r="G779" i="8"/>
  <c r="G763" i="8"/>
  <c r="G759" i="8"/>
  <c r="I759" i="8" s="1"/>
  <c r="G747" i="8"/>
  <c r="I747" i="8" s="1"/>
  <c r="G743" i="8"/>
  <c r="I743" i="8" s="1"/>
  <c r="G739" i="8"/>
  <c r="G735" i="8"/>
  <c r="I735" i="8" s="1"/>
  <c r="G731" i="8"/>
  <c r="I731" i="8" s="1"/>
  <c r="G723" i="8"/>
  <c r="I723" i="8" s="1"/>
  <c r="G715" i="8"/>
  <c r="I715" i="8" s="1"/>
  <c r="G703" i="8"/>
  <c r="I703" i="8" s="1"/>
  <c r="G691" i="8"/>
  <c r="I691" i="8" s="1"/>
  <c r="G683" i="8"/>
  <c r="I683" i="8" s="1"/>
  <c r="G659" i="8"/>
  <c r="I659" i="8" s="1"/>
  <c r="G627" i="8"/>
  <c r="I627" i="8" s="1"/>
  <c r="G591" i="8"/>
  <c r="I591" i="8" s="1"/>
  <c r="G579" i="8"/>
  <c r="I579" i="8" s="1"/>
  <c r="G571" i="8"/>
  <c r="I571" i="8" s="1"/>
  <c r="G945" i="8"/>
  <c r="I945" i="8" s="1"/>
  <c r="G937" i="8"/>
  <c r="I937" i="8" s="1"/>
  <c r="G929" i="8"/>
  <c r="I929" i="8" s="1"/>
  <c r="G877" i="8"/>
  <c r="I877" i="8" s="1"/>
  <c r="G833" i="8"/>
  <c r="I833" i="8" s="1"/>
  <c r="G825" i="8"/>
  <c r="I825" i="8" s="1"/>
  <c r="G813" i="8"/>
  <c r="I813" i="8" s="1"/>
  <c r="G801" i="8"/>
  <c r="I801" i="8" s="1"/>
  <c r="G797" i="8"/>
  <c r="I797" i="8" s="1"/>
  <c r="G789" i="8"/>
  <c r="I789" i="8" s="1"/>
  <c r="G769" i="8"/>
  <c r="I769" i="8" s="1"/>
  <c r="G745" i="8"/>
  <c r="I745" i="8" s="1"/>
  <c r="G713" i="8"/>
  <c r="I713" i="8" s="1"/>
  <c r="G669" i="8"/>
  <c r="I669" i="8" s="1"/>
  <c r="G609" i="8"/>
  <c r="I609" i="8" s="1"/>
  <c r="G605" i="8"/>
  <c r="I605" i="8" s="1"/>
  <c r="G589" i="8"/>
  <c r="I589" i="8" s="1"/>
  <c r="G573" i="8"/>
  <c r="I573" i="8" s="1"/>
  <c r="G957" i="8"/>
  <c r="I957" i="8" s="1"/>
  <c r="I1028" i="8"/>
  <c r="G976" i="8"/>
  <c r="I976" i="8" s="1"/>
  <c r="G968" i="8"/>
  <c r="I968" i="8" s="1"/>
  <c r="G952" i="8"/>
  <c r="I952" i="8" s="1"/>
  <c r="G936" i="8"/>
  <c r="I936" i="8" s="1"/>
  <c r="G912" i="8"/>
  <c r="I912" i="8" s="1"/>
  <c r="G904" i="8"/>
  <c r="I904" i="8" s="1"/>
  <c r="G896" i="8"/>
  <c r="I896" i="8" s="1"/>
  <c r="G856" i="8"/>
  <c r="I856" i="8" s="1"/>
  <c r="G824" i="8"/>
  <c r="I824" i="8" s="1"/>
  <c r="G816" i="8"/>
  <c r="I816" i="8" s="1"/>
  <c r="G804" i="8"/>
  <c r="G780" i="8"/>
  <c r="I780" i="8" s="1"/>
  <c r="G772" i="8"/>
  <c r="I772" i="8" s="1"/>
  <c r="G748" i="8"/>
  <c r="I748" i="8" s="1"/>
  <c r="G624" i="8"/>
  <c r="I624" i="8" s="1"/>
  <c r="G612" i="8"/>
  <c r="I612" i="8" s="1"/>
  <c r="G600" i="8"/>
  <c r="I600" i="8" s="1"/>
  <c r="G588" i="8"/>
  <c r="I588" i="8" s="1"/>
  <c r="G576" i="8"/>
  <c r="I576" i="8" s="1"/>
  <c r="G572" i="8"/>
  <c r="I572" i="8" s="1"/>
  <c r="G568" i="8"/>
  <c r="I568" i="8" s="1"/>
  <c r="G564" i="8"/>
  <c r="I564" i="8" s="1"/>
  <c r="G699" i="8"/>
  <c r="I699" i="8" s="1"/>
  <c r="G695" i="8"/>
  <c r="I695" i="8" s="1"/>
  <c r="G687" i="8"/>
  <c r="I687" i="8" s="1"/>
  <c r="G675" i="8"/>
  <c r="I675" i="8" s="1"/>
  <c r="G671" i="8"/>
  <c r="I671" i="8" s="1"/>
  <c r="G667" i="8"/>
  <c r="I667" i="8" s="1"/>
  <c r="G663" i="8"/>
  <c r="I663" i="8" s="1"/>
  <c r="G655" i="8"/>
  <c r="I655" i="8" s="1"/>
  <c r="G651" i="8"/>
  <c r="I651" i="8" s="1"/>
  <c r="G643" i="8"/>
  <c r="I643" i="8" s="1"/>
  <c r="G639" i="8"/>
  <c r="I639" i="8" s="1"/>
  <c r="G635" i="8"/>
  <c r="I635" i="8" s="1"/>
  <c r="G631" i="8"/>
  <c r="I631" i="8" s="1"/>
  <c r="G623" i="8"/>
  <c r="I623" i="8" s="1"/>
  <c r="G615" i="8"/>
  <c r="I615" i="8" s="1"/>
  <c r="G611" i="8"/>
  <c r="I611" i="8" s="1"/>
  <c r="G607" i="8"/>
  <c r="I607" i="8" s="1"/>
  <c r="G603" i="8"/>
  <c r="I603" i="8" s="1"/>
  <c r="G599" i="8"/>
  <c r="I599" i="8" s="1"/>
  <c r="G595" i="8"/>
  <c r="I595" i="8" s="1"/>
  <c r="G587" i="8"/>
  <c r="I587" i="8" s="1"/>
  <c r="G583" i="8"/>
  <c r="I583" i="8" s="1"/>
  <c r="G575" i="8"/>
  <c r="I575" i="8" s="1"/>
  <c r="G567" i="8"/>
  <c r="I567" i="8" s="1"/>
  <c r="G563" i="8"/>
  <c r="I563" i="8" s="1"/>
  <c r="I1025" i="8"/>
  <c r="I1021" i="8"/>
  <c r="I1005" i="8"/>
  <c r="I989" i="8"/>
  <c r="I985" i="8"/>
  <c r="I981" i="8"/>
  <c r="I969" i="8"/>
  <c r="I961" i="8"/>
  <c r="I953" i="8"/>
  <c r="I941" i="8"/>
  <c r="I925" i="8"/>
  <c r="I921" i="8"/>
  <c r="I889" i="8"/>
  <c r="I869" i="8"/>
  <c r="I861" i="8"/>
  <c r="I845" i="8"/>
  <c r="I841" i="8"/>
  <c r="I837" i="8"/>
  <c r="I829" i="8"/>
  <c r="I817" i="8"/>
  <c r="I809" i="8"/>
  <c r="I785" i="8"/>
  <c r="I781" i="8"/>
  <c r="I777" i="8"/>
  <c r="I749" i="8"/>
  <c r="I725" i="8"/>
  <c r="I721" i="8"/>
  <c r="I685" i="8"/>
  <c r="I681" i="8"/>
  <c r="I637" i="8"/>
  <c r="I629" i="8"/>
  <c r="I625" i="8"/>
  <c r="I621" i="8"/>
  <c r="I617" i="8"/>
  <c r="I601" i="8"/>
  <c r="I593" i="8"/>
  <c r="I577" i="8"/>
  <c r="I569" i="8"/>
  <c r="I1027" i="8"/>
  <c r="I1023" i="8"/>
  <c r="I1019" i="8"/>
  <c r="I1015" i="8"/>
  <c r="I1011" i="8"/>
  <c r="I1003" i="8"/>
  <c r="I995" i="8"/>
  <c r="I983" i="8"/>
  <c r="I979" i="8"/>
  <c r="I975" i="8"/>
  <c r="I971" i="8"/>
  <c r="I955" i="8"/>
  <c r="I951" i="8"/>
  <c r="I947" i="8"/>
  <c r="I939" i="8"/>
  <c r="I935" i="8"/>
  <c r="I931" i="8"/>
  <c r="I919" i="8"/>
  <c r="I911" i="8"/>
  <c r="I907" i="8"/>
  <c r="I899" i="8"/>
  <c r="I891" i="8"/>
  <c r="I883" i="8"/>
  <c r="I875" i="8"/>
  <c r="I871" i="8"/>
  <c r="I823" i="8"/>
  <c r="I791" i="8"/>
  <c r="I779" i="8"/>
  <c r="I771" i="8"/>
  <c r="I767" i="8"/>
  <c r="I763" i="8"/>
  <c r="I751" i="8"/>
  <c r="I739" i="8"/>
  <c r="I727" i="8"/>
  <c r="I719" i="8"/>
  <c r="I707" i="8"/>
  <c r="I1014" i="8"/>
  <c r="I982" i="8"/>
  <c r="I966" i="8"/>
  <c r="I950" i="8"/>
  <c r="I934" i="8"/>
  <c r="I918" i="8"/>
  <c r="I902" i="8"/>
  <c r="I886" i="8"/>
  <c r="I870" i="8"/>
  <c r="I854" i="8"/>
  <c r="I838" i="8"/>
  <c r="I822" i="8"/>
  <c r="I790" i="8"/>
  <c r="I726" i="8"/>
  <c r="I710" i="8"/>
  <c r="I694" i="8"/>
  <c r="I678" i="8"/>
  <c r="I646" i="8"/>
  <c r="I638" i="8"/>
  <c r="I1026" i="8"/>
  <c r="I1018" i="8"/>
  <c r="I1010" i="8"/>
  <c r="I1002" i="8"/>
  <c r="I994" i="8"/>
  <c r="I986" i="8"/>
  <c r="I978" i="8"/>
  <c r="I970" i="8"/>
  <c r="I962" i="8"/>
  <c r="I954" i="8"/>
  <c r="I946" i="8"/>
  <c r="I938" i="8"/>
  <c r="I930" i="8"/>
  <c r="I922" i="8"/>
  <c r="I914" i="8"/>
  <c r="I906" i="8"/>
  <c r="I898" i="8"/>
  <c r="I890" i="8"/>
  <c r="I882" i="8"/>
  <c r="I874" i="8"/>
  <c r="I866" i="8"/>
  <c r="I858" i="8"/>
  <c r="I850" i="8"/>
  <c r="I842" i="8"/>
  <c r="I834" i="8"/>
  <c r="I826" i="8"/>
  <c r="I810" i="8"/>
  <c r="I802" i="8"/>
  <c r="I794" i="8"/>
  <c r="I786" i="8"/>
  <c r="I778" i="8"/>
  <c r="I770" i="8"/>
  <c r="I762" i="8"/>
  <c r="I754" i="8"/>
  <c r="I746" i="8"/>
  <c r="I738" i="8"/>
  <c r="I714" i="8"/>
  <c r="I706" i="8"/>
  <c r="I698" i="8"/>
  <c r="I682" i="8"/>
  <c r="I666" i="8"/>
  <c r="I650" i="8"/>
  <c r="I642" i="8"/>
  <c r="I634" i="8"/>
  <c r="I618" i="8"/>
  <c r="I610" i="8"/>
  <c r="I602" i="8"/>
  <c r="I594" i="8"/>
  <c r="I586" i="8"/>
  <c r="I578" i="8"/>
  <c r="I570" i="8"/>
  <c r="I674" i="8"/>
  <c r="I562" i="8"/>
  <c r="I1024" i="8"/>
  <c r="I1020" i="8"/>
  <c r="I1016" i="8"/>
  <c r="I1012" i="8"/>
  <c r="I1004" i="8"/>
  <c r="I992" i="8"/>
  <c r="I988" i="8"/>
  <c r="I984" i="8"/>
  <c r="I980" i="8"/>
  <c r="I972" i="8"/>
  <c r="I964" i="8"/>
  <c r="I960" i="8"/>
  <c r="I948" i="8"/>
  <c r="I944" i="8"/>
  <c r="I932" i="8"/>
  <c r="I924" i="8"/>
  <c r="I920" i="8"/>
  <c r="I916" i="8"/>
  <c r="I908" i="8"/>
  <c r="I900" i="8"/>
  <c r="I888" i="8"/>
  <c r="I876" i="8"/>
  <c r="I872" i="8"/>
  <c r="I868" i="8"/>
  <c r="I864" i="8"/>
  <c r="I852" i="8"/>
  <c r="I844" i="8"/>
  <c r="I840" i="8"/>
  <c r="I828" i="8"/>
  <c r="I812" i="8"/>
  <c r="I804" i="8"/>
  <c r="I800" i="8"/>
  <c r="I792" i="8"/>
  <c r="I788" i="8"/>
  <c r="I776" i="8"/>
  <c r="I764" i="8"/>
  <c r="I760" i="8"/>
  <c r="I752" i="8"/>
  <c r="I744" i="8"/>
  <c r="I740" i="8"/>
  <c r="I732" i="8"/>
  <c r="I724" i="8"/>
  <c r="I720" i="8"/>
  <c r="I716" i="8"/>
  <c r="I712" i="8"/>
  <c r="I696" i="8"/>
  <c r="I684" i="8"/>
  <c r="I680" i="8"/>
  <c r="I676" i="8"/>
  <c r="I672" i="8"/>
  <c r="I668" i="8"/>
  <c r="I664" i="8"/>
  <c r="I648" i="8"/>
  <c r="I644" i="8"/>
  <c r="I640" i="8"/>
  <c r="I636" i="8"/>
  <c r="I632" i="8"/>
  <c r="I628" i="8"/>
  <c r="I620" i="8"/>
  <c r="I616" i="8"/>
  <c r="I608" i="8"/>
  <c r="I604" i="8"/>
  <c r="I592" i="8"/>
  <c r="I584" i="8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F547" i="8" l="1"/>
  <c r="G547" i="8" s="1"/>
  <c r="F548" i="8"/>
  <c r="G548" i="8" s="1"/>
  <c r="F549" i="8"/>
  <c r="G549" i="8" s="1"/>
  <c r="F550" i="8"/>
  <c r="G550" i="8" s="1"/>
  <c r="F551" i="8"/>
  <c r="G551" i="8" s="1"/>
  <c r="F552" i="8"/>
  <c r="G552" i="8" s="1"/>
  <c r="F553" i="8"/>
  <c r="G553" i="8" s="1"/>
  <c r="F554" i="8"/>
  <c r="G554" i="8" s="1"/>
  <c r="F555" i="8"/>
  <c r="G555" i="8" s="1"/>
  <c r="F556" i="8"/>
  <c r="G556" i="8" s="1"/>
  <c r="F557" i="8"/>
  <c r="G557" i="8" s="1"/>
  <c r="F558" i="8"/>
  <c r="G558" i="8" s="1"/>
  <c r="F559" i="8"/>
  <c r="G559" i="8" s="1"/>
  <c r="F560" i="8"/>
  <c r="G560" i="8" s="1"/>
  <c r="F561" i="8"/>
  <c r="G561" i="8" s="1"/>
  <c r="F407" i="8"/>
  <c r="G407" i="8" s="1"/>
  <c r="F408" i="8"/>
  <c r="G408" i="8" s="1"/>
  <c r="F409" i="8"/>
  <c r="G409" i="8" s="1"/>
  <c r="F410" i="8"/>
  <c r="G410" i="8" s="1"/>
  <c r="F411" i="8"/>
  <c r="G411" i="8" s="1"/>
  <c r="F412" i="8"/>
  <c r="G412" i="8" s="1"/>
  <c r="F413" i="8"/>
  <c r="G413" i="8" s="1"/>
  <c r="F414" i="8"/>
  <c r="G414" i="8" s="1"/>
  <c r="F415" i="8"/>
  <c r="G415" i="8" s="1"/>
  <c r="F416" i="8"/>
  <c r="G416" i="8" s="1"/>
  <c r="F417" i="8"/>
  <c r="G417" i="8" s="1"/>
  <c r="F418" i="8"/>
  <c r="G418" i="8" s="1"/>
  <c r="F419" i="8"/>
  <c r="G419" i="8" s="1"/>
  <c r="F420" i="8"/>
  <c r="G420" i="8" s="1"/>
  <c r="F421" i="8"/>
  <c r="G421" i="8" s="1"/>
  <c r="F422" i="8"/>
  <c r="G422" i="8" s="1"/>
  <c r="F423" i="8"/>
  <c r="G423" i="8" s="1"/>
  <c r="F424" i="8"/>
  <c r="G424" i="8" s="1"/>
  <c r="F425" i="8"/>
  <c r="G425" i="8" s="1"/>
  <c r="F426" i="8"/>
  <c r="G426" i="8" s="1"/>
  <c r="F427" i="8"/>
  <c r="G427" i="8" s="1"/>
  <c r="F428" i="8"/>
  <c r="G428" i="8" s="1"/>
  <c r="F429" i="8"/>
  <c r="G429" i="8" s="1"/>
  <c r="F430" i="8"/>
  <c r="G430" i="8" s="1"/>
  <c r="F431" i="8"/>
  <c r="G431" i="8" s="1"/>
  <c r="F432" i="8"/>
  <c r="G432" i="8" s="1"/>
  <c r="F433" i="8"/>
  <c r="G433" i="8" s="1"/>
  <c r="F434" i="8"/>
  <c r="G434" i="8" s="1"/>
  <c r="F435" i="8"/>
  <c r="G435" i="8" s="1"/>
  <c r="F436" i="8"/>
  <c r="G436" i="8" s="1"/>
  <c r="F437" i="8"/>
  <c r="G437" i="8" s="1"/>
  <c r="F438" i="8"/>
  <c r="G438" i="8" s="1"/>
  <c r="F439" i="8"/>
  <c r="G439" i="8" s="1"/>
  <c r="F440" i="8"/>
  <c r="G440" i="8" s="1"/>
  <c r="F441" i="8"/>
  <c r="G441" i="8" s="1"/>
  <c r="F442" i="8"/>
  <c r="G442" i="8" s="1"/>
  <c r="F443" i="8"/>
  <c r="G443" i="8" s="1"/>
  <c r="F444" i="8"/>
  <c r="G444" i="8" s="1"/>
  <c r="F445" i="8"/>
  <c r="G445" i="8" s="1"/>
  <c r="F446" i="8"/>
  <c r="G446" i="8" s="1"/>
  <c r="F447" i="8"/>
  <c r="G447" i="8" s="1"/>
  <c r="F448" i="8"/>
  <c r="G448" i="8" s="1"/>
  <c r="F449" i="8"/>
  <c r="G449" i="8" s="1"/>
  <c r="F450" i="8"/>
  <c r="G450" i="8" s="1"/>
  <c r="F451" i="8"/>
  <c r="G451" i="8" s="1"/>
  <c r="F452" i="8"/>
  <c r="G452" i="8" s="1"/>
  <c r="F453" i="8"/>
  <c r="G453" i="8" s="1"/>
  <c r="F454" i="8"/>
  <c r="G454" i="8" s="1"/>
  <c r="F455" i="8"/>
  <c r="G455" i="8" s="1"/>
  <c r="F456" i="8"/>
  <c r="G456" i="8" s="1"/>
  <c r="F457" i="8"/>
  <c r="G457" i="8" s="1"/>
  <c r="F458" i="8"/>
  <c r="G458" i="8" s="1"/>
  <c r="F459" i="8"/>
  <c r="G459" i="8" s="1"/>
  <c r="F460" i="8"/>
  <c r="G460" i="8" s="1"/>
  <c r="F461" i="8"/>
  <c r="G461" i="8" s="1"/>
  <c r="F462" i="8"/>
  <c r="G462" i="8" s="1"/>
  <c r="F463" i="8"/>
  <c r="G463" i="8" s="1"/>
  <c r="F464" i="8"/>
  <c r="G464" i="8" s="1"/>
  <c r="F465" i="8"/>
  <c r="G465" i="8" s="1"/>
  <c r="F466" i="8"/>
  <c r="G466" i="8" s="1"/>
  <c r="F467" i="8"/>
  <c r="G467" i="8" s="1"/>
  <c r="F468" i="8"/>
  <c r="G468" i="8" s="1"/>
  <c r="F469" i="8"/>
  <c r="G469" i="8" s="1"/>
  <c r="F470" i="8"/>
  <c r="G470" i="8" s="1"/>
  <c r="F471" i="8"/>
  <c r="G471" i="8" s="1"/>
  <c r="F472" i="8"/>
  <c r="G472" i="8" s="1"/>
  <c r="F473" i="8"/>
  <c r="G473" i="8" s="1"/>
  <c r="F474" i="8"/>
  <c r="G474" i="8" s="1"/>
  <c r="F475" i="8"/>
  <c r="G475" i="8" s="1"/>
  <c r="F476" i="8"/>
  <c r="G476" i="8" s="1"/>
  <c r="F477" i="8"/>
  <c r="G477" i="8" s="1"/>
  <c r="F478" i="8"/>
  <c r="G478" i="8" s="1"/>
  <c r="F479" i="8"/>
  <c r="G479" i="8" s="1"/>
  <c r="F480" i="8"/>
  <c r="G480" i="8" s="1"/>
  <c r="F481" i="8"/>
  <c r="G481" i="8" s="1"/>
  <c r="F482" i="8"/>
  <c r="G482" i="8" s="1"/>
  <c r="F483" i="8"/>
  <c r="G483" i="8" s="1"/>
  <c r="F484" i="8"/>
  <c r="G484" i="8" s="1"/>
  <c r="F485" i="8"/>
  <c r="G485" i="8" s="1"/>
  <c r="F486" i="8"/>
  <c r="G486" i="8" s="1"/>
  <c r="F487" i="8"/>
  <c r="G487" i="8" s="1"/>
  <c r="F488" i="8"/>
  <c r="G488" i="8" s="1"/>
  <c r="F489" i="8"/>
  <c r="G489" i="8" s="1"/>
  <c r="F490" i="8"/>
  <c r="G490" i="8" s="1"/>
  <c r="F491" i="8"/>
  <c r="G491" i="8" s="1"/>
  <c r="F492" i="8"/>
  <c r="G492" i="8" s="1"/>
  <c r="F493" i="8"/>
  <c r="G493" i="8" s="1"/>
  <c r="F494" i="8"/>
  <c r="G494" i="8" s="1"/>
  <c r="F495" i="8"/>
  <c r="G495" i="8" s="1"/>
  <c r="F496" i="8"/>
  <c r="G496" i="8" s="1"/>
  <c r="F497" i="8"/>
  <c r="G497" i="8" s="1"/>
  <c r="F498" i="8"/>
  <c r="G498" i="8" s="1"/>
  <c r="F499" i="8"/>
  <c r="G499" i="8" s="1"/>
  <c r="F500" i="8"/>
  <c r="G500" i="8" s="1"/>
  <c r="F501" i="8"/>
  <c r="G501" i="8" s="1"/>
  <c r="F502" i="8"/>
  <c r="G502" i="8" s="1"/>
  <c r="F503" i="8"/>
  <c r="G503" i="8" s="1"/>
  <c r="F504" i="8"/>
  <c r="G504" i="8" s="1"/>
  <c r="F505" i="8"/>
  <c r="G505" i="8" s="1"/>
  <c r="F506" i="8"/>
  <c r="G506" i="8" s="1"/>
  <c r="F507" i="8"/>
  <c r="G507" i="8" s="1"/>
  <c r="F508" i="8"/>
  <c r="G508" i="8" s="1"/>
  <c r="F509" i="8"/>
  <c r="G509" i="8" s="1"/>
  <c r="F510" i="8"/>
  <c r="G510" i="8" s="1"/>
  <c r="F511" i="8"/>
  <c r="G511" i="8" s="1"/>
  <c r="F512" i="8"/>
  <c r="G512" i="8" s="1"/>
  <c r="F513" i="8"/>
  <c r="G513" i="8" s="1"/>
  <c r="F514" i="8"/>
  <c r="G514" i="8" s="1"/>
  <c r="F515" i="8"/>
  <c r="G515" i="8" s="1"/>
  <c r="F516" i="8"/>
  <c r="G516" i="8" s="1"/>
  <c r="F517" i="8"/>
  <c r="G517" i="8" s="1"/>
  <c r="F518" i="8"/>
  <c r="G518" i="8" s="1"/>
  <c r="F519" i="8"/>
  <c r="G519" i="8" s="1"/>
  <c r="F520" i="8"/>
  <c r="G520" i="8" s="1"/>
  <c r="F521" i="8"/>
  <c r="G521" i="8" s="1"/>
  <c r="F522" i="8"/>
  <c r="G522" i="8" s="1"/>
  <c r="F523" i="8"/>
  <c r="G523" i="8" s="1"/>
  <c r="F524" i="8"/>
  <c r="G524" i="8" s="1"/>
  <c r="F525" i="8"/>
  <c r="G525" i="8" s="1"/>
  <c r="F526" i="8"/>
  <c r="G526" i="8" s="1"/>
  <c r="F527" i="8"/>
  <c r="G527" i="8" s="1"/>
  <c r="F528" i="8"/>
  <c r="G528" i="8" s="1"/>
  <c r="F529" i="8"/>
  <c r="G529" i="8" s="1"/>
  <c r="F530" i="8"/>
  <c r="G530" i="8" s="1"/>
  <c r="F531" i="8"/>
  <c r="G531" i="8" s="1"/>
  <c r="F532" i="8"/>
  <c r="G532" i="8" s="1"/>
  <c r="F533" i="8"/>
  <c r="G533" i="8" s="1"/>
  <c r="F534" i="8"/>
  <c r="G534" i="8" s="1"/>
  <c r="F535" i="8"/>
  <c r="G535" i="8" s="1"/>
  <c r="F536" i="8"/>
  <c r="G536" i="8" s="1"/>
  <c r="F537" i="8"/>
  <c r="G537" i="8" s="1"/>
  <c r="F538" i="8"/>
  <c r="G538" i="8" s="1"/>
  <c r="F539" i="8"/>
  <c r="G539" i="8" s="1"/>
  <c r="F540" i="8"/>
  <c r="G540" i="8" s="1"/>
  <c r="F541" i="8"/>
  <c r="G541" i="8" s="1"/>
  <c r="F542" i="8"/>
  <c r="G542" i="8" s="1"/>
  <c r="F543" i="8"/>
  <c r="G543" i="8" s="1"/>
  <c r="F544" i="8"/>
  <c r="G544" i="8" s="1"/>
  <c r="F545" i="8"/>
  <c r="G545" i="8" s="1"/>
  <c r="F546" i="8"/>
  <c r="G546" i="8" s="1"/>
  <c r="I546" i="8" l="1"/>
  <c r="I538" i="8"/>
  <c r="I530" i="8"/>
  <c r="I522" i="8"/>
  <c r="I514" i="8"/>
  <c r="I506" i="8"/>
  <c r="I498" i="8"/>
  <c r="I490" i="8"/>
  <c r="I482" i="8"/>
  <c r="I474" i="8"/>
  <c r="I462" i="8"/>
  <c r="I458" i="8"/>
  <c r="I446" i="8"/>
  <c r="I442" i="8"/>
  <c r="I430" i="8"/>
  <c r="I422" i="8"/>
  <c r="I414" i="8"/>
  <c r="I557" i="8"/>
  <c r="I545" i="8"/>
  <c r="I541" i="8"/>
  <c r="I529" i="8"/>
  <c r="I525" i="8"/>
  <c r="I513" i="8"/>
  <c r="I509" i="8"/>
  <c r="I540" i="8"/>
  <c r="I536" i="8"/>
  <c r="I528" i="8"/>
  <c r="I520" i="8"/>
  <c r="I516" i="8"/>
  <c r="I508" i="8"/>
  <c r="I504" i="8"/>
  <c r="I496" i="8"/>
  <c r="I488" i="8"/>
  <c r="I484" i="8"/>
  <c r="I543" i="8"/>
  <c r="I539" i="8"/>
  <c r="I535" i="8"/>
  <c r="I531" i="8"/>
  <c r="I527" i="8"/>
  <c r="I523" i="8"/>
  <c r="I519" i="8"/>
  <c r="I515" i="8"/>
  <c r="I511" i="8"/>
  <c r="I507" i="8"/>
  <c r="I503" i="8"/>
  <c r="I499" i="8"/>
  <c r="I495" i="8"/>
  <c r="I491" i="8"/>
  <c r="I487" i="8"/>
  <c r="I483" i="8"/>
  <c r="I479" i="8"/>
  <c r="I475" i="8"/>
  <c r="I471" i="8"/>
  <c r="I467" i="8"/>
  <c r="I463" i="8"/>
  <c r="I459" i="8"/>
  <c r="I455" i="8"/>
  <c r="I451" i="8"/>
  <c r="I447" i="8"/>
  <c r="I443" i="8"/>
  <c r="I439" i="8"/>
  <c r="I435" i="8"/>
  <c r="I431" i="8"/>
  <c r="I427" i="8"/>
  <c r="I423" i="8"/>
  <c r="I419" i="8"/>
  <c r="I415" i="8"/>
  <c r="I411" i="8"/>
  <c r="I407" i="8"/>
  <c r="I558" i="8"/>
  <c r="I554" i="8"/>
  <c r="I550" i="8"/>
  <c r="I534" i="8"/>
  <c r="I518" i="8"/>
  <c r="I502" i="8"/>
  <c r="I486" i="8"/>
  <c r="I470" i="8"/>
  <c r="I454" i="8"/>
  <c r="I438" i="8"/>
  <c r="I426" i="8"/>
  <c r="I410" i="8"/>
  <c r="I553" i="8"/>
  <c r="I533" i="8"/>
  <c r="I517" i="8"/>
  <c r="I505" i="8"/>
  <c r="I501" i="8"/>
  <c r="I497" i="8"/>
  <c r="I493" i="8"/>
  <c r="I489" i="8"/>
  <c r="I485" i="8"/>
  <c r="I481" i="8"/>
  <c r="I477" i="8"/>
  <c r="I473" i="8"/>
  <c r="I469" i="8"/>
  <c r="I465" i="8"/>
  <c r="I461" i="8"/>
  <c r="I457" i="8"/>
  <c r="I453" i="8"/>
  <c r="I449" i="8"/>
  <c r="I445" i="8"/>
  <c r="I441" i="8"/>
  <c r="I437" i="8"/>
  <c r="I433" i="8"/>
  <c r="I429" i="8"/>
  <c r="I425" i="8"/>
  <c r="I421" i="8"/>
  <c r="I417" i="8"/>
  <c r="I413" i="8"/>
  <c r="I409" i="8"/>
  <c r="I560" i="8"/>
  <c r="I556" i="8"/>
  <c r="I552" i="8"/>
  <c r="I548" i="8"/>
  <c r="I542" i="8"/>
  <c r="I526" i="8"/>
  <c r="I510" i="8"/>
  <c r="I494" i="8"/>
  <c r="I478" i="8"/>
  <c r="I466" i="8"/>
  <c r="I450" i="8"/>
  <c r="I434" i="8"/>
  <c r="I418" i="8"/>
  <c r="I561" i="8"/>
  <c r="I549" i="8"/>
  <c r="I537" i="8"/>
  <c r="I521" i="8"/>
  <c r="I544" i="8"/>
  <c r="I532" i="8"/>
  <c r="I524" i="8"/>
  <c r="I512" i="8"/>
  <c r="I500" i="8"/>
  <c r="I492" i="8"/>
  <c r="I480" i="8"/>
  <c r="I476" i="8"/>
  <c r="I472" i="8"/>
  <c r="I468" i="8"/>
  <c r="I464" i="8"/>
  <c r="I460" i="8"/>
  <c r="I456" i="8"/>
  <c r="I452" i="8"/>
  <c r="I448" i="8"/>
  <c r="I444" i="8"/>
  <c r="I440" i="8"/>
  <c r="I436" i="8"/>
  <c r="I432" i="8"/>
  <c r="I428" i="8"/>
  <c r="I424" i="8"/>
  <c r="I420" i="8"/>
  <c r="I416" i="8"/>
  <c r="I412" i="8"/>
  <c r="I408" i="8"/>
  <c r="I559" i="8"/>
  <c r="I555" i="8"/>
  <c r="I551" i="8"/>
  <c r="I547" i="8"/>
  <c r="G27" i="1"/>
  <c r="H27" i="1"/>
  <c r="G28" i="1"/>
  <c r="G29" i="1"/>
  <c r="H1720" i="8"/>
  <c r="H1716" i="8"/>
  <c r="H1713" i="8"/>
  <c r="H1712" i="8"/>
  <c r="H1710" i="8"/>
  <c r="H1688" i="8"/>
  <c r="H1687" i="8"/>
  <c r="H1663" i="8"/>
  <c r="H1658" i="8"/>
  <c r="H1657" i="8"/>
  <c r="H1656" i="8"/>
  <c r="H1655" i="8"/>
  <c r="H1653" i="8"/>
  <c r="H1652" i="8"/>
  <c r="H1649" i="8"/>
  <c r="H1636" i="8"/>
  <c r="H1633" i="8"/>
  <c r="H1628" i="8"/>
  <c r="H1627" i="8"/>
  <c r="H1622" i="8"/>
  <c r="H1619" i="8"/>
  <c r="H1616" i="8"/>
  <c r="H1607" i="8"/>
  <c r="H1604" i="8"/>
  <c r="H1601" i="8"/>
  <c r="H1588" i="8"/>
  <c r="H1585" i="8"/>
  <c r="H1541" i="8"/>
  <c r="H1537" i="8"/>
  <c r="H1536" i="8"/>
  <c r="H1534" i="8"/>
  <c r="H1533" i="8"/>
  <c r="H1522" i="8"/>
  <c r="H1509" i="8"/>
  <c r="H1508" i="8"/>
  <c r="H1507" i="8"/>
  <c r="H1504" i="8"/>
  <c r="H1503" i="8"/>
  <c r="H1502" i="8"/>
  <c r="H1501" i="8"/>
  <c r="H1391" i="8"/>
  <c r="H1390" i="8"/>
  <c r="H1389" i="8"/>
  <c r="H1386" i="8"/>
  <c r="H1385" i="8"/>
  <c r="H1384" i="8"/>
  <c r="H1383" i="8"/>
  <c r="H1381" i="8"/>
  <c r="H1271" i="8"/>
  <c r="H1270" i="8"/>
  <c r="H1269" i="8"/>
  <c r="H1268" i="8"/>
  <c r="H1261" i="8"/>
  <c r="H1260" i="8"/>
  <c r="H1259" i="8"/>
  <c r="H1258" i="8"/>
  <c r="H1257" i="8"/>
  <c r="H1256" i="8"/>
  <c r="H1255" i="8"/>
  <c r="H1254" i="8"/>
  <c r="H1253" i="8"/>
  <c r="H1252" i="8"/>
  <c r="H1230" i="8"/>
  <c r="H1229" i="8"/>
  <c r="H1228" i="8"/>
  <c r="H1227" i="8"/>
  <c r="H1226" i="8"/>
  <c r="H1225" i="8"/>
  <c r="H1224" i="8"/>
  <c r="H1223" i="8"/>
  <c r="H1218" i="8"/>
  <c r="H1217" i="8"/>
  <c r="H1215" i="8"/>
  <c r="H1214" i="8"/>
  <c r="H1211" i="8"/>
  <c r="H1210" i="8"/>
  <c r="H1209" i="8"/>
  <c r="H1208" i="8"/>
  <c r="H1207" i="8"/>
  <c r="H1205" i="8"/>
  <c r="H1200" i="8"/>
  <c r="H1199" i="8"/>
  <c r="H1198" i="8"/>
  <c r="H1197" i="8"/>
  <c r="H1196" i="8"/>
  <c r="H1195" i="8"/>
  <c r="H1194" i="8"/>
  <c r="H1192" i="8"/>
  <c r="H1191" i="8"/>
  <c r="H1188" i="8"/>
  <c r="H1187" i="8"/>
  <c r="H1186" i="8"/>
  <c r="I1183" i="8"/>
  <c r="I1184" i="8"/>
  <c r="I1185" i="8"/>
  <c r="I1186" i="8"/>
  <c r="I1187" i="8"/>
  <c r="I1188" i="8"/>
  <c r="I1189" i="8"/>
  <c r="I1190" i="8"/>
  <c r="I1191" i="8"/>
  <c r="I1192" i="8"/>
  <c r="I1193" i="8"/>
  <c r="I1194" i="8"/>
  <c r="I1195" i="8"/>
  <c r="I1196" i="8"/>
  <c r="I1197" i="8"/>
  <c r="I1198" i="8"/>
  <c r="I1199" i="8"/>
  <c r="I1200" i="8"/>
  <c r="I1201" i="8"/>
  <c r="I1202" i="8"/>
  <c r="I1203" i="8"/>
  <c r="I1204" i="8"/>
  <c r="I1205" i="8"/>
  <c r="I1206" i="8"/>
  <c r="I1207" i="8"/>
  <c r="I1208" i="8"/>
  <c r="I1209" i="8"/>
  <c r="I1210" i="8"/>
  <c r="I1211" i="8"/>
  <c r="I1212" i="8"/>
  <c r="I1213" i="8"/>
  <c r="I1214" i="8"/>
  <c r="I1215" i="8"/>
  <c r="I1216" i="8"/>
  <c r="I1217" i="8"/>
  <c r="I1218" i="8"/>
  <c r="I1219" i="8"/>
  <c r="I1220" i="8"/>
  <c r="I1221" i="8"/>
  <c r="I1222" i="8"/>
  <c r="I1223" i="8"/>
  <c r="I1224" i="8"/>
  <c r="I1225" i="8"/>
  <c r="I1226" i="8"/>
  <c r="I1227" i="8"/>
  <c r="I1228" i="8"/>
  <c r="I1229" i="8"/>
  <c r="I1230" i="8"/>
  <c r="I1231" i="8"/>
  <c r="I1232" i="8"/>
  <c r="I1233" i="8"/>
  <c r="I1234" i="8"/>
  <c r="I1235" i="8"/>
  <c r="I1236" i="8"/>
  <c r="I1237" i="8"/>
  <c r="I1238" i="8"/>
  <c r="I1239" i="8"/>
  <c r="I1240" i="8"/>
  <c r="I1241" i="8"/>
  <c r="I1242" i="8"/>
  <c r="I1243" i="8"/>
  <c r="I1244" i="8"/>
  <c r="I1245" i="8"/>
  <c r="I1246" i="8"/>
  <c r="I1247" i="8"/>
  <c r="I1248" i="8"/>
  <c r="I1249" i="8"/>
  <c r="I1250" i="8"/>
  <c r="I1251" i="8"/>
  <c r="I1252" i="8"/>
  <c r="I1253" i="8"/>
  <c r="I1254" i="8"/>
  <c r="I1255" i="8"/>
  <c r="I1256" i="8"/>
  <c r="I1257" i="8"/>
  <c r="I1258" i="8"/>
  <c r="I1259" i="8"/>
  <c r="I1260" i="8"/>
  <c r="I1261" i="8"/>
  <c r="I1262" i="8"/>
  <c r="I1263" i="8"/>
  <c r="I1264" i="8"/>
  <c r="I1265" i="8"/>
  <c r="I1266" i="8"/>
  <c r="I1267" i="8"/>
  <c r="I1268" i="8"/>
  <c r="I1269" i="8"/>
  <c r="I1270" i="8"/>
  <c r="I1271" i="8"/>
  <c r="I1272" i="8"/>
  <c r="I1273" i="8"/>
  <c r="I1274" i="8"/>
  <c r="I1275" i="8"/>
  <c r="I1276" i="8"/>
  <c r="I1277" i="8"/>
  <c r="I1278" i="8"/>
  <c r="I1279" i="8"/>
  <c r="I1280" i="8"/>
  <c r="I1281" i="8"/>
  <c r="I1282" i="8"/>
  <c r="I1283" i="8"/>
  <c r="I1284" i="8"/>
  <c r="I1285" i="8"/>
  <c r="I1286" i="8"/>
  <c r="I1287" i="8"/>
  <c r="I1288" i="8"/>
  <c r="I1289" i="8"/>
  <c r="I1290" i="8"/>
  <c r="I1291" i="8"/>
  <c r="I1292" i="8"/>
  <c r="I1293" i="8"/>
  <c r="I1294" i="8"/>
  <c r="I1295" i="8"/>
  <c r="I1296" i="8"/>
  <c r="I1297" i="8"/>
  <c r="I1298" i="8"/>
  <c r="I1299" i="8"/>
  <c r="I1300" i="8"/>
  <c r="I1301" i="8"/>
  <c r="I1302" i="8"/>
  <c r="I1303" i="8"/>
  <c r="I1304" i="8"/>
  <c r="I1305" i="8"/>
  <c r="I1306" i="8"/>
  <c r="I1307" i="8"/>
  <c r="I1308" i="8"/>
  <c r="I1309" i="8"/>
  <c r="I1310" i="8"/>
  <c r="I1311" i="8"/>
  <c r="I1312" i="8"/>
  <c r="I1313" i="8"/>
  <c r="I1314" i="8"/>
  <c r="I1315" i="8"/>
  <c r="I1316" i="8"/>
  <c r="I1317" i="8"/>
  <c r="I1318" i="8"/>
  <c r="I1319" i="8"/>
  <c r="I1320" i="8"/>
  <c r="I1321" i="8"/>
  <c r="I1322" i="8"/>
  <c r="I1323" i="8"/>
  <c r="I1324" i="8"/>
  <c r="I1325" i="8"/>
  <c r="I1326" i="8"/>
  <c r="I1327" i="8"/>
  <c r="I1328" i="8"/>
  <c r="I1329" i="8"/>
  <c r="I1330" i="8"/>
  <c r="I1331" i="8"/>
  <c r="I1332" i="8"/>
  <c r="I1333" i="8"/>
  <c r="I1334" i="8"/>
  <c r="I1335" i="8"/>
  <c r="I1336" i="8"/>
  <c r="I1337" i="8"/>
  <c r="I1338" i="8"/>
  <c r="I1339" i="8"/>
  <c r="I1340" i="8"/>
  <c r="I1341" i="8"/>
  <c r="I1342" i="8"/>
  <c r="I1343" i="8"/>
  <c r="I1344" i="8"/>
  <c r="I1345" i="8"/>
  <c r="I1346" i="8"/>
  <c r="I1347" i="8"/>
  <c r="I1348" i="8"/>
  <c r="I1349" i="8"/>
  <c r="I1350" i="8"/>
  <c r="I1351" i="8"/>
  <c r="I1352" i="8"/>
  <c r="I1353" i="8"/>
  <c r="I1354" i="8"/>
  <c r="I1355" i="8"/>
  <c r="I1356" i="8"/>
  <c r="I1357" i="8"/>
  <c r="I1358" i="8"/>
  <c r="I1359" i="8"/>
  <c r="I1360" i="8"/>
  <c r="I1361" i="8"/>
  <c r="I1362" i="8"/>
  <c r="I1363" i="8"/>
  <c r="I1364" i="8"/>
  <c r="I1365" i="8"/>
  <c r="I1366" i="8"/>
  <c r="I1367" i="8"/>
  <c r="I1368" i="8"/>
  <c r="I1369" i="8"/>
  <c r="I1370" i="8"/>
  <c r="I1371" i="8"/>
  <c r="I1372" i="8"/>
  <c r="I1373" i="8"/>
  <c r="I1374" i="8"/>
  <c r="I1375" i="8"/>
  <c r="I1376" i="8"/>
  <c r="I1377" i="8"/>
  <c r="I1378" i="8"/>
  <c r="I1379" i="8"/>
  <c r="I1380" i="8"/>
  <c r="I1381" i="8"/>
  <c r="I1382" i="8"/>
  <c r="I1383" i="8"/>
  <c r="I1384" i="8"/>
  <c r="I1385" i="8"/>
  <c r="I1386" i="8"/>
  <c r="I1387" i="8"/>
  <c r="I1388" i="8"/>
  <c r="I1389" i="8"/>
  <c r="I1390" i="8"/>
  <c r="I1391" i="8"/>
  <c r="I1392" i="8"/>
  <c r="I1393" i="8"/>
  <c r="I1394" i="8"/>
  <c r="I1395" i="8"/>
  <c r="I1396" i="8"/>
  <c r="I1397" i="8"/>
  <c r="I1398" i="8"/>
  <c r="I1399" i="8"/>
  <c r="I1400" i="8"/>
  <c r="I1401" i="8"/>
  <c r="I1402" i="8"/>
  <c r="I1403" i="8"/>
  <c r="I1404" i="8"/>
  <c r="I1405" i="8"/>
  <c r="I1406" i="8"/>
  <c r="I1407" i="8"/>
  <c r="I1408" i="8"/>
  <c r="I1409" i="8"/>
  <c r="I1410" i="8"/>
  <c r="I1411" i="8"/>
  <c r="I1412" i="8"/>
  <c r="I1413" i="8"/>
  <c r="I1414" i="8"/>
  <c r="I1415" i="8"/>
  <c r="I1416" i="8"/>
  <c r="I1417" i="8"/>
  <c r="I1418" i="8"/>
  <c r="I1419" i="8"/>
  <c r="I1420" i="8"/>
  <c r="I1421" i="8"/>
  <c r="I1422" i="8"/>
  <c r="I1423" i="8"/>
  <c r="I1424" i="8"/>
  <c r="I1425" i="8"/>
  <c r="I1426" i="8"/>
  <c r="I1427" i="8"/>
  <c r="I1428" i="8"/>
  <c r="I1429" i="8"/>
  <c r="I1430" i="8"/>
  <c r="I1431" i="8"/>
  <c r="I1432" i="8"/>
  <c r="I1433" i="8"/>
  <c r="I1434" i="8"/>
  <c r="I1435" i="8"/>
  <c r="I1436" i="8"/>
  <c r="I1437" i="8"/>
  <c r="I1438" i="8"/>
  <c r="I1439" i="8"/>
  <c r="I1440" i="8"/>
  <c r="I1441" i="8"/>
  <c r="I1442" i="8"/>
  <c r="I1443" i="8"/>
  <c r="I1444" i="8"/>
  <c r="I1445" i="8"/>
  <c r="I1446" i="8"/>
  <c r="I1447" i="8"/>
  <c r="I1448" i="8"/>
  <c r="I1449" i="8"/>
  <c r="I1450" i="8"/>
  <c r="I1451" i="8"/>
  <c r="I1452" i="8"/>
  <c r="I1453" i="8"/>
  <c r="I1454" i="8"/>
  <c r="I1455" i="8"/>
  <c r="I1456" i="8"/>
  <c r="I1457" i="8"/>
  <c r="I1458" i="8"/>
  <c r="I1459" i="8"/>
  <c r="I1460" i="8"/>
  <c r="I1461" i="8"/>
  <c r="I1462" i="8"/>
  <c r="I1463" i="8"/>
  <c r="I1464" i="8"/>
  <c r="I1465" i="8"/>
  <c r="I1466" i="8"/>
  <c r="I1467" i="8"/>
  <c r="I1468" i="8"/>
  <c r="I1469" i="8"/>
  <c r="I1470" i="8"/>
  <c r="I1471" i="8"/>
  <c r="I1472" i="8"/>
  <c r="I1473" i="8"/>
  <c r="I1474" i="8"/>
  <c r="I1475" i="8"/>
  <c r="I1476" i="8"/>
  <c r="I1477" i="8"/>
  <c r="I1478" i="8"/>
  <c r="I1479" i="8"/>
  <c r="I1480" i="8"/>
  <c r="I1481" i="8"/>
  <c r="I1482" i="8"/>
  <c r="I1483" i="8"/>
  <c r="I1484" i="8"/>
  <c r="I1485" i="8"/>
  <c r="I1486" i="8"/>
  <c r="I1487" i="8"/>
  <c r="I1488" i="8"/>
  <c r="I1489" i="8"/>
  <c r="I1490" i="8"/>
  <c r="I1491" i="8"/>
  <c r="I1492" i="8"/>
  <c r="I1493" i="8"/>
  <c r="I1494" i="8"/>
  <c r="I1495" i="8"/>
  <c r="I1496" i="8"/>
  <c r="I1497" i="8"/>
  <c r="I1498" i="8"/>
  <c r="I1499" i="8"/>
  <c r="I1500" i="8"/>
  <c r="I1501" i="8"/>
  <c r="I1502" i="8"/>
  <c r="I1503" i="8"/>
  <c r="I1504" i="8"/>
  <c r="I1505" i="8"/>
  <c r="I1506" i="8"/>
  <c r="I1507" i="8"/>
  <c r="I1508" i="8"/>
  <c r="I1509" i="8"/>
  <c r="I1510" i="8"/>
  <c r="I1511" i="8"/>
  <c r="I1512" i="8"/>
  <c r="I1513" i="8"/>
  <c r="I1514" i="8"/>
  <c r="I1515" i="8"/>
  <c r="I1516" i="8"/>
  <c r="I1517" i="8"/>
  <c r="I1518" i="8"/>
  <c r="I1519" i="8"/>
  <c r="I1520" i="8"/>
  <c r="I1521" i="8"/>
  <c r="I1522" i="8"/>
  <c r="I1523" i="8"/>
  <c r="I1524" i="8"/>
  <c r="I1525" i="8"/>
  <c r="I1526" i="8"/>
  <c r="I1527" i="8"/>
  <c r="I1528" i="8"/>
  <c r="I1529" i="8"/>
  <c r="I1530" i="8"/>
  <c r="I1531" i="8"/>
  <c r="I1532" i="8"/>
  <c r="I1533" i="8"/>
  <c r="I1534" i="8"/>
  <c r="I1535" i="8"/>
  <c r="I1536" i="8"/>
  <c r="I1537" i="8"/>
  <c r="I1538" i="8"/>
  <c r="I1539" i="8"/>
  <c r="I1540" i="8"/>
  <c r="I1541" i="8"/>
  <c r="I1542" i="8"/>
  <c r="I1543" i="8"/>
  <c r="I1544" i="8"/>
  <c r="I1545" i="8"/>
  <c r="I1546" i="8"/>
  <c r="I1547" i="8"/>
  <c r="I1548" i="8"/>
  <c r="I1549" i="8"/>
  <c r="I1550" i="8"/>
  <c r="I1551" i="8"/>
  <c r="I1552" i="8"/>
  <c r="I1553" i="8"/>
  <c r="I1554" i="8"/>
  <c r="I1555" i="8"/>
  <c r="I1556" i="8"/>
  <c r="I1557" i="8"/>
  <c r="I1558" i="8"/>
  <c r="I1559" i="8"/>
  <c r="I1560" i="8"/>
  <c r="I1561" i="8"/>
  <c r="I1562" i="8"/>
  <c r="I1563" i="8"/>
  <c r="I1564" i="8"/>
  <c r="I1565" i="8"/>
  <c r="I1566" i="8"/>
  <c r="I1567" i="8"/>
  <c r="I1568" i="8"/>
  <c r="I1569" i="8"/>
  <c r="I1570" i="8"/>
  <c r="I1571" i="8"/>
  <c r="I1572" i="8"/>
  <c r="I1573" i="8"/>
  <c r="I1574" i="8"/>
  <c r="I1575" i="8"/>
  <c r="I1576" i="8"/>
  <c r="I1577" i="8"/>
  <c r="I1578" i="8"/>
  <c r="I1579" i="8"/>
  <c r="I1580" i="8"/>
  <c r="I1581" i="8"/>
  <c r="I1582" i="8"/>
  <c r="I1583" i="8"/>
  <c r="I1584" i="8"/>
  <c r="I1585" i="8"/>
  <c r="I1586" i="8"/>
  <c r="I1587" i="8"/>
  <c r="I1588" i="8"/>
  <c r="I1589" i="8"/>
  <c r="I1590" i="8"/>
  <c r="I1591" i="8"/>
  <c r="I1592" i="8"/>
  <c r="I1593" i="8"/>
  <c r="I1594" i="8"/>
  <c r="I1595" i="8"/>
  <c r="I1596" i="8"/>
  <c r="I1597" i="8"/>
  <c r="I1598" i="8"/>
  <c r="I1599" i="8"/>
  <c r="I1600" i="8"/>
  <c r="I1601" i="8"/>
  <c r="I1602" i="8"/>
  <c r="I1603" i="8"/>
  <c r="I1604" i="8"/>
  <c r="I1605" i="8"/>
  <c r="I1606" i="8"/>
  <c r="I1607" i="8"/>
  <c r="I1608" i="8"/>
  <c r="I1609" i="8"/>
  <c r="I1610" i="8"/>
  <c r="I1611" i="8"/>
  <c r="I1612" i="8"/>
  <c r="I1613" i="8"/>
  <c r="I1614" i="8"/>
  <c r="I1615" i="8"/>
  <c r="I1616" i="8"/>
  <c r="I1617" i="8"/>
  <c r="I1618" i="8"/>
  <c r="I1619" i="8"/>
  <c r="I1620" i="8"/>
  <c r="I1621" i="8"/>
  <c r="I1622" i="8"/>
  <c r="I1623" i="8"/>
  <c r="I1624" i="8"/>
  <c r="I1625" i="8"/>
  <c r="I1626" i="8"/>
  <c r="I1627" i="8"/>
  <c r="I1628" i="8"/>
  <c r="I1629" i="8"/>
  <c r="I1630" i="8"/>
  <c r="I1631" i="8"/>
  <c r="I1632" i="8"/>
  <c r="I1633" i="8"/>
  <c r="I1634" i="8"/>
  <c r="I1635" i="8"/>
  <c r="I1636" i="8"/>
  <c r="I1637" i="8"/>
  <c r="I1638" i="8"/>
  <c r="I1639" i="8"/>
  <c r="I1640" i="8"/>
  <c r="I1641" i="8"/>
  <c r="I1642" i="8"/>
  <c r="I1643" i="8"/>
  <c r="I1644" i="8"/>
  <c r="I1645" i="8"/>
  <c r="I1646" i="8"/>
  <c r="I1647" i="8"/>
  <c r="I1648" i="8"/>
  <c r="I1649" i="8"/>
  <c r="I1650" i="8"/>
  <c r="I1651" i="8"/>
  <c r="I1652" i="8"/>
  <c r="I1653" i="8"/>
  <c r="I1654" i="8"/>
  <c r="I1655" i="8"/>
  <c r="I1656" i="8"/>
  <c r="I1657" i="8"/>
  <c r="I1658" i="8"/>
  <c r="I1659" i="8"/>
  <c r="I1660" i="8"/>
  <c r="I1661" i="8"/>
  <c r="I1662" i="8"/>
  <c r="I1663" i="8"/>
  <c r="I1664" i="8"/>
  <c r="I1665" i="8"/>
  <c r="I1666" i="8"/>
  <c r="I1667" i="8"/>
  <c r="I1668" i="8"/>
  <c r="I1669" i="8"/>
  <c r="I1670" i="8"/>
  <c r="I1671" i="8"/>
  <c r="I1672" i="8"/>
  <c r="I1673" i="8"/>
  <c r="I1674" i="8"/>
  <c r="I1675" i="8"/>
  <c r="I1676" i="8"/>
  <c r="I1677" i="8"/>
  <c r="I1678" i="8"/>
  <c r="I1679" i="8"/>
  <c r="I1680" i="8"/>
  <c r="I1681" i="8"/>
  <c r="I1682" i="8"/>
  <c r="I1683" i="8"/>
  <c r="I1684" i="8"/>
  <c r="I1685" i="8"/>
  <c r="I1686" i="8"/>
  <c r="I1687" i="8"/>
  <c r="I1688" i="8"/>
  <c r="I1689" i="8"/>
  <c r="I1690" i="8"/>
  <c r="I1691" i="8"/>
  <c r="I1692" i="8"/>
  <c r="I1693" i="8"/>
  <c r="I1694" i="8"/>
  <c r="I1695" i="8"/>
  <c r="I1696" i="8"/>
  <c r="I1697" i="8"/>
  <c r="I1698" i="8"/>
  <c r="I1699" i="8"/>
  <c r="I1700" i="8"/>
  <c r="I1701" i="8"/>
  <c r="I1702" i="8"/>
  <c r="I1703" i="8"/>
  <c r="I1704" i="8"/>
  <c r="I1705" i="8"/>
  <c r="I1706" i="8"/>
  <c r="I1707" i="8"/>
  <c r="I1708" i="8"/>
  <c r="I1709" i="8"/>
  <c r="I1710" i="8"/>
  <c r="I1711" i="8"/>
  <c r="I1712" i="8"/>
  <c r="I1713" i="8"/>
  <c r="I1714" i="8"/>
  <c r="I1715" i="8"/>
  <c r="I1716" i="8"/>
  <c r="I1717" i="8"/>
  <c r="I1718" i="8"/>
  <c r="I1719" i="8"/>
  <c r="I1720" i="8"/>
  <c r="I1721" i="8"/>
  <c r="I1722" i="8"/>
  <c r="I1723" i="8"/>
  <c r="I1724" i="8"/>
  <c r="I1725" i="8"/>
  <c r="I1726" i="8"/>
  <c r="I1727" i="8"/>
  <c r="I1728" i="8"/>
  <c r="I1729" i="8"/>
  <c r="I1730" i="8"/>
  <c r="I1731" i="8"/>
  <c r="I1732" i="8"/>
  <c r="I1733" i="8"/>
  <c r="I1734" i="8"/>
  <c r="I1735" i="8"/>
  <c r="I1736" i="8"/>
  <c r="I1737" i="8"/>
  <c r="I1738" i="8"/>
  <c r="I1739" i="8"/>
  <c r="I1740" i="8"/>
  <c r="I1741" i="8"/>
  <c r="I1742" i="8"/>
  <c r="I1126" i="8" l="1"/>
  <c r="I1125" i="8"/>
  <c r="I1124" i="8"/>
  <c r="I1123" i="8"/>
  <c r="I1122" i="8"/>
  <c r="I1121" i="8"/>
  <c r="I1120" i="8"/>
  <c r="I1119" i="8"/>
  <c r="I1118" i="8"/>
  <c r="I1117" i="8"/>
  <c r="I1116" i="8"/>
  <c r="I1115" i="8"/>
  <c r="I1114" i="8"/>
  <c r="I1113" i="8"/>
  <c r="I1112" i="8"/>
  <c r="I1111" i="8"/>
  <c r="I1110" i="8"/>
  <c r="I1109" i="8"/>
  <c r="I1108" i="8"/>
  <c r="I1107" i="8"/>
  <c r="I1106" i="8"/>
  <c r="I1105" i="8"/>
  <c r="I1104" i="8"/>
  <c r="I1103" i="8"/>
  <c r="I1102" i="8"/>
  <c r="I1101" i="8"/>
  <c r="I1100" i="8"/>
  <c r="I1099" i="8"/>
  <c r="I1098" i="8"/>
  <c r="I1097" i="8"/>
  <c r="I1096" i="8"/>
  <c r="I1095" i="8"/>
  <c r="I1094" i="8"/>
  <c r="I1093" i="8"/>
  <c r="I1092" i="8"/>
  <c r="I1091" i="8"/>
  <c r="I1090" i="8"/>
  <c r="I1089" i="8"/>
  <c r="F406" i="8"/>
  <c r="G406" i="8" s="1"/>
  <c r="F405" i="8"/>
  <c r="G405" i="8" s="1"/>
  <c r="F404" i="8"/>
  <c r="G404" i="8" s="1"/>
  <c r="F403" i="8"/>
  <c r="G403" i="8" s="1"/>
  <c r="F402" i="8"/>
  <c r="G402" i="8" s="1"/>
  <c r="F401" i="8"/>
  <c r="G401" i="8" s="1"/>
  <c r="F400" i="8"/>
  <c r="G400" i="8" s="1"/>
  <c r="F399" i="8"/>
  <c r="G399" i="8" s="1"/>
  <c r="F398" i="8"/>
  <c r="G398" i="8" s="1"/>
  <c r="F397" i="8"/>
  <c r="G397" i="8" s="1"/>
  <c r="F396" i="8"/>
  <c r="G396" i="8" s="1"/>
  <c r="F395" i="8"/>
  <c r="G395" i="8" s="1"/>
  <c r="F394" i="8"/>
  <c r="G394" i="8" s="1"/>
  <c r="F393" i="8"/>
  <c r="G393" i="8" s="1"/>
  <c r="F392" i="8"/>
  <c r="G392" i="8" s="1"/>
  <c r="F391" i="8"/>
  <c r="G391" i="8" s="1"/>
  <c r="F390" i="8"/>
  <c r="G390" i="8" s="1"/>
  <c r="F389" i="8"/>
  <c r="G389" i="8" s="1"/>
  <c r="F388" i="8"/>
  <c r="G388" i="8" s="1"/>
  <c r="F387" i="8"/>
  <c r="G387" i="8" s="1"/>
  <c r="F386" i="8"/>
  <c r="G386" i="8" s="1"/>
  <c r="F385" i="8"/>
  <c r="G385" i="8" s="1"/>
  <c r="F384" i="8"/>
  <c r="G384" i="8" s="1"/>
  <c r="F383" i="8"/>
  <c r="G383" i="8" s="1"/>
  <c r="F382" i="8"/>
  <c r="G382" i="8" s="1"/>
  <c r="F381" i="8"/>
  <c r="G381" i="8" s="1"/>
  <c r="F380" i="8"/>
  <c r="G380" i="8" s="1"/>
  <c r="F379" i="8"/>
  <c r="G379" i="8" s="1"/>
  <c r="F378" i="8"/>
  <c r="G378" i="8" s="1"/>
  <c r="F377" i="8"/>
  <c r="G377" i="8" s="1"/>
  <c r="F376" i="8"/>
  <c r="G376" i="8" s="1"/>
  <c r="F375" i="8"/>
  <c r="G375" i="8" s="1"/>
  <c r="F374" i="8"/>
  <c r="G374" i="8" s="1"/>
  <c r="F373" i="8"/>
  <c r="G373" i="8" s="1"/>
  <c r="F372" i="8"/>
  <c r="G372" i="8" s="1"/>
  <c r="F371" i="8"/>
  <c r="G371" i="8" s="1"/>
  <c r="F370" i="8"/>
  <c r="G370" i="8" s="1"/>
  <c r="F369" i="8"/>
  <c r="G369" i="8" s="1"/>
  <c r="F368" i="8"/>
  <c r="G368" i="8" s="1"/>
  <c r="F367" i="8"/>
  <c r="G367" i="8" s="1"/>
  <c r="F366" i="8"/>
  <c r="G366" i="8" s="1"/>
  <c r="F365" i="8"/>
  <c r="G365" i="8" s="1"/>
  <c r="F364" i="8"/>
  <c r="G364" i="8" s="1"/>
  <c r="F363" i="8"/>
  <c r="G363" i="8" s="1"/>
  <c r="F362" i="8"/>
  <c r="G362" i="8" s="1"/>
  <c r="F361" i="8"/>
  <c r="G361" i="8" s="1"/>
  <c r="F360" i="8"/>
  <c r="G360" i="8" s="1"/>
  <c r="F359" i="8"/>
  <c r="G359" i="8" s="1"/>
  <c r="F358" i="8"/>
  <c r="G358" i="8" s="1"/>
  <c r="F357" i="8"/>
  <c r="G357" i="8" s="1"/>
  <c r="F356" i="8"/>
  <c r="G356" i="8" s="1"/>
  <c r="F355" i="8"/>
  <c r="G355" i="8" s="1"/>
  <c r="F354" i="8"/>
  <c r="G354" i="8" s="1"/>
  <c r="F353" i="8"/>
  <c r="G353" i="8" s="1"/>
  <c r="F352" i="8"/>
  <c r="G352" i="8" s="1"/>
  <c r="F351" i="8"/>
  <c r="G351" i="8" s="1"/>
  <c r="F350" i="8"/>
  <c r="G350" i="8" s="1"/>
  <c r="F349" i="8"/>
  <c r="G349" i="8" s="1"/>
  <c r="F348" i="8"/>
  <c r="G348" i="8" s="1"/>
  <c r="F347" i="8"/>
  <c r="G347" i="8" s="1"/>
  <c r="F346" i="8"/>
  <c r="G346" i="8" s="1"/>
  <c r="F345" i="8"/>
  <c r="G345" i="8" s="1"/>
  <c r="F344" i="8"/>
  <c r="G344" i="8" s="1"/>
  <c r="F343" i="8"/>
  <c r="G343" i="8" s="1"/>
  <c r="F342" i="8"/>
  <c r="G342" i="8" s="1"/>
  <c r="F341" i="8"/>
  <c r="G341" i="8" s="1"/>
  <c r="F340" i="8"/>
  <c r="G340" i="8" s="1"/>
  <c r="F339" i="8"/>
  <c r="G339" i="8" s="1"/>
  <c r="F338" i="8"/>
  <c r="G338" i="8" s="1"/>
  <c r="F337" i="8"/>
  <c r="G337" i="8" s="1"/>
  <c r="F336" i="8"/>
  <c r="G336" i="8" s="1"/>
  <c r="F335" i="8"/>
  <c r="G335" i="8" s="1"/>
  <c r="F334" i="8"/>
  <c r="G334" i="8" s="1"/>
  <c r="F333" i="8"/>
  <c r="G333" i="8" s="1"/>
  <c r="F332" i="8"/>
  <c r="G332" i="8" s="1"/>
  <c r="F331" i="8"/>
  <c r="G331" i="8" s="1"/>
  <c r="F330" i="8"/>
  <c r="G330" i="8" s="1"/>
  <c r="F329" i="8"/>
  <c r="G329" i="8" s="1"/>
  <c r="F328" i="8"/>
  <c r="G328" i="8" s="1"/>
  <c r="F327" i="8"/>
  <c r="G327" i="8" s="1"/>
  <c r="F326" i="8"/>
  <c r="G326" i="8" s="1"/>
  <c r="F325" i="8"/>
  <c r="G325" i="8" s="1"/>
  <c r="F324" i="8"/>
  <c r="G324" i="8" s="1"/>
  <c r="F323" i="8"/>
  <c r="G323" i="8" s="1"/>
  <c r="F322" i="8"/>
  <c r="G322" i="8" s="1"/>
  <c r="F321" i="8"/>
  <c r="G321" i="8" s="1"/>
  <c r="F320" i="8"/>
  <c r="G320" i="8" s="1"/>
  <c r="F319" i="8"/>
  <c r="G319" i="8" s="1"/>
  <c r="F318" i="8"/>
  <c r="G318" i="8" s="1"/>
  <c r="F317" i="8"/>
  <c r="G317" i="8" s="1"/>
  <c r="F316" i="8"/>
  <c r="G316" i="8" s="1"/>
  <c r="F315" i="8"/>
  <c r="G315" i="8" s="1"/>
  <c r="F314" i="8"/>
  <c r="G314" i="8" s="1"/>
  <c r="F313" i="8"/>
  <c r="G313" i="8" s="1"/>
  <c r="F312" i="8"/>
  <c r="G312" i="8" s="1"/>
  <c r="F311" i="8"/>
  <c r="G311" i="8" s="1"/>
  <c r="F310" i="8"/>
  <c r="G310" i="8" s="1"/>
  <c r="F309" i="8"/>
  <c r="G309" i="8" s="1"/>
  <c r="F308" i="8"/>
  <c r="G308" i="8" s="1"/>
  <c r="F307" i="8"/>
  <c r="G307" i="8" s="1"/>
  <c r="F306" i="8"/>
  <c r="G306" i="8" s="1"/>
  <c r="F305" i="8"/>
  <c r="G305" i="8" s="1"/>
  <c r="F304" i="8"/>
  <c r="G304" i="8" s="1"/>
  <c r="F303" i="8"/>
  <c r="G303" i="8" s="1"/>
  <c r="F302" i="8"/>
  <c r="G302" i="8" s="1"/>
  <c r="F301" i="8"/>
  <c r="G301" i="8" s="1"/>
  <c r="F300" i="8"/>
  <c r="G300" i="8" s="1"/>
  <c r="F299" i="8"/>
  <c r="G299" i="8" s="1"/>
  <c r="F298" i="8"/>
  <c r="G298" i="8" s="1"/>
  <c r="F297" i="8"/>
  <c r="G297" i="8" s="1"/>
  <c r="F296" i="8"/>
  <c r="G296" i="8" s="1"/>
  <c r="F295" i="8"/>
  <c r="G295" i="8" s="1"/>
  <c r="F294" i="8"/>
  <c r="G294" i="8" s="1"/>
  <c r="F293" i="8"/>
  <c r="G293" i="8" s="1"/>
  <c r="F292" i="8"/>
  <c r="G292" i="8" s="1"/>
  <c r="F291" i="8"/>
  <c r="G291" i="8" s="1"/>
  <c r="F290" i="8"/>
  <c r="G290" i="8" s="1"/>
  <c r="F289" i="8"/>
  <c r="G289" i="8" s="1"/>
  <c r="F288" i="8"/>
  <c r="G288" i="8" s="1"/>
  <c r="F287" i="8"/>
  <c r="G287" i="8" s="1"/>
  <c r="F286" i="8"/>
  <c r="G286" i="8" s="1"/>
  <c r="F285" i="8"/>
  <c r="G285" i="8" s="1"/>
  <c r="F284" i="8"/>
  <c r="G284" i="8" s="1"/>
  <c r="F283" i="8"/>
  <c r="G283" i="8" s="1"/>
  <c r="F282" i="8"/>
  <c r="G282" i="8" s="1"/>
  <c r="F281" i="8"/>
  <c r="G281" i="8" s="1"/>
  <c r="F280" i="8"/>
  <c r="G280" i="8" s="1"/>
  <c r="F279" i="8"/>
  <c r="G279" i="8" s="1"/>
  <c r="F278" i="8"/>
  <c r="G278" i="8" s="1"/>
  <c r="F277" i="8"/>
  <c r="G277" i="8" s="1"/>
  <c r="F276" i="8"/>
  <c r="G276" i="8" s="1"/>
  <c r="F275" i="8"/>
  <c r="G275" i="8" s="1"/>
  <c r="F274" i="8"/>
  <c r="G274" i="8" s="1"/>
  <c r="F273" i="8"/>
  <c r="G273" i="8" s="1"/>
  <c r="F272" i="8"/>
  <c r="G272" i="8" s="1"/>
  <c r="F271" i="8"/>
  <c r="G271" i="8" s="1"/>
  <c r="F270" i="8"/>
  <c r="G270" i="8" s="1"/>
  <c r="F269" i="8"/>
  <c r="G269" i="8" s="1"/>
  <c r="F268" i="8"/>
  <c r="G268" i="8" s="1"/>
  <c r="F267" i="8"/>
  <c r="G267" i="8" s="1"/>
  <c r="F266" i="8"/>
  <c r="G266" i="8" s="1"/>
  <c r="F265" i="8"/>
  <c r="G265" i="8" s="1"/>
  <c r="F264" i="8"/>
  <c r="G264" i="8" s="1"/>
  <c r="F263" i="8"/>
  <c r="G263" i="8" s="1"/>
  <c r="F262" i="8"/>
  <c r="G262" i="8" s="1"/>
  <c r="F261" i="8"/>
  <c r="G261" i="8" s="1"/>
  <c r="F260" i="8"/>
  <c r="G260" i="8" s="1"/>
  <c r="F259" i="8"/>
  <c r="G259" i="8" s="1"/>
  <c r="F258" i="8"/>
  <c r="G258" i="8" s="1"/>
  <c r="F257" i="8"/>
  <c r="G257" i="8" s="1"/>
  <c r="F256" i="8"/>
  <c r="G256" i="8" s="1"/>
  <c r="F255" i="8"/>
  <c r="G255" i="8" s="1"/>
  <c r="F254" i="8"/>
  <c r="G254" i="8" s="1"/>
  <c r="F253" i="8"/>
  <c r="G253" i="8" s="1"/>
  <c r="F252" i="8"/>
  <c r="G252" i="8" s="1"/>
  <c r="F251" i="8"/>
  <c r="G251" i="8" s="1"/>
  <c r="F250" i="8"/>
  <c r="G250" i="8" s="1"/>
  <c r="F249" i="8"/>
  <c r="G249" i="8" s="1"/>
  <c r="F248" i="8"/>
  <c r="G248" i="8" s="1"/>
  <c r="F247" i="8"/>
  <c r="G247" i="8" s="1"/>
  <c r="F246" i="8"/>
  <c r="G246" i="8" s="1"/>
  <c r="F245" i="8"/>
  <c r="G245" i="8" s="1"/>
  <c r="F244" i="8"/>
  <c r="G244" i="8" s="1"/>
  <c r="F243" i="8"/>
  <c r="G243" i="8" s="1"/>
  <c r="F242" i="8"/>
  <c r="G242" i="8" s="1"/>
  <c r="F241" i="8"/>
  <c r="G241" i="8" s="1"/>
  <c r="F240" i="8"/>
  <c r="G240" i="8" s="1"/>
  <c r="F239" i="8"/>
  <c r="G239" i="8" s="1"/>
  <c r="F238" i="8"/>
  <c r="G238" i="8" s="1"/>
  <c r="F237" i="8"/>
  <c r="G237" i="8" s="1"/>
  <c r="F236" i="8"/>
  <c r="G236" i="8" s="1"/>
  <c r="F235" i="8"/>
  <c r="G235" i="8" s="1"/>
  <c r="F234" i="8"/>
  <c r="G234" i="8" s="1"/>
  <c r="F233" i="8"/>
  <c r="G233" i="8" s="1"/>
  <c r="F232" i="8"/>
  <c r="G232" i="8" s="1"/>
  <c r="F231" i="8"/>
  <c r="G231" i="8" s="1"/>
  <c r="F230" i="8"/>
  <c r="G230" i="8" s="1"/>
  <c r="F229" i="8"/>
  <c r="G229" i="8" s="1"/>
  <c r="F228" i="8"/>
  <c r="G228" i="8" s="1"/>
  <c r="F227" i="8"/>
  <c r="G227" i="8" s="1"/>
  <c r="F226" i="8"/>
  <c r="G226" i="8" s="1"/>
  <c r="F225" i="8"/>
  <c r="G225" i="8" s="1"/>
  <c r="F224" i="8"/>
  <c r="G224" i="8" s="1"/>
  <c r="F223" i="8"/>
  <c r="G223" i="8" s="1"/>
  <c r="F222" i="8"/>
  <c r="G222" i="8" s="1"/>
  <c r="F221" i="8"/>
  <c r="G221" i="8" s="1"/>
  <c r="F220" i="8"/>
  <c r="G220" i="8" s="1"/>
  <c r="F219" i="8"/>
  <c r="G219" i="8" s="1"/>
  <c r="F218" i="8"/>
  <c r="G218" i="8" s="1"/>
  <c r="F217" i="8"/>
  <c r="G217" i="8" s="1"/>
  <c r="F216" i="8"/>
  <c r="G216" i="8" s="1"/>
  <c r="F215" i="8"/>
  <c r="G215" i="8" s="1"/>
  <c r="F214" i="8"/>
  <c r="G214" i="8" s="1"/>
  <c r="F213" i="8"/>
  <c r="G213" i="8" s="1"/>
  <c r="F212" i="8"/>
  <c r="G212" i="8" s="1"/>
  <c r="F211" i="8"/>
  <c r="G211" i="8" s="1"/>
  <c r="F210" i="8"/>
  <c r="G210" i="8" s="1"/>
  <c r="F209" i="8"/>
  <c r="G209" i="8" s="1"/>
  <c r="F208" i="8"/>
  <c r="G208" i="8" s="1"/>
  <c r="F207" i="8"/>
  <c r="G207" i="8" s="1"/>
  <c r="F206" i="8"/>
  <c r="G206" i="8" s="1"/>
  <c r="F205" i="8"/>
  <c r="G205" i="8" s="1"/>
  <c r="F204" i="8"/>
  <c r="G204" i="8" s="1"/>
  <c r="F203" i="8"/>
  <c r="G203" i="8" s="1"/>
  <c r="F202" i="8"/>
  <c r="G202" i="8" s="1"/>
  <c r="F201" i="8"/>
  <c r="G201" i="8" s="1"/>
  <c r="F200" i="8"/>
  <c r="G200" i="8" s="1"/>
  <c r="F199" i="8"/>
  <c r="G199" i="8" s="1"/>
  <c r="F198" i="8"/>
  <c r="G198" i="8" s="1"/>
  <c r="F197" i="8"/>
  <c r="G197" i="8" s="1"/>
  <c r="F196" i="8"/>
  <c r="G196" i="8" s="1"/>
  <c r="F195" i="8"/>
  <c r="G195" i="8" s="1"/>
  <c r="F194" i="8"/>
  <c r="G194" i="8" s="1"/>
  <c r="F193" i="8"/>
  <c r="G193" i="8" s="1"/>
  <c r="F192" i="8"/>
  <c r="G192" i="8" s="1"/>
  <c r="F191" i="8"/>
  <c r="G191" i="8" s="1"/>
  <c r="F190" i="8"/>
  <c r="G190" i="8" s="1"/>
  <c r="F189" i="8"/>
  <c r="G189" i="8" s="1"/>
  <c r="F188" i="8"/>
  <c r="G188" i="8" s="1"/>
  <c r="F187" i="8"/>
  <c r="G187" i="8" s="1"/>
  <c r="F186" i="8"/>
  <c r="G186" i="8" s="1"/>
  <c r="F185" i="8"/>
  <c r="G185" i="8" s="1"/>
  <c r="F184" i="8"/>
  <c r="G184" i="8" s="1"/>
  <c r="F183" i="8"/>
  <c r="G183" i="8" s="1"/>
  <c r="F182" i="8"/>
  <c r="G182" i="8" s="1"/>
  <c r="F181" i="8"/>
  <c r="G181" i="8" s="1"/>
  <c r="F180" i="8"/>
  <c r="G180" i="8" s="1"/>
  <c r="F179" i="8"/>
  <c r="G179" i="8" s="1"/>
  <c r="F178" i="8"/>
  <c r="G178" i="8" s="1"/>
  <c r="F177" i="8"/>
  <c r="G177" i="8" s="1"/>
  <c r="F176" i="8"/>
  <c r="G176" i="8" s="1"/>
  <c r="F175" i="8"/>
  <c r="G175" i="8" s="1"/>
  <c r="F174" i="8"/>
  <c r="G174" i="8" s="1"/>
  <c r="F173" i="8"/>
  <c r="G173" i="8" s="1"/>
  <c r="F172" i="8"/>
  <c r="G172" i="8" s="1"/>
  <c r="F171" i="8"/>
  <c r="G171" i="8" s="1"/>
  <c r="F170" i="8"/>
  <c r="G170" i="8" s="1"/>
  <c r="F169" i="8"/>
  <c r="G169" i="8" s="1"/>
  <c r="F168" i="8"/>
  <c r="G168" i="8" s="1"/>
  <c r="F167" i="8"/>
  <c r="G167" i="8" s="1"/>
  <c r="F166" i="8"/>
  <c r="G166" i="8" s="1"/>
  <c r="F165" i="8"/>
  <c r="G165" i="8" s="1"/>
  <c r="F164" i="8"/>
  <c r="G164" i="8" s="1"/>
  <c r="F163" i="8"/>
  <c r="G163" i="8" s="1"/>
  <c r="F162" i="8"/>
  <c r="G162" i="8" s="1"/>
  <c r="F161" i="8"/>
  <c r="G161" i="8" s="1"/>
  <c r="F160" i="8"/>
  <c r="G160" i="8" s="1"/>
  <c r="F159" i="8"/>
  <c r="G159" i="8" s="1"/>
  <c r="F158" i="8"/>
  <c r="G158" i="8" s="1"/>
  <c r="F157" i="8"/>
  <c r="G157" i="8" s="1"/>
  <c r="F156" i="8"/>
  <c r="G156" i="8" s="1"/>
  <c r="F155" i="8"/>
  <c r="G155" i="8" s="1"/>
  <c r="F154" i="8"/>
  <c r="G154" i="8" s="1"/>
  <c r="F153" i="8"/>
  <c r="G153" i="8" s="1"/>
  <c r="F152" i="8"/>
  <c r="G152" i="8" s="1"/>
  <c r="F151" i="8"/>
  <c r="G151" i="8" s="1"/>
  <c r="F150" i="8"/>
  <c r="G150" i="8" s="1"/>
  <c r="F149" i="8"/>
  <c r="G149" i="8" s="1"/>
  <c r="F148" i="8"/>
  <c r="G148" i="8" s="1"/>
  <c r="F147" i="8"/>
  <c r="G147" i="8" s="1"/>
  <c r="F146" i="8"/>
  <c r="G146" i="8" s="1"/>
  <c r="F145" i="8"/>
  <c r="G145" i="8" s="1"/>
  <c r="F144" i="8"/>
  <c r="G144" i="8" s="1"/>
  <c r="F143" i="8"/>
  <c r="G143" i="8" s="1"/>
  <c r="F142" i="8"/>
  <c r="G142" i="8" s="1"/>
  <c r="F141" i="8"/>
  <c r="G141" i="8" s="1"/>
  <c r="F140" i="8"/>
  <c r="G140" i="8" s="1"/>
  <c r="F139" i="8"/>
  <c r="G139" i="8" s="1"/>
  <c r="F138" i="8"/>
  <c r="G138" i="8" s="1"/>
  <c r="F137" i="8"/>
  <c r="G137" i="8" s="1"/>
  <c r="F136" i="8"/>
  <c r="G136" i="8" s="1"/>
  <c r="F135" i="8"/>
  <c r="G135" i="8" s="1"/>
  <c r="F134" i="8"/>
  <c r="G134" i="8" s="1"/>
  <c r="F133" i="8"/>
  <c r="G133" i="8" s="1"/>
  <c r="F132" i="8"/>
  <c r="G132" i="8" s="1"/>
  <c r="F131" i="8"/>
  <c r="G131" i="8" s="1"/>
  <c r="F130" i="8"/>
  <c r="G130" i="8" s="1"/>
  <c r="F129" i="8"/>
  <c r="G129" i="8" s="1"/>
  <c r="F128" i="8"/>
  <c r="G128" i="8" s="1"/>
  <c r="F127" i="8"/>
  <c r="G127" i="8" s="1"/>
  <c r="F126" i="8"/>
  <c r="G126" i="8" s="1"/>
  <c r="F125" i="8"/>
  <c r="G125" i="8" s="1"/>
  <c r="F124" i="8"/>
  <c r="G124" i="8" s="1"/>
  <c r="F123" i="8"/>
  <c r="G123" i="8" s="1"/>
  <c r="F122" i="8"/>
  <c r="G122" i="8" s="1"/>
  <c r="F121" i="8"/>
  <c r="G121" i="8" s="1"/>
  <c r="F120" i="8"/>
  <c r="G120" i="8" s="1"/>
  <c r="F119" i="8"/>
  <c r="G119" i="8" s="1"/>
  <c r="F118" i="8"/>
  <c r="G118" i="8" s="1"/>
  <c r="F117" i="8"/>
  <c r="G117" i="8" s="1"/>
  <c r="F116" i="8"/>
  <c r="G116" i="8" s="1"/>
  <c r="F115" i="8"/>
  <c r="G115" i="8" s="1"/>
  <c r="F114" i="8"/>
  <c r="G114" i="8" s="1"/>
  <c r="F113" i="8"/>
  <c r="G113" i="8" s="1"/>
  <c r="F112" i="8"/>
  <c r="G112" i="8" s="1"/>
  <c r="F111" i="8"/>
  <c r="G111" i="8" s="1"/>
  <c r="F110" i="8"/>
  <c r="G110" i="8" s="1"/>
  <c r="F109" i="8"/>
  <c r="G109" i="8" s="1"/>
  <c r="F108" i="8"/>
  <c r="G108" i="8" s="1"/>
  <c r="F107" i="8"/>
  <c r="G107" i="8" s="1"/>
  <c r="F106" i="8"/>
  <c r="G106" i="8" s="1"/>
  <c r="F105" i="8"/>
  <c r="G105" i="8" s="1"/>
  <c r="F104" i="8"/>
  <c r="G104" i="8" s="1"/>
  <c r="F103" i="8"/>
  <c r="G103" i="8" s="1"/>
  <c r="F102" i="8"/>
  <c r="G102" i="8" s="1"/>
  <c r="F101" i="8"/>
  <c r="G101" i="8" s="1"/>
  <c r="F100" i="8"/>
  <c r="G100" i="8" s="1"/>
  <c r="F99" i="8"/>
  <c r="G99" i="8" s="1"/>
  <c r="F98" i="8"/>
  <c r="G98" i="8" s="1"/>
  <c r="F97" i="8"/>
  <c r="G97" i="8" s="1"/>
  <c r="F96" i="8"/>
  <c r="G96" i="8" s="1"/>
  <c r="F95" i="8"/>
  <c r="G95" i="8" s="1"/>
  <c r="F94" i="8"/>
  <c r="G94" i="8" s="1"/>
  <c r="F93" i="8"/>
  <c r="G93" i="8" s="1"/>
  <c r="F92" i="8"/>
  <c r="G92" i="8" s="1"/>
  <c r="F91" i="8"/>
  <c r="G91" i="8" s="1"/>
  <c r="F90" i="8"/>
  <c r="G90" i="8" s="1"/>
  <c r="F89" i="8"/>
  <c r="G89" i="8" s="1"/>
  <c r="F88" i="8"/>
  <c r="G88" i="8" s="1"/>
  <c r="F87" i="8"/>
  <c r="G87" i="8" s="1"/>
  <c r="F86" i="8"/>
  <c r="G86" i="8" s="1"/>
  <c r="F85" i="8"/>
  <c r="G85" i="8" s="1"/>
  <c r="F84" i="8"/>
  <c r="G84" i="8" s="1"/>
  <c r="F83" i="8"/>
  <c r="G83" i="8" s="1"/>
  <c r="F82" i="8"/>
  <c r="G82" i="8" s="1"/>
  <c r="F81" i="8"/>
  <c r="G81" i="8" s="1"/>
  <c r="F80" i="8"/>
  <c r="G80" i="8" s="1"/>
  <c r="F79" i="8"/>
  <c r="G79" i="8" s="1"/>
  <c r="F78" i="8"/>
  <c r="G78" i="8" s="1"/>
  <c r="F77" i="8"/>
  <c r="G77" i="8" s="1"/>
  <c r="F76" i="8"/>
  <c r="G76" i="8" s="1"/>
  <c r="F75" i="8"/>
  <c r="G75" i="8" s="1"/>
  <c r="F74" i="8"/>
  <c r="G74" i="8" s="1"/>
  <c r="F73" i="8"/>
  <c r="G73" i="8" s="1"/>
  <c r="F72" i="8"/>
  <c r="G72" i="8" s="1"/>
  <c r="F71" i="8"/>
  <c r="G71" i="8" s="1"/>
  <c r="F70" i="8"/>
  <c r="G70" i="8" s="1"/>
  <c r="F69" i="8"/>
  <c r="G69" i="8" s="1"/>
  <c r="F68" i="8"/>
  <c r="G68" i="8" s="1"/>
  <c r="F67" i="8"/>
  <c r="G67" i="8" s="1"/>
  <c r="F66" i="8"/>
  <c r="G66" i="8" s="1"/>
  <c r="F65" i="8"/>
  <c r="G65" i="8" s="1"/>
  <c r="F64" i="8"/>
  <c r="G64" i="8" s="1"/>
  <c r="F63" i="8"/>
  <c r="G63" i="8" s="1"/>
  <c r="F62" i="8"/>
  <c r="G62" i="8" s="1"/>
  <c r="F61" i="8"/>
  <c r="G61" i="8" s="1"/>
  <c r="F60" i="8"/>
  <c r="G60" i="8" s="1"/>
  <c r="F59" i="8"/>
  <c r="G59" i="8" s="1"/>
  <c r="F58" i="8"/>
  <c r="G58" i="8" s="1"/>
  <c r="F57" i="8"/>
  <c r="G57" i="8" s="1"/>
  <c r="F56" i="8"/>
  <c r="G56" i="8" s="1"/>
  <c r="F55" i="8"/>
  <c r="G55" i="8" s="1"/>
  <c r="F54" i="8"/>
  <c r="G54" i="8" s="1"/>
  <c r="F53" i="8"/>
  <c r="G53" i="8" s="1"/>
  <c r="F52" i="8"/>
  <c r="G52" i="8" s="1"/>
  <c r="F51" i="8"/>
  <c r="G51" i="8" s="1"/>
  <c r="F50" i="8"/>
  <c r="G50" i="8" s="1"/>
  <c r="F49" i="8"/>
  <c r="G49" i="8" s="1"/>
  <c r="F48" i="8"/>
  <c r="G48" i="8" s="1"/>
  <c r="F47" i="8"/>
  <c r="G47" i="8" s="1"/>
  <c r="F46" i="8"/>
  <c r="G46" i="8" s="1"/>
  <c r="F45" i="8"/>
  <c r="G45" i="8" s="1"/>
  <c r="F44" i="8"/>
  <c r="G44" i="8" s="1"/>
  <c r="F43" i="8"/>
  <c r="G43" i="8" s="1"/>
  <c r="F42" i="8"/>
  <c r="G42" i="8" s="1"/>
  <c r="F41" i="8"/>
  <c r="G41" i="8" s="1"/>
  <c r="F40" i="8"/>
  <c r="G40" i="8" s="1"/>
  <c r="F39" i="8"/>
  <c r="G39" i="8" s="1"/>
  <c r="F38" i="8"/>
  <c r="G38" i="8" s="1"/>
  <c r="F37" i="8"/>
  <c r="G37" i="8" s="1"/>
  <c r="F36" i="8"/>
  <c r="G36" i="8" s="1"/>
  <c r="F35" i="8"/>
  <c r="G35" i="8" s="1"/>
  <c r="F34" i="8"/>
  <c r="G34" i="8" s="1"/>
  <c r="F33" i="8"/>
  <c r="G33" i="8" s="1"/>
  <c r="F32" i="8"/>
  <c r="G32" i="8" s="1"/>
  <c r="F31" i="8"/>
  <c r="G31" i="8" s="1"/>
  <c r="F30" i="8"/>
  <c r="G30" i="8" s="1"/>
  <c r="F29" i="8"/>
  <c r="G29" i="8" s="1"/>
  <c r="F28" i="8"/>
  <c r="G28" i="8" s="1"/>
  <c r="F27" i="8"/>
  <c r="G27" i="8" s="1"/>
  <c r="F26" i="8"/>
  <c r="G26" i="8" s="1"/>
  <c r="F25" i="8"/>
  <c r="G25" i="8" s="1"/>
  <c r="F24" i="8"/>
  <c r="G24" i="8" s="1"/>
  <c r="F23" i="8"/>
  <c r="G23" i="8" s="1"/>
  <c r="F22" i="8"/>
  <c r="G22" i="8" s="1"/>
  <c r="F21" i="8"/>
  <c r="G21" i="8" s="1"/>
  <c r="F20" i="8"/>
  <c r="G20" i="8" s="1"/>
  <c r="F19" i="8"/>
  <c r="G19" i="8" s="1"/>
  <c r="F18" i="8"/>
  <c r="G18" i="8" s="1"/>
  <c r="F17" i="8"/>
  <c r="G17" i="8" s="1"/>
  <c r="F16" i="8"/>
  <c r="G16" i="8" s="1"/>
  <c r="F15" i="8"/>
  <c r="G15" i="8" s="1"/>
  <c r="F14" i="8"/>
  <c r="G14" i="8" s="1"/>
  <c r="F13" i="8"/>
  <c r="G13" i="8" s="1"/>
  <c r="F12" i="8"/>
  <c r="G12" i="8" s="1"/>
  <c r="F11" i="8"/>
  <c r="G11" i="8" s="1"/>
  <c r="F10" i="8"/>
  <c r="G10" i="8" s="1"/>
  <c r="F9" i="8"/>
  <c r="G9" i="8" s="1"/>
  <c r="F8" i="8"/>
  <c r="G8" i="8" s="1"/>
  <c r="F7" i="8"/>
  <c r="G7" i="8" s="1"/>
  <c r="F6" i="8"/>
  <c r="G6" i="8" s="1"/>
  <c r="F5" i="8"/>
  <c r="G5" i="8" s="1"/>
  <c r="F4" i="8"/>
  <c r="G4" i="8" s="1"/>
  <c r="F3" i="8"/>
  <c r="G3" i="8" s="1"/>
  <c r="F2" i="8"/>
  <c r="G2" i="8" s="1"/>
  <c r="I3" i="8" l="1"/>
  <c r="I15" i="8"/>
  <c r="I27" i="8"/>
  <c r="I31" i="8"/>
  <c r="I43" i="8"/>
  <c r="I55" i="8"/>
  <c r="I63" i="8"/>
  <c r="I71" i="8"/>
  <c r="I83" i="8"/>
  <c r="I87" i="8"/>
  <c r="I99" i="8"/>
  <c r="I103" i="8"/>
  <c r="I115" i="8"/>
  <c r="I123" i="8"/>
  <c r="I131" i="8"/>
  <c r="I139" i="8"/>
  <c r="I147" i="8"/>
  <c r="I155" i="8"/>
  <c r="I163" i="8"/>
  <c r="I175" i="8"/>
  <c r="I179" i="8"/>
  <c r="I191" i="8"/>
  <c r="I199" i="8"/>
  <c r="I207" i="8"/>
  <c r="I223" i="8"/>
  <c r="I231" i="8"/>
  <c r="I239" i="8"/>
  <c r="I247" i="8"/>
  <c r="I255" i="8"/>
  <c r="I263" i="8"/>
  <c r="I271" i="8"/>
  <c r="I283" i="8"/>
  <c r="I291" i="8"/>
  <c r="I299" i="8"/>
  <c r="I307" i="8"/>
  <c r="I315" i="8"/>
  <c r="I323" i="8"/>
  <c r="I331" i="8"/>
  <c r="I339" i="8"/>
  <c r="I343" i="8"/>
  <c r="I355" i="8"/>
  <c r="I367" i="8"/>
  <c r="I371" i="8"/>
  <c r="I383" i="8"/>
  <c r="I395" i="8"/>
  <c r="I2" i="8"/>
  <c r="I6" i="8"/>
  <c r="I10" i="8"/>
  <c r="I14" i="8"/>
  <c r="I18" i="8"/>
  <c r="I22" i="8"/>
  <c r="I26" i="8"/>
  <c r="I30" i="8"/>
  <c r="I34" i="8"/>
  <c r="I38" i="8"/>
  <c r="I42" i="8"/>
  <c r="I46" i="8"/>
  <c r="I50" i="8"/>
  <c r="I54" i="8"/>
  <c r="I58" i="8"/>
  <c r="I62" i="8"/>
  <c r="I66" i="8"/>
  <c r="I70" i="8"/>
  <c r="I74" i="8"/>
  <c r="I78" i="8"/>
  <c r="I82" i="8"/>
  <c r="I86" i="8"/>
  <c r="I90" i="8"/>
  <c r="I94" i="8"/>
  <c r="I98" i="8"/>
  <c r="I102" i="8"/>
  <c r="I106" i="8"/>
  <c r="I110" i="8"/>
  <c r="I114" i="8"/>
  <c r="I118" i="8"/>
  <c r="I122" i="8"/>
  <c r="I126" i="8"/>
  <c r="I130" i="8"/>
  <c r="I134" i="8"/>
  <c r="I138" i="8"/>
  <c r="I142" i="8"/>
  <c r="I146" i="8"/>
  <c r="I150" i="8"/>
  <c r="I154" i="8"/>
  <c r="I158" i="8"/>
  <c r="I162" i="8"/>
  <c r="I166" i="8"/>
  <c r="I170" i="8"/>
  <c r="I174" i="8"/>
  <c r="I178" i="8"/>
  <c r="I182" i="8"/>
  <c r="I186" i="8"/>
  <c r="I190" i="8"/>
  <c r="I194" i="8"/>
  <c r="I198" i="8"/>
  <c r="I202" i="8"/>
  <c r="I206" i="8"/>
  <c r="I210" i="8"/>
  <c r="I214" i="8"/>
  <c r="I218" i="8"/>
  <c r="I222" i="8"/>
  <c r="I226" i="8"/>
  <c r="I230" i="8"/>
  <c r="I234" i="8"/>
  <c r="I238" i="8"/>
  <c r="I242" i="8"/>
  <c r="I246" i="8"/>
  <c r="I250" i="8"/>
  <c r="I254" i="8"/>
  <c r="I258" i="8"/>
  <c r="I262" i="8"/>
  <c r="I266" i="8"/>
  <c r="I270" i="8"/>
  <c r="I274" i="8"/>
  <c r="I278" i="8"/>
  <c r="I282" i="8"/>
  <c r="I286" i="8"/>
  <c r="I290" i="8"/>
  <c r="I294" i="8"/>
  <c r="I298" i="8"/>
  <c r="I302" i="8"/>
  <c r="I306" i="8"/>
  <c r="I310" i="8"/>
  <c r="I314" i="8"/>
  <c r="I318" i="8"/>
  <c r="I322" i="8"/>
  <c r="I326" i="8"/>
  <c r="I330" i="8"/>
  <c r="I334" i="8"/>
  <c r="I338" i="8"/>
  <c r="I342" i="8"/>
  <c r="I346" i="8"/>
  <c r="I350" i="8"/>
  <c r="I354" i="8"/>
  <c r="I358" i="8"/>
  <c r="I362" i="8"/>
  <c r="I366" i="8"/>
  <c r="I370" i="8"/>
  <c r="I374" i="8"/>
  <c r="I378" i="8"/>
  <c r="I382" i="8"/>
  <c r="I386" i="8"/>
  <c r="I390" i="8"/>
  <c r="I394" i="8"/>
  <c r="I398" i="8"/>
  <c r="I402" i="8"/>
  <c r="I406" i="8"/>
  <c r="I11" i="8"/>
  <c r="I19" i="8"/>
  <c r="I39" i="8"/>
  <c r="I51" i="8"/>
  <c r="I67" i="8"/>
  <c r="I79" i="8"/>
  <c r="I91" i="8"/>
  <c r="I111" i="8"/>
  <c r="I127" i="8"/>
  <c r="I143" i="8"/>
  <c r="I159" i="8"/>
  <c r="I171" i="8"/>
  <c r="I187" i="8"/>
  <c r="I203" i="8"/>
  <c r="I215" i="8"/>
  <c r="I227" i="8"/>
  <c r="I243" i="8"/>
  <c r="I259" i="8"/>
  <c r="I275" i="8"/>
  <c r="I287" i="8"/>
  <c r="I303" i="8"/>
  <c r="I319" i="8"/>
  <c r="I335" i="8"/>
  <c r="I351" i="8"/>
  <c r="I363" i="8"/>
  <c r="I379" i="8"/>
  <c r="I387" i="8"/>
  <c r="I403" i="8"/>
  <c r="I4" i="8"/>
  <c r="I8" i="8"/>
  <c r="I12" i="8"/>
  <c r="I16" i="8"/>
  <c r="I20" i="8"/>
  <c r="I24" i="8"/>
  <c r="I28" i="8"/>
  <c r="I32" i="8"/>
  <c r="I36" i="8"/>
  <c r="I40" i="8"/>
  <c r="I44" i="8"/>
  <c r="I48" i="8"/>
  <c r="I52" i="8"/>
  <c r="I56" i="8"/>
  <c r="I60" i="8"/>
  <c r="I64" i="8"/>
  <c r="I68" i="8"/>
  <c r="I72" i="8"/>
  <c r="I76" i="8"/>
  <c r="I80" i="8"/>
  <c r="I84" i="8"/>
  <c r="I88" i="8"/>
  <c r="I92" i="8"/>
  <c r="I96" i="8"/>
  <c r="I100" i="8"/>
  <c r="I104" i="8"/>
  <c r="I108" i="8"/>
  <c r="I112" i="8"/>
  <c r="I116" i="8"/>
  <c r="I120" i="8"/>
  <c r="I124" i="8"/>
  <c r="I128" i="8"/>
  <c r="I132" i="8"/>
  <c r="I136" i="8"/>
  <c r="I140" i="8"/>
  <c r="I144" i="8"/>
  <c r="I148" i="8"/>
  <c r="I152" i="8"/>
  <c r="I156" i="8"/>
  <c r="I160" i="8"/>
  <c r="I164" i="8"/>
  <c r="I168" i="8"/>
  <c r="I172" i="8"/>
  <c r="I176" i="8"/>
  <c r="I180" i="8"/>
  <c r="I184" i="8"/>
  <c r="I188" i="8"/>
  <c r="I192" i="8"/>
  <c r="I196" i="8"/>
  <c r="I200" i="8"/>
  <c r="I204" i="8"/>
  <c r="I208" i="8"/>
  <c r="I212" i="8"/>
  <c r="I216" i="8"/>
  <c r="I220" i="8"/>
  <c r="I224" i="8"/>
  <c r="I228" i="8"/>
  <c r="I232" i="8"/>
  <c r="I236" i="8"/>
  <c r="I240" i="8"/>
  <c r="I244" i="8"/>
  <c r="I248" i="8"/>
  <c r="I252" i="8"/>
  <c r="I256" i="8"/>
  <c r="I260" i="8"/>
  <c r="I264" i="8"/>
  <c r="I268" i="8"/>
  <c r="I272" i="8"/>
  <c r="I276" i="8"/>
  <c r="I280" i="8"/>
  <c r="I284" i="8"/>
  <c r="I288" i="8"/>
  <c r="I292" i="8"/>
  <c r="I296" i="8"/>
  <c r="I300" i="8"/>
  <c r="I304" i="8"/>
  <c r="I308" i="8"/>
  <c r="I312" i="8"/>
  <c r="I316" i="8"/>
  <c r="I320" i="8"/>
  <c r="I324" i="8"/>
  <c r="I328" i="8"/>
  <c r="I332" i="8"/>
  <c r="I336" i="8"/>
  <c r="I340" i="8"/>
  <c r="I344" i="8"/>
  <c r="I348" i="8"/>
  <c r="I352" i="8"/>
  <c r="I356" i="8"/>
  <c r="I360" i="8"/>
  <c r="I364" i="8"/>
  <c r="I368" i="8"/>
  <c r="I372" i="8"/>
  <c r="I376" i="8"/>
  <c r="I380" i="8"/>
  <c r="I384" i="8"/>
  <c r="I388" i="8"/>
  <c r="I392" i="8"/>
  <c r="I396" i="8"/>
  <c r="I400" i="8"/>
  <c r="I404" i="8"/>
  <c r="I7" i="8"/>
  <c r="I23" i="8"/>
  <c r="I35" i="8"/>
  <c r="I47" i="8"/>
  <c r="I59" i="8"/>
  <c r="I75" i="8"/>
  <c r="I95" i="8"/>
  <c r="I107" i="8"/>
  <c r="I119" i="8"/>
  <c r="I135" i="8"/>
  <c r="I151" i="8"/>
  <c r="I167" i="8"/>
  <c r="I183" i="8"/>
  <c r="I195" i="8"/>
  <c r="I211" i="8"/>
  <c r="I219" i="8"/>
  <c r="I235" i="8"/>
  <c r="I251" i="8"/>
  <c r="I267" i="8"/>
  <c r="I279" i="8"/>
  <c r="I295" i="8"/>
  <c r="I311" i="8"/>
  <c r="I327" i="8"/>
  <c r="I347" i="8"/>
  <c r="I359" i="8"/>
  <c r="I375" i="8"/>
  <c r="I391" i="8"/>
  <c r="I399" i="8"/>
  <c r="I5" i="8"/>
  <c r="I9" i="8"/>
  <c r="I13" i="8"/>
  <c r="I17" i="8"/>
  <c r="I21" i="8"/>
  <c r="I25" i="8"/>
  <c r="I29" i="8"/>
  <c r="I33" i="8"/>
  <c r="I37" i="8"/>
  <c r="I41" i="8"/>
  <c r="I45" i="8"/>
  <c r="I49" i="8"/>
  <c r="I53" i="8"/>
  <c r="I57" i="8"/>
  <c r="I61" i="8"/>
  <c r="I65" i="8"/>
  <c r="I69" i="8"/>
  <c r="I73" i="8"/>
  <c r="I77" i="8"/>
  <c r="I81" i="8"/>
  <c r="I85" i="8"/>
  <c r="I89" i="8"/>
  <c r="I93" i="8"/>
  <c r="I97" i="8"/>
  <c r="I101" i="8"/>
  <c r="I105" i="8"/>
  <c r="I109" i="8"/>
  <c r="I113" i="8"/>
  <c r="I117" i="8"/>
  <c r="I121" i="8"/>
  <c r="I125" i="8"/>
  <c r="I129" i="8"/>
  <c r="I133" i="8"/>
  <c r="I137" i="8"/>
  <c r="I141" i="8"/>
  <c r="I145" i="8"/>
  <c r="I149" i="8"/>
  <c r="I153" i="8"/>
  <c r="I157" i="8"/>
  <c r="I161" i="8"/>
  <c r="I165" i="8"/>
  <c r="I169" i="8"/>
  <c r="I173" i="8"/>
  <c r="I177" i="8"/>
  <c r="I181" i="8"/>
  <c r="I185" i="8"/>
  <c r="I189" i="8"/>
  <c r="I193" i="8"/>
  <c r="I197" i="8"/>
  <c r="I201" i="8"/>
  <c r="I205" i="8"/>
  <c r="I209" i="8"/>
  <c r="I213" i="8"/>
  <c r="I217" i="8"/>
  <c r="I221" i="8"/>
  <c r="I225" i="8"/>
  <c r="I229" i="8"/>
  <c r="I233" i="8"/>
  <c r="I237" i="8"/>
  <c r="I241" i="8"/>
  <c r="I245" i="8"/>
  <c r="I249" i="8"/>
  <c r="I253" i="8"/>
  <c r="I257" i="8"/>
  <c r="I261" i="8"/>
  <c r="I265" i="8"/>
  <c r="I269" i="8"/>
  <c r="I273" i="8"/>
  <c r="I277" i="8"/>
  <c r="I281" i="8"/>
  <c r="I285" i="8"/>
  <c r="I289" i="8"/>
  <c r="I293" i="8"/>
  <c r="I297" i="8"/>
  <c r="I301" i="8"/>
  <c r="I305" i="8"/>
  <c r="I309" i="8"/>
  <c r="I313" i="8"/>
  <c r="I317" i="8"/>
  <c r="I321" i="8"/>
  <c r="I325" i="8"/>
  <c r="I329" i="8"/>
  <c r="I333" i="8"/>
  <c r="I337" i="8"/>
  <c r="I341" i="8"/>
  <c r="I345" i="8"/>
  <c r="I349" i="8"/>
  <c r="I353" i="8"/>
  <c r="I357" i="8"/>
  <c r="I361" i="8"/>
  <c r="I365" i="8"/>
  <c r="I369" i="8"/>
  <c r="I373" i="8"/>
  <c r="I377" i="8"/>
  <c r="I381" i="8"/>
  <c r="I385" i="8"/>
  <c r="I389" i="8"/>
  <c r="I393" i="8"/>
  <c r="I397" i="8"/>
  <c r="I401" i="8"/>
  <c r="I405" i="8"/>
</calcChain>
</file>

<file path=xl/comments1.xml><?xml version="1.0" encoding="utf-8"?>
<comments xmlns="http://schemas.openxmlformats.org/spreadsheetml/2006/main">
  <authors>
    <author>SSIGNOR</author>
  </authors>
  <commentList>
    <comment ref="I5" authorId="0" shapeId="0">
      <text>
        <r>
          <rPr>
            <b/>
            <sz val="9"/>
            <color indexed="81"/>
            <rFont val="Tahoma"/>
            <family val="2"/>
          </rPr>
          <t>SSIGNOR:</t>
        </r>
        <r>
          <rPr>
            <sz val="9"/>
            <color indexed="81"/>
            <rFont val="Tahoma"/>
            <family val="2"/>
          </rPr>
          <t xml:space="preserve">
Copy the Get Values here before to Send the new values.</t>
        </r>
      </text>
    </comment>
  </commentList>
</comments>
</file>

<file path=xl/sharedStrings.xml><?xml version="1.0" encoding="utf-8"?>
<sst xmlns="http://schemas.openxmlformats.org/spreadsheetml/2006/main" count="8796" uniqueCount="5420">
  <si>
    <t>Simulator Machine Name</t>
  </si>
  <si>
    <t>Simulator Machine Port</t>
  </si>
  <si>
    <t>First line</t>
  </si>
  <si>
    <t>First column</t>
  </si>
  <si>
    <t>localhost</t>
  </si>
  <si>
    <t>Get</t>
  </si>
  <si>
    <t>Send</t>
  </si>
  <si>
    <t>Delta</t>
  </si>
  <si>
    <t>%</t>
  </si>
  <si>
    <t>DESCRIPTION</t>
  </si>
  <si>
    <t>VARIABLE</t>
  </si>
  <si>
    <t>Comment</t>
  </si>
  <si>
    <t>Main Equipment</t>
  </si>
  <si>
    <t>Date</t>
  </si>
  <si>
    <t>IC after modification</t>
  </si>
  <si>
    <t>Mode</t>
  </si>
  <si>
    <t>IOBlocks.M_AI</t>
  </si>
  <si>
    <t>AA821519AAIO</t>
  </si>
  <si>
    <t>AT821519A.Value</t>
  </si>
  <si>
    <t>AA821519BBIO</t>
  </si>
  <si>
    <t>AT821519B.Value</t>
  </si>
  <si>
    <t>AA821519CCIO</t>
  </si>
  <si>
    <t>AT821519C.Value</t>
  </si>
  <si>
    <t>AC856016AIO</t>
  </si>
  <si>
    <t>AX856016A.Value</t>
  </si>
  <si>
    <t>AC856016AIO_COMP1</t>
  </si>
  <si>
    <t>AI808110IO</t>
  </si>
  <si>
    <t>AT808110.Value</t>
  </si>
  <si>
    <t>AI821016IO</t>
  </si>
  <si>
    <t>AT821016.Value</t>
  </si>
  <si>
    <t>AI821203IO</t>
  </si>
  <si>
    <t>AT821203.Value</t>
  </si>
  <si>
    <t>AI821207IO</t>
  </si>
  <si>
    <t>AT821207.Value</t>
  </si>
  <si>
    <t>AI821211IO</t>
  </si>
  <si>
    <t>AT821211.Value</t>
  </si>
  <si>
    <t>AI821519BIO</t>
  </si>
  <si>
    <t>AI830613AIO</t>
  </si>
  <si>
    <t>AT830613A.Value</t>
  </si>
  <si>
    <t>AI830613BIO</t>
  </si>
  <si>
    <t>AT830613B.Value</t>
  </si>
  <si>
    <t>AI836822IO</t>
  </si>
  <si>
    <t>AT836822.Value</t>
  </si>
  <si>
    <t>AI850128IO</t>
  </si>
  <si>
    <t>AT850128.Value</t>
  </si>
  <si>
    <t>AI850128IO_COMP1</t>
  </si>
  <si>
    <t>AI850129IO</t>
  </si>
  <si>
    <t>AT850129.Value</t>
  </si>
  <si>
    <t>AI850129IO_COMP1</t>
  </si>
  <si>
    <t>AX821420BIO</t>
  </si>
  <si>
    <t>AX821420B.Value</t>
  </si>
  <si>
    <t>AX821420CIO</t>
  </si>
  <si>
    <t>AX856016AIO</t>
  </si>
  <si>
    <t>AX856016BIO</t>
  </si>
  <si>
    <t>AX856016B.Value</t>
  </si>
  <si>
    <t>DI807015IO</t>
  </si>
  <si>
    <t>DT807015.Value</t>
  </si>
  <si>
    <t>DI810001A_1oo2IO_MA1</t>
  </si>
  <si>
    <t>DT810001A.Value</t>
  </si>
  <si>
    <t>DI810001A_1oo2IO_MA2</t>
  </si>
  <si>
    <t>DI810001AIO</t>
  </si>
  <si>
    <t>DI810001BIO</t>
  </si>
  <si>
    <t>DT810001B.Value</t>
  </si>
  <si>
    <t>DI810505IO</t>
  </si>
  <si>
    <t>DT810505.Value</t>
  </si>
  <si>
    <t>DI820001A_1oo2IO_MA1</t>
  </si>
  <si>
    <t>DT820001A.Value</t>
  </si>
  <si>
    <t>DI820001A_1oo2IO_MA2</t>
  </si>
  <si>
    <t>DI820001AIO</t>
  </si>
  <si>
    <t>DI820001BIO</t>
  </si>
  <si>
    <t>DT820001B.Value</t>
  </si>
  <si>
    <t>DI820011A_1oo2IO_MA1</t>
  </si>
  <si>
    <t>DT820011A.Value</t>
  </si>
  <si>
    <t>DI820011A_1oo2IO_MA2</t>
  </si>
  <si>
    <t>DI820011AIO</t>
  </si>
  <si>
    <t>DI820011BIO</t>
  </si>
  <si>
    <t>DT820011B.Value</t>
  </si>
  <si>
    <t>DI820505_1oo1IO</t>
  </si>
  <si>
    <t>DT820505.Value</t>
  </si>
  <si>
    <t>DI820505IO</t>
  </si>
  <si>
    <t>DI821208IO</t>
  </si>
  <si>
    <t>DT821208.Value</t>
  </si>
  <si>
    <t>DI850008IO</t>
  </si>
  <si>
    <t>DT850008.Value</t>
  </si>
  <si>
    <t>dint1</t>
  </si>
  <si>
    <t>dint1.Value</t>
  </si>
  <si>
    <t>dint2</t>
  </si>
  <si>
    <t>dint2.Value</t>
  </si>
  <si>
    <t>dintSteps</t>
  </si>
  <si>
    <t>dintSteps.Value</t>
  </si>
  <si>
    <t>dword1</t>
  </si>
  <si>
    <t>dword1.Value</t>
  </si>
  <si>
    <t>dword2</t>
  </si>
  <si>
    <t>dword2.Value</t>
  </si>
  <si>
    <t>FI800021IO</t>
  </si>
  <si>
    <t>FT800021.Value</t>
  </si>
  <si>
    <t>FI800111IO</t>
  </si>
  <si>
    <t>FT800111.Value</t>
  </si>
  <si>
    <t>FI800318IO</t>
  </si>
  <si>
    <t>FT800318.Value</t>
  </si>
  <si>
    <t>FI800321IO</t>
  </si>
  <si>
    <t>FT800321.Value</t>
  </si>
  <si>
    <t>FI800416IO</t>
  </si>
  <si>
    <t>FT800416.Value</t>
  </si>
  <si>
    <t>FI800418IO</t>
  </si>
  <si>
    <t>FT800418.Value</t>
  </si>
  <si>
    <t>FI800512IO</t>
  </si>
  <si>
    <t>FT800512.Value</t>
  </si>
  <si>
    <t>FI800613IO</t>
  </si>
  <si>
    <t>FT800613.Value</t>
  </si>
  <si>
    <t>FI803014IO</t>
  </si>
  <si>
    <t>FT803014.Value</t>
  </si>
  <si>
    <t>FI803114IO</t>
  </si>
  <si>
    <t>FT803114.Value</t>
  </si>
  <si>
    <t>FI803214IO</t>
  </si>
  <si>
    <t>FT803214.Value</t>
  </si>
  <si>
    <t>FI803403IO</t>
  </si>
  <si>
    <t>FT803403.Value</t>
  </si>
  <si>
    <t>FI803406IO</t>
  </si>
  <si>
    <t>FT803406.Value</t>
  </si>
  <si>
    <t>FI803409IO</t>
  </si>
  <si>
    <t>FT803409.Value</t>
  </si>
  <si>
    <t>FI803503IO</t>
  </si>
  <si>
    <t>FT803503.Value</t>
  </si>
  <si>
    <t>FI803513IO</t>
  </si>
  <si>
    <t>FT803513.Value</t>
  </si>
  <si>
    <t>FI803513IO1</t>
  </si>
  <si>
    <t>FI803603IO</t>
  </si>
  <si>
    <t>FT803603.Value</t>
  </si>
  <si>
    <t>FI803606IO</t>
  </si>
  <si>
    <t>FT803606.Value</t>
  </si>
  <si>
    <t>FI807015IO</t>
  </si>
  <si>
    <t>FT807015.Value</t>
  </si>
  <si>
    <t>FI808105IO</t>
  </si>
  <si>
    <t>FT808105.Value</t>
  </si>
  <si>
    <t>FI808213IO</t>
  </si>
  <si>
    <t>FT808213.Value</t>
  </si>
  <si>
    <t>FI808320IO</t>
  </si>
  <si>
    <t>FT808320.Value</t>
  </si>
  <si>
    <t>FI809017IO</t>
  </si>
  <si>
    <t>FT809017.Value</t>
  </si>
  <si>
    <t>FI810001A_1oo2IO_MA1</t>
  </si>
  <si>
    <t>FT810001A.Value</t>
  </si>
  <si>
    <t>FI810001A_1oo2IO_MA2</t>
  </si>
  <si>
    <t>FT810001B.Value</t>
  </si>
  <si>
    <t>FI810101AIO</t>
  </si>
  <si>
    <t>FT810101A.Value</t>
  </si>
  <si>
    <t>FI810101BIO</t>
  </si>
  <si>
    <t>FT810101B.Value</t>
  </si>
  <si>
    <t>FI810505IO</t>
  </si>
  <si>
    <t>FT810505.Value</t>
  </si>
  <si>
    <t>FI810621IO</t>
  </si>
  <si>
    <t>FT810621.Value</t>
  </si>
  <si>
    <t>FI810639IO</t>
  </si>
  <si>
    <t>FT810639.Value</t>
  </si>
  <si>
    <t>FI810640IO</t>
  </si>
  <si>
    <t>FT810640.Value</t>
  </si>
  <si>
    <t>FI810735IO</t>
  </si>
  <si>
    <t>FT810735.Value</t>
  </si>
  <si>
    <t>FI811014IO</t>
  </si>
  <si>
    <t>FT811014.Value</t>
  </si>
  <si>
    <t>FI812117IO</t>
  </si>
  <si>
    <t>FT812117.Value</t>
  </si>
  <si>
    <t>FI820001A_1oo2IO_MA1</t>
  </si>
  <si>
    <t>FT820001A.Value</t>
  </si>
  <si>
    <t>FI820001A_1oo2IO_MA2</t>
  </si>
  <si>
    <t>FT820001B.Value</t>
  </si>
  <si>
    <t>FI820011A_1oo2IO_MA1</t>
  </si>
  <si>
    <t>FT820011A.Value</t>
  </si>
  <si>
    <t>FI820011A_1oo2IO_MA2</t>
  </si>
  <si>
    <t>FT820011B.Value</t>
  </si>
  <si>
    <t>FI820101AIO</t>
  </si>
  <si>
    <t>FT820101A.Value</t>
  </si>
  <si>
    <t>FI820101BIO</t>
  </si>
  <si>
    <t>FT820101B.Value</t>
  </si>
  <si>
    <t>FI820505IO</t>
  </si>
  <si>
    <t>FT820505.Value</t>
  </si>
  <si>
    <t>FI820512IO</t>
  </si>
  <si>
    <t>FT820512.Value</t>
  </si>
  <si>
    <t>FI820621IO</t>
  </si>
  <si>
    <t>FT820621.Value</t>
  </si>
  <si>
    <t>FI820639IO</t>
  </si>
  <si>
    <t>FT820639.Value</t>
  </si>
  <si>
    <t>FI820640IO</t>
  </si>
  <si>
    <t>FT820640.Value</t>
  </si>
  <si>
    <t>FI820717IO</t>
  </si>
  <si>
    <t>FT820717.Value</t>
  </si>
  <si>
    <t>FI820834IO</t>
  </si>
  <si>
    <t>FT820834.Value</t>
  </si>
  <si>
    <t>FI820835IO</t>
  </si>
  <si>
    <t>FT820835.Value</t>
  </si>
  <si>
    <t>FI820901IO</t>
  </si>
  <si>
    <t>FT820901.Value</t>
  </si>
  <si>
    <t>FI820903IO</t>
  </si>
  <si>
    <t>FT820903.Value</t>
  </si>
  <si>
    <t>FI821208IO</t>
  </si>
  <si>
    <t>FT821208.Value</t>
  </si>
  <si>
    <t>FI821413IO</t>
  </si>
  <si>
    <t>FT821413.Value</t>
  </si>
  <si>
    <t>FI821425IO</t>
  </si>
  <si>
    <t>FT821425.Value</t>
  </si>
  <si>
    <t>FI821506IO</t>
  </si>
  <si>
    <t>FT821506.Value</t>
  </si>
  <si>
    <t>FI821526IO</t>
  </si>
  <si>
    <t>FT821526.Value</t>
  </si>
  <si>
    <t>FI821909IO</t>
  </si>
  <si>
    <t>FT821909.Value</t>
  </si>
  <si>
    <t>FI822008AIO</t>
  </si>
  <si>
    <t>FT822008A.Value</t>
  </si>
  <si>
    <t>FI822008BIO</t>
  </si>
  <si>
    <t>FT822008B.Value</t>
  </si>
  <si>
    <t>FI822012AIO</t>
  </si>
  <si>
    <t>FT822012A.Value</t>
  </si>
  <si>
    <t>FI822012BIO</t>
  </si>
  <si>
    <t>FT822012B.Value</t>
  </si>
  <si>
    <t>FI822121IO</t>
  </si>
  <si>
    <t>FT822121.Value</t>
  </si>
  <si>
    <t>FI822122IO</t>
  </si>
  <si>
    <t>FT822122.Value</t>
  </si>
  <si>
    <t>FI822132IO</t>
  </si>
  <si>
    <t>FT822132.Value</t>
  </si>
  <si>
    <t>FI822135IO</t>
  </si>
  <si>
    <t>FT822135.Value</t>
  </si>
  <si>
    <t>FI822138IO</t>
  </si>
  <si>
    <t>FT822138.Value</t>
  </si>
  <si>
    <t>FI822207IO</t>
  </si>
  <si>
    <t>FT822207.Value</t>
  </si>
  <si>
    <t>FI822421IO</t>
  </si>
  <si>
    <t>FT822421.Value</t>
  </si>
  <si>
    <t>FI822915IO</t>
  </si>
  <si>
    <t>FT822915.Value</t>
  </si>
  <si>
    <t>FI823012IO</t>
  </si>
  <si>
    <t>FT823012.Value</t>
  </si>
  <si>
    <t>FI823220IO</t>
  </si>
  <si>
    <t>FT823220.Value</t>
  </si>
  <si>
    <t>FI830115IO</t>
  </si>
  <si>
    <t>FT830115.Value</t>
  </si>
  <si>
    <t>FI830230IO</t>
  </si>
  <si>
    <t>FT830230.Value</t>
  </si>
  <si>
    <t>FI830301A_1oo2IO_MA1</t>
  </si>
  <si>
    <t>FT830301A.Value</t>
  </si>
  <si>
    <t>FI830301A_1oo2IO_MA2</t>
  </si>
  <si>
    <t>FT830301B.Value</t>
  </si>
  <si>
    <t>FI830301AIO</t>
  </si>
  <si>
    <t>FI830301BIO</t>
  </si>
  <si>
    <t>FI830311IO</t>
  </si>
  <si>
    <t>FT830311.Value</t>
  </si>
  <si>
    <t>FI830312A_1oo2IO_MA1</t>
  </si>
  <si>
    <t>FT830312A.Value</t>
  </si>
  <si>
    <t>FI830312A_1oo2IO_MA2</t>
  </si>
  <si>
    <t>FI830312AIO</t>
  </si>
  <si>
    <t>FI830312BIO</t>
  </si>
  <si>
    <t>FT830312B.Value</t>
  </si>
  <si>
    <t>FI830401AIO</t>
  </si>
  <si>
    <t>FT830401A.Value</t>
  </si>
  <si>
    <t>FI830401BIO</t>
  </si>
  <si>
    <t>FT830401B.Value</t>
  </si>
  <si>
    <t>FI830402AIO</t>
  </si>
  <si>
    <t>FT830402A.Value</t>
  </si>
  <si>
    <t>FI830402BIO</t>
  </si>
  <si>
    <t>FT830402B.Value</t>
  </si>
  <si>
    <t>FI830405AIO</t>
  </si>
  <si>
    <t>FT830405A.Value</t>
  </si>
  <si>
    <t>FI830405BIO</t>
  </si>
  <si>
    <t>FT830405B.Value</t>
  </si>
  <si>
    <t>FI830409AIO</t>
  </si>
  <si>
    <t>FT830409A.Value</t>
  </si>
  <si>
    <t>FI830409BIO</t>
  </si>
  <si>
    <t>FT830409B.Value</t>
  </si>
  <si>
    <t>FI830416A_1oo2IO_MA1</t>
  </si>
  <si>
    <t>FT830416A.Value</t>
  </si>
  <si>
    <t>FI830416A_1oo2IO_MA2</t>
  </si>
  <si>
    <t>FT830416B.Value</t>
  </si>
  <si>
    <t>FI830416AIO</t>
  </si>
  <si>
    <t>FI830416BIO</t>
  </si>
  <si>
    <t>FI830607IO</t>
  </si>
  <si>
    <t>FT830607.Value</t>
  </si>
  <si>
    <t>FI830703IO</t>
  </si>
  <si>
    <t>FT830703.Value</t>
  </si>
  <si>
    <t>FI830821IO</t>
  </si>
  <si>
    <t>FT830821.Value</t>
  </si>
  <si>
    <t>FI830839IO</t>
  </si>
  <si>
    <t>FT830839.Value</t>
  </si>
  <si>
    <t>FI830840IO</t>
  </si>
  <si>
    <t>FT830840.Value</t>
  </si>
  <si>
    <t>FI830912IO</t>
  </si>
  <si>
    <t>FT830912.Value</t>
  </si>
  <si>
    <t>FI830915IO</t>
  </si>
  <si>
    <t>FT830915.Value</t>
  </si>
  <si>
    <t>FI830920IO</t>
  </si>
  <si>
    <t>FT830920.Value</t>
  </si>
  <si>
    <t>FI830922IO</t>
  </si>
  <si>
    <t>FT830922.Value</t>
  </si>
  <si>
    <t>FI830937IO</t>
  </si>
  <si>
    <t>FT830937.Value</t>
  </si>
  <si>
    <t>FI831008IO</t>
  </si>
  <si>
    <t>FT831008.Value</t>
  </si>
  <si>
    <t>FI831221IO</t>
  </si>
  <si>
    <t>FT831221.Value</t>
  </si>
  <si>
    <t>FI832113IO</t>
  </si>
  <si>
    <t>FT832113.Value</t>
  </si>
  <si>
    <t>FI832316IO</t>
  </si>
  <si>
    <t>FT832316.Value</t>
  </si>
  <si>
    <t>FI840004IO</t>
  </si>
  <si>
    <t>FT840004.Value</t>
  </si>
  <si>
    <t>FI842912IO</t>
  </si>
  <si>
    <t>FT842912.Value</t>
  </si>
  <si>
    <t>FI843801IO</t>
  </si>
  <si>
    <t>FT843801.Value</t>
  </si>
  <si>
    <t>FI844004IO</t>
  </si>
  <si>
    <t>FT844004.Value</t>
  </si>
  <si>
    <t>FI850008IO</t>
  </si>
  <si>
    <t>FT850008.Value</t>
  </si>
  <si>
    <t>FI850123IO</t>
  </si>
  <si>
    <t>FT850123.Value</t>
  </si>
  <si>
    <t>FI850130IO</t>
  </si>
  <si>
    <t>FT850130.Value</t>
  </si>
  <si>
    <t>FI852013IO</t>
  </si>
  <si>
    <t>FT852013.Value</t>
  </si>
  <si>
    <t>FI856010IO</t>
  </si>
  <si>
    <t>FT856010.Value</t>
  </si>
  <si>
    <t>FI856014IO</t>
  </si>
  <si>
    <t>FT856014.Value</t>
  </si>
  <si>
    <t>FI859005IO</t>
  </si>
  <si>
    <t>FT859005.Value</t>
  </si>
  <si>
    <t>FI896007IO</t>
  </si>
  <si>
    <t>FT896007.Value</t>
  </si>
  <si>
    <t>FI896107IO</t>
  </si>
  <si>
    <t>FT896107.Value</t>
  </si>
  <si>
    <t>HS800001IO_X</t>
  </si>
  <si>
    <t>IT800001.Value</t>
  </si>
  <si>
    <t>HS800101IO_X</t>
  </si>
  <si>
    <t>IT800101.Value</t>
  </si>
  <si>
    <t>HS800306IO_Amps</t>
  </si>
  <si>
    <t>JT800306.Value</t>
  </si>
  <si>
    <t>HS800309IO_Amps</t>
  </si>
  <si>
    <t>JT800309.Value</t>
  </si>
  <si>
    <t>HS800406IO_Amps</t>
  </si>
  <si>
    <t>JT800406.Value</t>
  </si>
  <si>
    <t>HS800506IO_Amps</t>
  </si>
  <si>
    <t>JT800506.Value</t>
  </si>
  <si>
    <t>HS800606IO_Amps</t>
  </si>
  <si>
    <t>JT800606.Value</t>
  </si>
  <si>
    <t>HS800806IO_Amps</t>
  </si>
  <si>
    <t>JT800806.Value</t>
  </si>
  <si>
    <t>HS803006IO_Amps</t>
  </si>
  <si>
    <t>JT803006.Value</t>
  </si>
  <si>
    <t>HS803106IO_Amps</t>
  </si>
  <si>
    <t>JT803106.Value</t>
  </si>
  <si>
    <t>HS803206IO_Amps</t>
  </si>
  <si>
    <t>JT803206.Value</t>
  </si>
  <si>
    <t>HS803402IO_Amps</t>
  </si>
  <si>
    <t>IT803402.Value</t>
  </si>
  <si>
    <t>HS803402IO_FB</t>
  </si>
  <si>
    <t>ST803413.Value</t>
  </si>
  <si>
    <t>HS803405IO_Amps</t>
  </si>
  <si>
    <t>IT803405.Value</t>
  </si>
  <si>
    <t>HS803405IO_FB</t>
  </si>
  <si>
    <t>ST803414.Value</t>
  </si>
  <si>
    <t>HS803408IO_Amps</t>
  </si>
  <si>
    <t>IT803408.Value</t>
  </si>
  <si>
    <t>HS803408IO_FB</t>
  </si>
  <si>
    <t>ST803415.Value</t>
  </si>
  <si>
    <t>HS803502IO_Amps</t>
  </si>
  <si>
    <t>IT803502.Value</t>
  </si>
  <si>
    <t>HS803502IO_FB</t>
  </si>
  <si>
    <t>ST803505.Value</t>
  </si>
  <si>
    <t>HS803512IO_Amps</t>
  </si>
  <si>
    <t>IT803512.Value</t>
  </si>
  <si>
    <t>HS803512IO_Amps1</t>
  </si>
  <si>
    <t>HS803512IO_FB</t>
  </si>
  <si>
    <t>ST803515.Value</t>
  </si>
  <si>
    <t>HS803602IO_Amps</t>
  </si>
  <si>
    <t>IT803602.Value</t>
  </si>
  <si>
    <t>HS803602IO_FB</t>
  </si>
  <si>
    <t>ST803609.Value</t>
  </si>
  <si>
    <t>HS803605IO_Amps</t>
  </si>
  <si>
    <t>IT803605.Value</t>
  </si>
  <si>
    <t>HS803605IO_FB</t>
  </si>
  <si>
    <t>ST803610.Value</t>
  </si>
  <si>
    <t>HS805006IO_Amps</t>
  </si>
  <si>
    <t>JT805006.Value</t>
  </si>
  <si>
    <t>HS805014IO_Amps</t>
  </si>
  <si>
    <t>JT805014.Value</t>
  </si>
  <si>
    <t>HS807012IO_Amps</t>
  </si>
  <si>
    <t>JT807012.Value</t>
  </si>
  <si>
    <t>HS808107IO_Amps</t>
  </si>
  <si>
    <t>JT808107.Value</t>
  </si>
  <si>
    <t>HS808206IO_Amps</t>
  </si>
  <si>
    <t>JT808206.Value</t>
  </si>
  <si>
    <t>HS808310IO_Amps</t>
  </si>
  <si>
    <t>JT808310.Value</t>
  </si>
  <si>
    <t>HS809006IO_Amps</t>
  </si>
  <si>
    <t>JT809006.Value</t>
  </si>
  <si>
    <t>HS809106IO_Amps</t>
  </si>
  <si>
    <t>JT809106.Value</t>
  </si>
  <si>
    <t>HS809206IO_Amps</t>
  </si>
  <si>
    <t>JT809206.Value</t>
  </si>
  <si>
    <t>HS810404IO_Amps</t>
  </si>
  <si>
    <t>JT810404.Value</t>
  </si>
  <si>
    <t>HS810509IO_Amps</t>
  </si>
  <si>
    <t>IT810509A.Value</t>
  </si>
  <si>
    <t>HS810632IO_Amps</t>
  </si>
  <si>
    <t>JT810632.Value</t>
  </si>
  <si>
    <t>HS810713IO_Amps</t>
  </si>
  <si>
    <t>JT810713.Value</t>
  </si>
  <si>
    <t>HS811006IO_Amps</t>
  </si>
  <si>
    <t>JT811006.Value</t>
  </si>
  <si>
    <t>HS811106IO_Amps</t>
  </si>
  <si>
    <t>JT811106.Value</t>
  </si>
  <si>
    <t>HS812001IO_Amps</t>
  </si>
  <si>
    <t>IT812001.Value</t>
  </si>
  <si>
    <t>HS812108IO_Amps</t>
  </si>
  <si>
    <t>JT812108.Value</t>
  </si>
  <si>
    <t>HS812223IO_Amps</t>
  </si>
  <si>
    <t>IT812223.Value</t>
  </si>
  <si>
    <t>HS820414IO_Amps</t>
  </si>
  <si>
    <t>JT820414.Value</t>
  </si>
  <si>
    <t>HS820509IO_Amps</t>
  </si>
  <si>
    <t>IT820509A.Value</t>
  </si>
  <si>
    <t>HS820509IO_FB</t>
  </si>
  <si>
    <t>HS820632IO_Amps</t>
  </si>
  <si>
    <t>JT820632.Value</t>
  </si>
  <si>
    <t>HS820713IO_Amps</t>
  </si>
  <si>
    <t>JT820713.Value</t>
  </si>
  <si>
    <t>HS820823IO_Amps</t>
  </si>
  <si>
    <t>JT820823.Value</t>
  </si>
  <si>
    <t>HS821417IO_Amps</t>
  </si>
  <si>
    <t>JT821417.Value</t>
  </si>
  <si>
    <t>HS821511IO_Amps</t>
  </si>
  <si>
    <t>JT821511.Value</t>
  </si>
  <si>
    <t>HS821908IO_Amps</t>
  </si>
  <si>
    <t>JT821908.Value</t>
  </si>
  <si>
    <t>HS822120IO_Amps</t>
  </si>
  <si>
    <t>JT822120.Value</t>
  </si>
  <si>
    <t>HS822308IO_Amps</t>
  </si>
  <si>
    <t>IT822308.Value</t>
  </si>
  <si>
    <t>HS822308IO_FB</t>
  </si>
  <si>
    <t>ST822327.Value</t>
  </si>
  <si>
    <t>HS822408IO_Amps</t>
  </si>
  <si>
    <t>IT822408.Value</t>
  </si>
  <si>
    <t>HS822408IO_FB</t>
  </si>
  <si>
    <t>ST822429.Value</t>
  </si>
  <si>
    <t>HS822904IO_Amps</t>
  </si>
  <si>
    <t>JT822904.Value</t>
  </si>
  <si>
    <t>HS823004IO_Amps</t>
  </si>
  <si>
    <t>JT823004.Value</t>
  </si>
  <si>
    <t>HS823101IO_Amps</t>
  </si>
  <si>
    <t>IT823101.Value</t>
  </si>
  <si>
    <t>HS823208IO_Amps</t>
  </si>
  <si>
    <t>JT823208.Value</t>
  </si>
  <si>
    <t>HS823212IO_Amps</t>
  </si>
  <si>
    <t>IT823212.Value</t>
  </si>
  <si>
    <t>HS823324IO_Amps</t>
  </si>
  <si>
    <t>IT823324.Value</t>
  </si>
  <si>
    <t>HS823352IO_Amps</t>
  </si>
  <si>
    <t>IT823352.Value</t>
  </si>
  <si>
    <t>HS830103IO_Amps</t>
  </si>
  <si>
    <t>JT830103.Value</t>
  </si>
  <si>
    <t>HS830201IO_Amps</t>
  </si>
  <si>
    <t>JT830201.Value</t>
  </si>
  <si>
    <t>HS830210IO_Amps</t>
  </si>
  <si>
    <t>JT830210.Value</t>
  </si>
  <si>
    <t>HS830510IO_Amps</t>
  </si>
  <si>
    <t>JT830510.Value</t>
  </si>
  <si>
    <t>HS830616IO_Amps</t>
  </si>
  <si>
    <t>JT830616.Value</t>
  </si>
  <si>
    <t>HS830702IO_Amps</t>
  </si>
  <si>
    <t>JT830702.Value</t>
  </si>
  <si>
    <t>HS830832IO_Amps</t>
  </si>
  <si>
    <t>JT830832.Value</t>
  </si>
  <si>
    <t>HS830916IO_Amps</t>
  </si>
  <si>
    <t>JT830916.Value</t>
  </si>
  <si>
    <t>HS831106IO_Amps</t>
  </si>
  <si>
    <t>IT831106.Value</t>
  </si>
  <si>
    <t>HS831106IO_FB</t>
  </si>
  <si>
    <t>ST831129.Value</t>
  </si>
  <si>
    <t>HS831206IO_Amps</t>
  </si>
  <si>
    <t>IT831206.Value</t>
  </si>
  <si>
    <t>HS831206IO_FB</t>
  </si>
  <si>
    <t>ST831220.Value</t>
  </si>
  <si>
    <t>HS832104IO_Amps</t>
  </si>
  <si>
    <t>JT832104.Value</t>
  </si>
  <si>
    <t>HS832201IO_Amps</t>
  </si>
  <si>
    <t>IT832201.Value</t>
  </si>
  <si>
    <t>HS832308IO_Amps</t>
  </si>
  <si>
    <t>JT832308.Value</t>
  </si>
  <si>
    <t>HS832322IO_Amps</t>
  </si>
  <si>
    <t>IT832322.Value</t>
  </si>
  <si>
    <t>HS832332IO_Amps</t>
  </si>
  <si>
    <t>IT832332.Value</t>
  </si>
  <si>
    <t>HS832423IO_Amps</t>
  </si>
  <si>
    <t>IT832423.Value</t>
  </si>
  <si>
    <t>HS832523IO_Amps</t>
  </si>
  <si>
    <t>IT832523.Value</t>
  </si>
  <si>
    <t>HS842906IO_Amps</t>
  </si>
  <si>
    <t>JT842906.Value</t>
  </si>
  <si>
    <t>HS842907IO_Amps</t>
  </si>
  <si>
    <t>JT842907.Value</t>
  </si>
  <si>
    <t>HS850006IO_Amps</t>
  </si>
  <si>
    <t>JT850006.Value</t>
  </si>
  <si>
    <t>HS850017IO_Amps</t>
  </si>
  <si>
    <t>JT850017.Value</t>
  </si>
  <si>
    <t>HS850106IO_Amps</t>
  </si>
  <si>
    <t>JT850106.Value</t>
  </si>
  <si>
    <t>HS850120IO_Amps</t>
  </si>
  <si>
    <t>JT850120.Value</t>
  </si>
  <si>
    <t>HS850206IO_Amps</t>
  </si>
  <si>
    <t>IT850206.Value</t>
  </si>
  <si>
    <t>HS850206IO_FB</t>
  </si>
  <si>
    <t>HS852006IO_Amps</t>
  </si>
  <si>
    <t>JT852006.Value</t>
  </si>
  <si>
    <t>HS859001IO_Amps</t>
  </si>
  <si>
    <t>JT859001.Value</t>
  </si>
  <si>
    <t>HS859002IO_Amps</t>
  </si>
  <si>
    <t>JT859002.Value</t>
  </si>
  <si>
    <t>HS896013IO_Amps</t>
  </si>
  <si>
    <t>JT896013.Value</t>
  </si>
  <si>
    <t>HS896101IO_Amps</t>
  </si>
  <si>
    <t>JT896101.Value</t>
  </si>
  <si>
    <t>HS896102IO_Amps</t>
  </si>
  <si>
    <t>JT896102.Value</t>
  </si>
  <si>
    <t>HS899004IO_Amps</t>
  </si>
  <si>
    <t>JT899004.Value</t>
  </si>
  <si>
    <t>HS899005IO_Amps</t>
  </si>
  <si>
    <t>JT899005.Value</t>
  </si>
  <si>
    <t>IT810509BIO</t>
  </si>
  <si>
    <t>IT810509B.Value</t>
  </si>
  <si>
    <t>IT820509BIO</t>
  </si>
  <si>
    <t>IT820509B.Value</t>
  </si>
  <si>
    <t>LAH810413IO</t>
  </si>
  <si>
    <t>LSH810413.Value</t>
  </si>
  <si>
    <t>LAH810524_1oo1IO</t>
  </si>
  <si>
    <t>LSH810524.Value</t>
  </si>
  <si>
    <t>LAH810525_1oo1IO</t>
  </si>
  <si>
    <t>LSH810525.Value</t>
  </si>
  <si>
    <t>LAH810532_1oo1IO</t>
  </si>
  <si>
    <t>LSH810532.Value</t>
  </si>
  <si>
    <t>LAH812205IO</t>
  </si>
  <si>
    <t>LSH812205.Value</t>
  </si>
  <si>
    <t>LAH820421IO</t>
  </si>
  <si>
    <t>LSH820421.Value</t>
  </si>
  <si>
    <t>LAH820524_1oo1IO</t>
  </si>
  <si>
    <t>LSH820524.Value</t>
  </si>
  <si>
    <t>LAH820561_1oo1IO</t>
  </si>
  <si>
    <t>LSH820561.Value</t>
  </si>
  <si>
    <t>LAH820909IO</t>
  </si>
  <si>
    <t>LSH820909.Value</t>
  </si>
  <si>
    <t>LAH821017IO</t>
  </si>
  <si>
    <t>LSH821017.Value</t>
  </si>
  <si>
    <t>LAH821109IO</t>
  </si>
  <si>
    <t>LSH821109.Value</t>
  </si>
  <si>
    <t>LAH821214IO</t>
  </si>
  <si>
    <t>LSH821214.Value</t>
  </si>
  <si>
    <t>LAH821611IO</t>
  </si>
  <si>
    <t>LSH821611.Value</t>
  </si>
  <si>
    <t>LAH822147IO</t>
  </si>
  <si>
    <t>LSH822147.Value</t>
  </si>
  <si>
    <t>LAH822319IO</t>
  </si>
  <si>
    <t>LSH822319.Value</t>
  </si>
  <si>
    <t>LAH822420IO</t>
  </si>
  <si>
    <t>LSH822420.Value</t>
  </si>
  <si>
    <t>LAH830534IO</t>
  </si>
  <si>
    <t>LSH830534.Value</t>
  </si>
  <si>
    <t>LAH830634IO</t>
  </si>
  <si>
    <t>LSH830634.Value</t>
  </si>
  <si>
    <t>LAH830948IO</t>
  </si>
  <si>
    <t>LSH830948.Value</t>
  </si>
  <si>
    <t>LAH830949IO</t>
  </si>
  <si>
    <t>LSH830949.Value</t>
  </si>
  <si>
    <t>LAH831118IO</t>
  </si>
  <si>
    <t>LSH831118.Value</t>
  </si>
  <si>
    <t>LAH831216IO</t>
  </si>
  <si>
    <t>LSH831216.Value</t>
  </si>
  <si>
    <t>LAH842905IO</t>
  </si>
  <si>
    <t>LSH842905.Value</t>
  </si>
  <si>
    <t>LAL808116IO</t>
  </si>
  <si>
    <t>LSL808116.Value</t>
  </si>
  <si>
    <t>LAL810412IO</t>
  </si>
  <si>
    <t>LSL810412.Value</t>
  </si>
  <si>
    <t>LAL810503IO</t>
  </si>
  <si>
    <t>LSL810503.Value</t>
  </si>
  <si>
    <t>LAL820408IO</t>
  </si>
  <si>
    <t>LSL820408.Value</t>
  </si>
  <si>
    <t>LAL820503IO</t>
  </si>
  <si>
    <t>LSL820503.Value</t>
  </si>
  <si>
    <t>LAL821410IO</t>
  </si>
  <si>
    <t>LSL821410.Value</t>
  </si>
  <si>
    <t>LAL821510IO</t>
  </si>
  <si>
    <t>LSL821510.Value</t>
  </si>
  <si>
    <t>LAL821827IO</t>
  </si>
  <si>
    <t>LSL821827.Value</t>
  </si>
  <si>
    <t>LAL821830IO</t>
  </si>
  <si>
    <t>LSL821830.Value</t>
  </si>
  <si>
    <t>LAL821910IO</t>
  </si>
  <si>
    <t>LSL821910.Value</t>
  </si>
  <si>
    <t>LAL822117IO</t>
  </si>
  <si>
    <t>LSL822117.Value</t>
  </si>
  <si>
    <t>LAL822310IO</t>
  </si>
  <si>
    <t>LSL822310.Value</t>
  </si>
  <si>
    <t>LAL822410IO</t>
  </si>
  <si>
    <t>LSL822410.Value</t>
  </si>
  <si>
    <t>LAL822419IO</t>
  </si>
  <si>
    <t>LSL822419.Value</t>
  </si>
  <si>
    <t>LAL830105IO</t>
  </si>
  <si>
    <t>LSL830105.Value</t>
  </si>
  <si>
    <t>LAL830511IO</t>
  </si>
  <si>
    <t>LSL830511.Value</t>
  </si>
  <si>
    <t>LAL830515IO</t>
  </si>
  <si>
    <t>LSL830515.Value</t>
  </si>
  <si>
    <t>LAL830610IO</t>
  </si>
  <si>
    <t>LSL830610.Value</t>
  </si>
  <si>
    <t>LAL830925IO</t>
  </si>
  <si>
    <t>LSL830925.Value</t>
  </si>
  <si>
    <t>LAL831119IO</t>
  </si>
  <si>
    <t>LSL831119.Value</t>
  </si>
  <si>
    <t>LAL831208IO</t>
  </si>
  <si>
    <t>LSL831208.Value</t>
  </si>
  <si>
    <t>LAL831225IO</t>
  </si>
  <si>
    <t>LSL831225.Value</t>
  </si>
  <si>
    <t>LI800301AIO</t>
  </si>
  <si>
    <t>LT800301A.Value</t>
  </si>
  <si>
    <t>LI800301BIO</t>
  </si>
  <si>
    <t>LT800301B.Value</t>
  </si>
  <si>
    <t>LI800401AIO</t>
  </si>
  <si>
    <t>LIT800401A.Value</t>
  </si>
  <si>
    <t>LI800401BIO</t>
  </si>
  <si>
    <t>LIT800401B.Value</t>
  </si>
  <si>
    <t>LI800501AIO</t>
  </si>
  <si>
    <t>LT800501A.Value</t>
  </si>
  <si>
    <t>LI800501BIO</t>
  </si>
  <si>
    <t>LT800501B.Value</t>
  </si>
  <si>
    <t>LI800601AIO</t>
  </si>
  <si>
    <t>LT800601A.Value</t>
  </si>
  <si>
    <t>LI800601BIO</t>
  </si>
  <si>
    <t>LT800601B.Value</t>
  </si>
  <si>
    <t>LI800705AIO</t>
  </si>
  <si>
    <t>LT800705A.Value</t>
  </si>
  <si>
    <t>LI800705BIO</t>
  </si>
  <si>
    <t>LT800705B.Value</t>
  </si>
  <si>
    <t>LI800801AIO</t>
  </si>
  <si>
    <t>LT800801A.Value</t>
  </si>
  <si>
    <t>LI800801BIO</t>
  </si>
  <si>
    <t>LT800801B.Value</t>
  </si>
  <si>
    <t>LI803001AIO</t>
  </si>
  <si>
    <t>LT803001A.Value</t>
  </si>
  <si>
    <t>LI803001BIO</t>
  </si>
  <si>
    <t>LT803001B.Value</t>
  </si>
  <si>
    <t>LI803101AIO</t>
  </si>
  <si>
    <t>LT803101A.Value</t>
  </si>
  <si>
    <t>LI803101BIO</t>
  </si>
  <si>
    <t>LT803101B.Value</t>
  </si>
  <si>
    <t>LI803201AIO</t>
  </si>
  <si>
    <t>LT803201A.Value</t>
  </si>
  <si>
    <t>LI803201BIO</t>
  </si>
  <si>
    <t>LT803201B.Value</t>
  </si>
  <si>
    <t>LI805002AIO</t>
  </si>
  <si>
    <t>LIT805002A.Value</t>
  </si>
  <si>
    <t>LI805002BIO</t>
  </si>
  <si>
    <t>LIT805002B.Value</t>
  </si>
  <si>
    <t>LI805010AIO</t>
  </si>
  <si>
    <t>LIT805010A.Value</t>
  </si>
  <si>
    <t>LI805010BIO</t>
  </si>
  <si>
    <t>LIT805010B.Value</t>
  </si>
  <si>
    <t>LI807002AIO</t>
  </si>
  <si>
    <t>LT807002A.Value</t>
  </si>
  <si>
    <t>LI807002BIO</t>
  </si>
  <si>
    <t>LT807002B.Value</t>
  </si>
  <si>
    <t>LI808108AIO</t>
  </si>
  <si>
    <t>LT808108A.Value</t>
  </si>
  <si>
    <t>LI808108BIO</t>
  </si>
  <si>
    <t>LT808108B.Value</t>
  </si>
  <si>
    <t>LI808201AIO</t>
  </si>
  <si>
    <t>LT808201A.Value</t>
  </si>
  <si>
    <t>LI808201BIO</t>
  </si>
  <si>
    <t>LT808201B.Value</t>
  </si>
  <si>
    <t>LI808305AIO</t>
  </si>
  <si>
    <t>LIT808305A.Value</t>
  </si>
  <si>
    <t>LI808305BIO</t>
  </si>
  <si>
    <t>LIT808305B.Value</t>
  </si>
  <si>
    <t>LI809001AIO</t>
  </si>
  <si>
    <t>LIT809001A.Value</t>
  </si>
  <si>
    <t>LI809001BIO</t>
  </si>
  <si>
    <t>LIT809001B.Value</t>
  </si>
  <si>
    <t>LI809101AIO</t>
  </si>
  <si>
    <t>LIT809101A.Value</t>
  </si>
  <si>
    <t>LI809101BIO</t>
  </si>
  <si>
    <t>LIT809101B.Value</t>
  </si>
  <si>
    <t>LI809201AIO</t>
  </si>
  <si>
    <t>LIT809201A.Value</t>
  </si>
  <si>
    <t>LI809201BIO</t>
  </si>
  <si>
    <t>LIT809201B.Value</t>
  </si>
  <si>
    <t>LI810410_1oo2IO_MA2</t>
  </si>
  <si>
    <t>LIT810410.Value</t>
  </si>
  <si>
    <t>LI810410IO</t>
  </si>
  <si>
    <t>LI810653AIO</t>
  </si>
  <si>
    <t>LIT810653A.Value</t>
  </si>
  <si>
    <t>LI810653BIO</t>
  </si>
  <si>
    <t>LIT810653B.Value</t>
  </si>
  <si>
    <t>LI811001AIO</t>
  </si>
  <si>
    <t>LT811001A.Value</t>
  </si>
  <si>
    <t>LI811001BIO</t>
  </si>
  <si>
    <t>LT811001B.Value</t>
  </si>
  <si>
    <t>LI811101AIO</t>
  </si>
  <si>
    <t>LT811101A.Value</t>
  </si>
  <si>
    <t>LI811101BIO</t>
  </si>
  <si>
    <t>LT811101B.Value</t>
  </si>
  <si>
    <t>LI812105AIO</t>
  </si>
  <si>
    <t>LIT812105A.Value</t>
  </si>
  <si>
    <t>LI812105BIO</t>
  </si>
  <si>
    <t>LIT812105B.Value</t>
  </si>
  <si>
    <t>LI820416_1oo2IO_MA1</t>
  </si>
  <si>
    <t>LIT820416.Value</t>
  </si>
  <si>
    <t>LI820416_1oo2IO_MA2</t>
  </si>
  <si>
    <t>LI820416IO</t>
  </si>
  <si>
    <t>LI820420IO</t>
  </si>
  <si>
    <t>LT820420.Value</t>
  </si>
  <si>
    <t>LI820653AIO</t>
  </si>
  <si>
    <t>LIT820653A.Value</t>
  </si>
  <si>
    <t>LI820653BIO</t>
  </si>
  <si>
    <t>LIT820653B.Value</t>
  </si>
  <si>
    <t>LI820812AIO</t>
  </si>
  <si>
    <t>LT820812A.Value</t>
  </si>
  <si>
    <t>LI820812BIO</t>
  </si>
  <si>
    <t>LT820812B.Value</t>
  </si>
  <si>
    <t>LI821201AIO</t>
  </si>
  <si>
    <t>LT821201A.Value</t>
  </si>
  <si>
    <t>LI821201BIO</t>
  </si>
  <si>
    <t>LT821201B.Value</t>
  </si>
  <si>
    <t>LI821408AIO</t>
  </si>
  <si>
    <t>LT821408A.Value</t>
  </si>
  <si>
    <t>LI821408BIO</t>
  </si>
  <si>
    <t>LT821408B.Value</t>
  </si>
  <si>
    <t>LI821504AIO</t>
  </si>
  <si>
    <t>LIT821504A.Value</t>
  </si>
  <si>
    <t>LI821504BIO</t>
  </si>
  <si>
    <t>LIT821504B.Value</t>
  </si>
  <si>
    <t>LI821913AIO</t>
  </si>
  <si>
    <t>LIT821913A.Value</t>
  </si>
  <si>
    <t>LI821913BIO</t>
  </si>
  <si>
    <t>LIT821913B.Value</t>
  </si>
  <si>
    <t>LI822115AIO</t>
  </si>
  <si>
    <t>LT822115A.Value</t>
  </si>
  <si>
    <t>LI822115BIO</t>
  </si>
  <si>
    <t>LT822115B.Value</t>
  </si>
  <si>
    <t>LI822302AIO</t>
  </si>
  <si>
    <t>LIT822302A.Value</t>
  </si>
  <si>
    <t>LI822302BIO</t>
  </si>
  <si>
    <t>LIT822302B.Value</t>
  </si>
  <si>
    <t>LI822402AIO</t>
  </si>
  <si>
    <t>LIT822402A.Value</t>
  </si>
  <si>
    <t>LI822402BIO</t>
  </si>
  <si>
    <t>LIT822402B.Value</t>
  </si>
  <si>
    <t>LI822901AIO</t>
  </si>
  <si>
    <t>LT822901A.Value</t>
  </si>
  <si>
    <t>LI822901BIO</t>
  </si>
  <si>
    <t>LT822901B.Value</t>
  </si>
  <si>
    <t>LI823002AIO</t>
  </si>
  <si>
    <t>LT823002A.Value</t>
  </si>
  <si>
    <t>LI823002BIO</t>
  </si>
  <si>
    <t>LT823002B.Value</t>
  </si>
  <si>
    <t>LI823205AIO</t>
  </si>
  <si>
    <t>LIT823205A.Value</t>
  </si>
  <si>
    <t>LI823205BIO</t>
  </si>
  <si>
    <t>LIT823205B.Value</t>
  </si>
  <si>
    <t>LI830102AIO</t>
  </si>
  <si>
    <t>LIT830102A.Value</t>
  </si>
  <si>
    <t>LI830102BIO</t>
  </si>
  <si>
    <t>LIT830102B.Value</t>
  </si>
  <si>
    <t>LI830204AIO</t>
  </si>
  <si>
    <t>LIT830204A.Value</t>
  </si>
  <si>
    <t>LI830204BIO</t>
  </si>
  <si>
    <t>LIT830204B.Value</t>
  </si>
  <si>
    <t>LI830514IO</t>
  </si>
  <si>
    <t>LIT830514.Value</t>
  </si>
  <si>
    <t>LI830853AIO</t>
  </si>
  <si>
    <t>LIT830853A.Value</t>
  </si>
  <si>
    <t>LI830853BIO</t>
  </si>
  <si>
    <t>LIT830853B.Value</t>
  </si>
  <si>
    <t>LI830932AIO</t>
  </si>
  <si>
    <t>LT830932A.Value</t>
  </si>
  <si>
    <t>LI830932BIO</t>
  </si>
  <si>
    <t>LT830932B.Value</t>
  </si>
  <si>
    <t>LI831101AIO</t>
  </si>
  <si>
    <t>LIT831101A.Value</t>
  </si>
  <si>
    <t>LI831101BIO</t>
  </si>
  <si>
    <t>LIT831101B.Value</t>
  </si>
  <si>
    <t>LI831201AIO</t>
  </si>
  <si>
    <t>LIT831201A.Value</t>
  </si>
  <si>
    <t>LI831201BIO</t>
  </si>
  <si>
    <t>LIT831201B.Value</t>
  </si>
  <si>
    <t>LI832102AIO</t>
  </si>
  <si>
    <t>LIT832102A.Value</t>
  </si>
  <si>
    <t>LI832102BIO</t>
  </si>
  <si>
    <t>LIT832102B.Value</t>
  </si>
  <si>
    <t>LI832315AIO</t>
  </si>
  <si>
    <t>LIT832315A.Value</t>
  </si>
  <si>
    <t>LI832315BIO</t>
  </si>
  <si>
    <t>LIT832315B.Value</t>
  </si>
  <si>
    <t>LI842908AIO</t>
  </si>
  <si>
    <t>LT842908A.Value</t>
  </si>
  <si>
    <t>LI842908BIO</t>
  </si>
  <si>
    <t>LT842908B.Value</t>
  </si>
  <si>
    <t>LI850001AIO</t>
  </si>
  <si>
    <t>LT850001A.Value</t>
  </si>
  <si>
    <t>LI850001BIO</t>
  </si>
  <si>
    <t>LT850001B.Value</t>
  </si>
  <si>
    <t>LI850101AIO</t>
  </si>
  <si>
    <t>LT850101A.Value</t>
  </si>
  <si>
    <t>LI850101BIO</t>
  </si>
  <si>
    <t>LT850101B.Value</t>
  </si>
  <si>
    <t>LI850201AIO</t>
  </si>
  <si>
    <t>LT850201A.Value</t>
  </si>
  <si>
    <t>LI850201BIO</t>
  </si>
  <si>
    <t>LT850201B.Value</t>
  </si>
  <si>
    <t>LI852001AIO</t>
  </si>
  <si>
    <t>LT852001A.Value</t>
  </si>
  <si>
    <t>LI852001BIO</t>
  </si>
  <si>
    <t>LT852001B.Value</t>
  </si>
  <si>
    <t>LI853002AIO</t>
  </si>
  <si>
    <t>LIT853002A.Value</t>
  </si>
  <si>
    <t>LI853002BIO</t>
  </si>
  <si>
    <t>LIT853002B.Value</t>
  </si>
  <si>
    <t>LI856002AIO</t>
  </si>
  <si>
    <t>LT856002A.Value</t>
  </si>
  <si>
    <t>LI856002BIO</t>
  </si>
  <si>
    <t>LT856002B.Value</t>
  </si>
  <si>
    <t>LI859012IO</t>
  </si>
  <si>
    <t>LT859012.Value</t>
  </si>
  <si>
    <t>LI899016AIO</t>
  </si>
  <si>
    <t>LT899016A.Value</t>
  </si>
  <si>
    <t>LI899016BIO</t>
  </si>
  <si>
    <t>LT899016B.Value</t>
  </si>
  <si>
    <t>PDI810003A_1oo2IO_MA1</t>
  </si>
  <si>
    <t>PDT810003A.Value</t>
  </si>
  <si>
    <t>PDI810003A_1oo2IO_MA2</t>
  </si>
  <si>
    <t>PDT810003B.Value</t>
  </si>
  <si>
    <t>PDI820008A_1oo2IO_MA1</t>
  </si>
  <si>
    <t>PDT820008A.Value</t>
  </si>
  <si>
    <t>PDI820008A_1oo2IO_MA2</t>
  </si>
  <si>
    <t>PDT820008B.Value</t>
  </si>
  <si>
    <t>PDI820018A_1oo2IO_MA1</t>
  </si>
  <si>
    <t>PDT820018A.Value</t>
  </si>
  <si>
    <t>PDI820018A_1oo2IO_MA2</t>
  </si>
  <si>
    <t>PDT820018B.Value</t>
  </si>
  <si>
    <t>PDI820906IO</t>
  </si>
  <si>
    <t>PDIT820906.Value</t>
  </si>
  <si>
    <t>PDI821009IO</t>
  </si>
  <si>
    <t>PDIT821009.Value</t>
  </si>
  <si>
    <t>PDI821102IO</t>
  </si>
  <si>
    <t>PDIT821102.Value</t>
  </si>
  <si>
    <t>PDI821829IO</t>
  </si>
  <si>
    <t>PDT821829.Value</t>
  </si>
  <si>
    <t>PDI830303_1oo2IO_MA1</t>
  </si>
  <si>
    <t>PDT830303.Value</t>
  </si>
  <si>
    <t>PDI830303_1oo2IO_MA2</t>
  </si>
  <si>
    <t>PDI830314_1oo2IO_MA1</t>
  </si>
  <si>
    <t>PDT830314.Value</t>
  </si>
  <si>
    <t>PDI830314_1oo2IO_MA2</t>
  </si>
  <si>
    <t>PDT830315.Value</t>
  </si>
  <si>
    <t>PDI840002IO</t>
  </si>
  <si>
    <t>PDT840002.Value</t>
  </si>
  <si>
    <t>PDI844002IO</t>
  </si>
  <si>
    <t>PDT844002.Value</t>
  </si>
  <si>
    <t>PDI844103AIO</t>
  </si>
  <si>
    <t>PDT844103A.Value</t>
  </si>
  <si>
    <t>PDI844103BIO</t>
  </si>
  <si>
    <t>PDT844103B.Value</t>
  </si>
  <si>
    <t>PDI845006IO</t>
  </si>
  <si>
    <t>PDT845006.Value</t>
  </si>
  <si>
    <t>PDI850127IO</t>
  </si>
  <si>
    <t>PDT850127.Value</t>
  </si>
  <si>
    <t>PI800017IO</t>
  </si>
  <si>
    <t>PIT800017.Value</t>
  </si>
  <si>
    <t>PI800020IO</t>
  </si>
  <si>
    <t>PIT800020.Value</t>
  </si>
  <si>
    <t>PI800029IO</t>
  </si>
  <si>
    <t>PIT800029.Value</t>
  </si>
  <si>
    <t>PI800030IO</t>
  </si>
  <si>
    <t>PIT800030.Value</t>
  </si>
  <si>
    <t>PI800117IO</t>
  </si>
  <si>
    <t>PIT800117.Value</t>
  </si>
  <si>
    <t>PI800124IO</t>
  </si>
  <si>
    <t>PIT800124.Value</t>
  </si>
  <si>
    <t>PI800204IO</t>
  </si>
  <si>
    <t>PIT800204.Value</t>
  </si>
  <si>
    <t>PI800206IO</t>
  </si>
  <si>
    <t>PIT800206.Value</t>
  </si>
  <si>
    <t>PI800207IO</t>
  </si>
  <si>
    <t>PIT800207.Value</t>
  </si>
  <si>
    <t>PI800303IO</t>
  </si>
  <si>
    <t>PIT800303.Value</t>
  </si>
  <si>
    <t>PI800307IO</t>
  </si>
  <si>
    <t>PIT800307.Value</t>
  </si>
  <si>
    <t>PI800310IO</t>
  </si>
  <si>
    <t>PIT800310.Value</t>
  </si>
  <si>
    <t>PI800403IO</t>
  </si>
  <si>
    <t>PIT800403.Value</t>
  </si>
  <si>
    <t>PI800407IO</t>
  </si>
  <si>
    <t>PIT800407.Value</t>
  </si>
  <si>
    <t>PI800503IO</t>
  </si>
  <si>
    <t>PIT800503.Value</t>
  </si>
  <si>
    <t>PI800507IO</t>
  </si>
  <si>
    <t>PIT800507.Value</t>
  </si>
  <si>
    <t>PI800603IO</t>
  </si>
  <si>
    <t>PIT800603.Value</t>
  </si>
  <si>
    <t>PI800607IO</t>
  </si>
  <si>
    <t>PIT800607.Value</t>
  </si>
  <si>
    <t>PI800704AIO</t>
  </si>
  <si>
    <t>PIT800704A.Value</t>
  </si>
  <si>
    <t>PI800704BIO</t>
  </si>
  <si>
    <t>PIT800704B.Value</t>
  </si>
  <si>
    <t>PI800803IO</t>
  </si>
  <si>
    <t>PIT800803.Value</t>
  </si>
  <si>
    <t>PI800807IO</t>
  </si>
  <si>
    <t>PIT800807.Value</t>
  </si>
  <si>
    <t>PI803003IO</t>
  </si>
  <si>
    <t>PIT803003.Value</t>
  </si>
  <si>
    <t>PI803007IO</t>
  </si>
  <si>
    <t>PIT803007.Value</t>
  </si>
  <si>
    <t>PI803103IO</t>
  </si>
  <si>
    <t>PIT803103.Value</t>
  </si>
  <si>
    <t>PI803107IO</t>
  </si>
  <si>
    <t>PIT803107.Value</t>
  </si>
  <si>
    <t>PI803203IO</t>
  </si>
  <si>
    <t>PIT803203.Value</t>
  </si>
  <si>
    <t>PI803207IO</t>
  </si>
  <si>
    <t>PIT803207.Value</t>
  </si>
  <si>
    <t>PI803410IO</t>
  </si>
  <si>
    <t>PIT803410.Value</t>
  </si>
  <si>
    <t>PI803411IO</t>
  </si>
  <si>
    <t>PIT803411.Value</t>
  </si>
  <si>
    <t>PI803412IO</t>
  </si>
  <si>
    <t>PIT803412.Value</t>
  </si>
  <si>
    <t>PI803504IO</t>
  </si>
  <si>
    <t>PIT803504.Value</t>
  </si>
  <si>
    <t>PI803514IO</t>
  </si>
  <si>
    <t>PIT803514.Value</t>
  </si>
  <si>
    <t>PI803607IO</t>
  </si>
  <si>
    <t>PIT803607.Value</t>
  </si>
  <si>
    <t>PI803608IO</t>
  </si>
  <si>
    <t>PIT803608.Value</t>
  </si>
  <si>
    <t>PI805004IO</t>
  </si>
  <si>
    <t>PIT805004.Value</t>
  </si>
  <si>
    <t>PI805007IO</t>
  </si>
  <si>
    <t>PIT805007.Value</t>
  </si>
  <si>
    <t>PI805015IO</t>
  </si>
  <si>
    <t>PIT805015.Value</t>
  </si>
  <si>
    <t>PI805023IO</t>
  </si>
  <si>
    <t>PIT805023.Value</t>
  </si>
  <si>
    <t>PI807001AIO</t>
  </si>
  <si>
    <t>PIT807001A.Value</t>
  </si>
  <si>
    <t>PI807001BIO</t>
  </si>
  <si>
    <t>PIT807001B.Value</t>
  </si>
  <si>
    <t>PI807013IO</t>
  </si>
  <si>
    <t>PIT807013.Value</t>
  </si>
  <si>
    <t>PI808109IO</t>
  </si>
  <si>
    <t>PIT808109.Value</t>
  </si>
  <si>
    <t>PI808203IO</t>
  </si>
  <si>
    <t>PIT808203.Value</t>
  </si>
  <si>
    <t>PI808207IO</t>
  </si>
  <si>
    <t>PIT808207.Value</t>
  </si>
  <si>
    <t>PI808307IO</t>
  </si>
  <si>
    <t>PIT808307.Value</t>
  </si>
  <si>
    <t>PI808311IO</t>
  </si>
  <si>
    <t>PIT808311.Value</t>
  </si>
  <si>
    <t>PI809003IO</t>
  </si>
  <si>
    <t>PIT809003.Value</t>
  </si>
  <si>
    <t>PI809007IO</t>
  </si>
  <si>
    <t>PIT809007.Value</t>
  </si>
  <si>
    <t>PI809103IO</t>
  </si>
  <si>
    <t>PIT809103.Value</t>
  </si>
  <si>
    <t>PI809107IO</t>
  </si>
  <si>
    <t>PIT809107.Value</t>
  </si>
  <si>
    <t>PI809203IO</t>
  </si>
  <si>
    <t>PIT809203.Value</t>
  </si>
  <si>
    <t>PI809207IO</t>
  </si>
  <si>
    <t>PIT809207.Value</t>
  </si>
  <si>
    <t>PI810007IO</t>
  </si>
  <si>
    <t>PIT810007.Value</t>
  </si>
  <si>
    <t>PI810108IO</t>
  </si>
  <si>
    <t>PIT810108.Value</t>
  </si>
  <si>
    <t>PI810401A_1oo2IO_MA1</t>
  </si>
  <si>
    <t>PIT810401A.Value</t>
  </si>
  <si>
    <t>PI810401A_1oo2IO_MA2</t>
  </si>
  <si>
    <t>PIT810401B.Value</t>
  </si>
  <si>
    <t>PI810405IO</t>
  </si>
  <si>
    <t>PIT810405.Value</t>
  </si>
  <si>
    <t>PI810406IO</t>
  </si>
  <si>
    <t>PIT810406.Value</t>
  </si>
  <si>
    <t>PI810427IO</t>
  </si>
  <si>
    <t>PIT810427.Value</t>
  </si>
  <si>
    <t>PI810430IO</t>
  </si>
  <si>
    <t>PIT810430.Value</t>
  </si>
  <si>
    <t>PI810431IO</t>
  </si>
  <si>
    <t>PT810431.Value</t>
  </si>
  <si>
    <t>PI810446IO</t>
  </si>
  <si>
    <t>PIT810446.Value</t>
  </si>
  <si>
    <t>PI810451IO</t>
  </si>
  <si>
    <t>PIT810451.Value</t>
  </si>
  <si>
    <t>PI810455IO</t>
  </si>
  <si>
    <t>PIT810455.Value</t>
  </si>
  <si>
    <t>PI810506IO</t>
  </si>
  <si>
    <t>PIT810506.Value</t>
  </si>
  <si>
    <t>PI810613IO</t>
  </si>
  <si>
    <t>PIT810613.Value</t>
  </si>
  <si>
    <t>PI810633IO</t>
  </si>
  <si>
    <t>PIT810633.Value</t>
  </si>
  <si>
    <t>PI810652IO</t>
  </si>
  <si>
    <t>PIT810652.Value</t>
  </si>
  <si>
    <t>PI810716IO</t>
  </si>
  <si>
    <t>PIT810716.Value</t>
  </si>
  <si>
    <t>PI811003IO</t>
  </si>
  <si>
    <t>PIT811003.Value</t>
  </si>
  <si>
    <t>PI811007IO</t>
  </si>
  <si>
    <t>PIT811007.Value</t>
  </si>
  <si>
    <t>PI811103IO</t>
  </si>
  <si>
    <t>PIT811103.Value</t>
  </si>
  <si>
    <t>PI811107IO</t>
  </si>
  <si>
    <t>PIT811107.Value</t>
  </si>
  <si>
    <t>PI812005IO</t>
  </si>
  <si>
    <t>PIT812005.Value</t>
  </si>
  <si>
    <t>PI812113IO</t>
  </si>
  <si>
    <t>PIT812113.Value</t>
  </si>
  <si>
    <t>PI812120IO</t>
  </si>
  <si>
    <t>PIT812120.Value</t>
  </si>
  <si>
    <t>PI812202IO</t>
  </si>
  <si>
    <t>PIT812202.Value</t>
  </si>
  <si>
    <t>PI812204IO</t>
  </si>
  <si>
    <t>PIT812204.Value</t>
  </si>
  <si>
    <t>PI820006IO</t>
  </si>
  <si>
    <t>PIT820006.Value</t>
  </si>
  <si>
    <t>PI820016IO</t>
  </si>
  <si>
    <t>PIT820016.Value</t>
  </si>
  <si>
    <t>PI820105IO</t>
  </si>
  <si>
    <t>PIT820105.Value</t>
  </si>
  <si>
    <t>PI820411IO</t>
  </si>
  <si>
    <t>PIT820411.Value</t>
  </si>
  <si>
    <t>PI820412IO</t>
  </si>
  <si>
    <t>PIT820412.Value</t>
  </si>
  <si>
    <t>PI820413A_1oo2IO_MA1</t>
  </si>
  <si>
    <t>PIT820413A.Value</t>
  </si>
  <si>
    <t>PI820413A_1oo2IO_MA2</t>
  </si>
  <si>
    <t>PIT820413B.Value</t>
  </si>
  <si>
    <t>PI820490IO</t>
  </si>
  <si>
    <t>PIT820490.Value</t>
  </si>
  <si>
    <t>PI820492IO</t>
  </si>
  <si>
    <t>PIT820492.Value</t>
  </si>
  <si>
    <t>PI820493IO</t>
  </si>
  <si>
    <t>PIT820493.Value</t>
  </si>
  <si>
    <t>PI820506IO</t>
  </si>
  <si>
    <t>PIT820506.Value</t>
  </si>
  <si>
    <t>PI820613IO</t>
  </si>
  <si>
    <t>PIT820613.Value</t>
  </si>
  <si>
    <t>PI820633IO</t>
  </si>
  <si>
    <t>PIT820633.Value</t>
  </si>
  <si>
    <t>PI820652IO</t>
  </si>
  <si>
    <t>PIT820652.Value</t>
  </si>
  <si>
    <t>PI820714IO</t>
  </si>
  <si>
    <t>PIT820714.Value</t>
  </si>
  <si>
    <t>PI820814IO</t>
  </si>
  <si>
    <t>PIT820814.Value</t>
  </si>
  <si>
    <t>PI820824IO</t>
  </si>
  <si>
    <t>PIT820824.Value</t>
  </si>
  <si>
    <t>PI820905IO</t>
  </si>
  <si>
    <t>PIT820905.Value</t>
  </si>
  <si>
    <t>PI821213IO</t>
  </si>
  <si>
    <t>PIT821213.Value</t>
  </si>
  <si>
    <t>PI821406IO</t>
  </si>
  <si>
    <t>PIT821406.Value</t>
  </si>
  <si>
    <t>PI821416IO</t>
  </si>
  <si>
    <t>PIT821416.Value</t>
  </si>
  <si>
    <t>PI821502IO</t>
  </si>
  <si>
    <t>PIT821502.Value</t>
  </si>
  <si>
    <t>PI821513IO</t>
  </si>
  <si>
    <t>PIT821513.Value</t>
  </si>
  <si>
    <t>PI821623IO</t>
  </si>
  <si>
    <t>PIT821623.Value</t>
  </si>
  <si>
    <t>PI821826IO</t>
  </si>
  <si>
    <t>PT821826.Value</t>
  </si>
  <si>
    <t>PI821831IO</t>
  </si>
  <si>
    <t>PIT821831.Value</t>
  </si>
  <si>
    <t>PI821907IO</t>
  </si>
  <si>
    <t>PIT821907.Value</t>
  </si>
  <si>
    <t>PI822010IO</t>
  </si>
  <si>
    <t>PIT822010.Value</t>
  </si>
  <si>
    <t>PI822114IO</t>
  </si>
  <si>
    <t>PIT822114.Value</t>
  </si>
  <si>
    <t>PI822118IO</t>
  </si>
  <si>
    <t>PIT822118.Value</t>
  </si>
  <si>
    <t>PI822136IO</t>
  </si>
  <si>
    <t>PIT822136.Value</t>
  </si>
  <si>
    <t>PI822137IO</t>
  </si>
  <si>
    <t>PIT822137.Value</t>
  </si>
  <si>
    <t>PI822146IO</t>
  </si>
  <si>
    <t>PIT822146.Value</t>
  </si>
  <si>
    <t>PI822301IO</t>
  </si>
  <si>
    <t>PIT822301.Value</t>
  </si>
  <si>
    <t>PI822312IO</t>
  </si>
  <si>
    <t>PIT822312.Value</t>
  </si>
  <si>
    <t>PI822401IO</t>
  </si>
  <si>
    <t>PIT822401.Value</t>
  </si>
  <si>
    <t>PI822412IO</t>
  </si>
  <si>
    <t>PIT822412.Value</t>
  </si>
  <si>
    <t>PI822908IO</t>
  </si>
  <si>
    <t>PIT822908.Value</t>
  </si>
  <si>
    <t>PI822910IO</t>
  </si>
  <si>
    <t>PIT822910.Value</t>
  </si>
  <si>
    <t>PI822911IO</t>
  </si>
  <si>
    <t>PIT822911.Value</t>
  </si>
  <si>
    <t>PI823006IO</t>
  </si>
  <si>
    <t>PIT823006.Value</t>
  </si>
  <si>
    <t>PI823105IO</t>
  </si>
  <si>
    <t>PIT823105.Value</t>
  </si>
  <si>
    <t>PI823203IO</t>
  </si>
  <si>
    <t>PIT823203.Value</t>
  </si>
  <si>
    <t>PI823213IO</t>
  </si>
  <si>
    <t>PIT823213.Value</t>
  </si>
  <si>
    <t>PI823215IO</t>
  </si>
  <si>
    <t>PIT823215.Value</t>
  </si>
  <si>
    <t>PI823218IO</t>
  </si>
  <si>
    <t>PIT823218.Value</t>
  </si>
  <si>
    <t>PI823302IO</t>
  </si>
  <si>
    <t>PIT823302.Value</t>
  </si>
  <si>
    <t>PI823304IO</t>
  </si>
  <si>
    <t>PIT823304.Value</t>
  </si>
  <si>
    <t>PI823330IO</t>
  </si>
  <si>
    <t>PIT823330.Value</t>
  </si>
  <si>
    <t>PI823332IO</t>
  </si>
  <si>
    <t>PIT823332.Value</t>
  </si>
  <si>
    <t>PI825004IO</t>
  </si>
  <si>
    <t>PIT825004.Value</t>
  </si>
  <si>
    <t>PI825008IO</t>
  </si>
  <si>
    <t>PIT825008.Value</t>
  </si>
  <si>
    <t>PI830101IO</t>
  </si>
  <si>
    <t>PIT830101.Value</t>
  </si>
  <si>
    <t>PI830209IO</t>
  </si>
  <si>
    <t>PIT830209.Value</t>
  </si>
  <si>
    <t>PI830223IO</t>
  </si>
  <si>
    <t>PIT830223.Value</t>
  </si>
  <si>
    <t>PI830307IO</t>
  </si>
  <si>
    <t>PIT830307.Value</t>
  </si>
  <si>
    <t>PI830318IO</t>
  </si>
  <si>
    <t>PIT830318.Value</t>
  </si>
  <si>
    <t>PI830324IO</t>
  </si>
  <si>
    <t>PIT830324.Value</t>
  </si>
  <si>
    <t>PI830328IO</t>
  </si>
  <si>
    <t>PIT830328.Value</t>
  </si>
  <si>
    <t>PI830332IO</t>
  </si>
  <si>
    <t>PT830332.Value</t>
  </si>
  <si>
    <t>PI830414IO</t>
  </si>
  <si>
    <t>PIT830414.Value</t>
  </si>
  <si>
    <t>PI830501A_1oo2IO_MA1</t>
  </si>
  <si>
    <t>PIT830501A.Value</t>
  </si>
  <si>
    <t>PI830501A_1oo2IO_MA2</t>
  </si>
  <si>
    <t>PIT830501B.Value</t>
  </si>
  <si>
    <t>PI830528IO</t>
  </si>
  <si>
    <t>PIT830528.Value</t>
  </si>
  <si>
    <t>PI830529IO</t>
  </si>
  <si>
    <t>PIT830529.Value</t>
  </si>
  <si>
    <t>PI830535IO</t>
  </si>
  <si>
    <t>PIT830535.Value</t>
  </si>
  <si>
    <t>PI830604IO</t>
  </si>
  <si>
    <t>PIT830604.Value</t>
  </si>
  <si>
    <t>PI830704IO</t>
  </si>
  <si>
    <t>PIT830704.Value</t>
  </si>
  <si>
    <t>PI830813IO</t>
  </si>
  <si>
    <t>PIT830813.Value</t>
  </si>
  <si>
    <t>PI830833IO</t>
  </si>
  <si>
    <t>PIT830833.Value</t>
  </si>
  <si>
    <t>PI830852IO</t>
  </si>
  <si>
    <t>PIT830852.Value</t>
  </si>
  <si>
    <t>PI830901IO</t>
  </si>
  <si>
    <t>PIT830901.Value</t>
  </si>
  <si>
    <t>PI830908IO</t>
  </si>
  <si>
    <t>PIT830908.Value</t>
  </si>
  <si>
    <t>PI830909AIO</t>
  </si>
  <si>
    <t>PIT830909A.Value</t>
  </si>
  <si>
    <t>PI830909BIO</t>
  </si>
  <si>
    <t>PIT830909B.Value</t>
  </si>
  <si>
    <t>PI830919IO</t>
  </si>
  <si>
    <t>PIT830919.Value</t>
  </si>
  <si>
    <t>PI830934IO</t>
  </si>
  <si>
    <t>PIT830934.Value</t>
  </si>
  <si>
    <t>PI830942IO</t>
  </si>
  <si>
    <t>PIT830942.Value</t>
  </si>
  <si>
    <t>PI830944IO</t>
  </si>
  <si>
    <t>PIT830944.Value</t>
  </si>
  <si>
    <t>PI831103IO</t>
  </si>
  <si>
    <t>PIT831103.Value</t>
  </si>
  <si>
    <t>PI831107IO</t>
  </si>
  <si>
    <t>PIT831107.Value</t>
  </si>
  <si>
    <t>PI831203IO</t>
  </si>
  <si>
    <t>PIT831203.Value</t>
  </si>
  <si>
    <t>PI831207IO</t>
  </si>
  <si>
    <t>PIT831207.Value</t>
  </si>
  <si>
    <t>PI832106IO</t>
  </si>
  <si>
    <t>PIT832106.Value</t>
  </si>
  <si>
    <t>PI832202IO</t>
  </si>
  <si>
    <t>PIT832202.Value</t>
  </si>
  <si>
    <t>PI832205IO</t>
  </si>
  <si>
    <t>PIT832205.Value</t>
  </si>
  <si>
    <t>PI832313IO</t>
  </si>
  <si>
    <t>PIT832313.Value</t>
  </si>
  <si>
    <t>PI832324IO</t>
  </si>
  <si>
    <t>PIT832324.Value</t>
  </si>
  <si>
    <t>PI832334IO</t>
  </si>
  <si>
    <t>PIT832334.Value</t>
  </si>
  <si>
    <t>PI832340IO</t>
  </si>
  <si>
    <t>PIT832340.Value</t>
  </si>
  <si>
    <t>PI832345IO</t>
  </si>
  <si>
    <t>PIT832345.Value</t>
  </si>
  <si>
    <t>PI832402IO</t>
  </si>
  <si>
    <t>PIT832402.Value</t>
  </si>
  <si>
    <t>PI832404IO</t>
  </si>
  <si>
    <t>PIT832404.Value</t>
  </si>
  <si>
    <t>PI832502IO</t>
  </si>
  <si>
    <t>PIT832502.Value</t>
  </si>
  <si>
    <t>PI832504IO</t>
  </si>
  <si>
    <t>PIT832504.Value</t>
  </si>
  <si>
    <t>PI835004IO</t>
  </si>
  <si>
    <t>PIT835004.Value</t>
  </si>
  <si>
    <t>PI835008IO</t>
  </si>
  <si>
    <t>PIT835008.Value</t>
  </si>
  <si>
    <t>PI840003IO</t>
  </si>
  <si>
    <t>PIT840003.Value</t>
  </si>
  <si>
    <t>PI841402IO</t>
  </si>
  <si>
    <t>PT841402.Value</t>
  </si>
  <si>
    <t>PI842902IO</t>
  </si>
  <si>
    <t>PIT842902.Value</t>
  </si>
  <si>
    <t>PI842903IO</t>
  </si>
  <si>
    <t>PIT842903.Value</t>
  </si>
  <si>
    <t>PI844003IO</t>
  </si>
  <si>
    <t>PIT844003.Value</t>
  </si>
  <si>
    <t>PI844108IO</t>
  </si>
  <si>
    <t>PIT844108.Value</t>
  </si>
  <si>
    <t>PI845007IO</t>
  </si>
  <si>
    <t>PT845007.Value</t>
  </si>
  <si>
    <t>PI850003IO</t>
  </si>
  <si>
    <t>PIT850003.Value</t>
  </si>
  <si>
    <t>PI850007IO</t>
  </si>
  <si>
    <t>PIT850007.Value</t>
  </si>
  <si>
    <t>PI850018IO</t>
  </si>
  <si>
    <t>PIT850018.Value</t>
  </si>
  <si>
    <t>PI850103IO</t>
  </si>
  <si>
    <t>PIT850103.Value</t>
  </si>
  <si>
    <t>PI850107IO</t>
  </si>
  <si>
    <t>PIT850107.Value</t>
  </si>
  <si>
    <t>PI850131IO</t>
  </si>
  <si>
    <t>PIT850131.Value</t>
  </si>
  <si>
    <t>PI850203IO</t>
  </si>
  <si>
    <t>PIT850203.Value</t>
  </si>
  <si>
    <t>PI850207IO</t>
  </si>
  <si>
    <t>PIT850207.Value</t>
  </si>
  <si>
    <t>PI852003IO</t>
  </si>
  <si>
    <t>PIT852003.Value</t>
  </si>
  <si>
    <t>PI852007IO</t>
  </si>
  <si>
    <t>PIT852007.Value</t>
  </si>
  <si>
    <t>PI853003IO</t>
  </si>
  <si>
    <t>PIT853003.Value</t>
  </si>
  <si>
    <t>PI856006IO</t>
  </si>
  <si>
    <t>PIT856006.Value</t>
  </si>
  <si>
    <t>PI859006IO</t>
  </si>
  <si>
    <t>PT859006.Value</t>
  </si>
  <si>
    <t>PI897502IO</t>
  </si>
  <si>
    <t>PIT897502.Value</t>
  </si>
  <si>
    <t>PI899010IO</t>
  </si>
  <si>
    <t>PT899010.Value</t>
  </si>
  <si>
    <t>real1</t>
  </si>
  <si>
    <t>real1.Value</t>
  </si>
  <si>
    <t>real2</t>
  </si>
  <si>
    <t>real2.Value</t>
  </si>
  <si>
    <t>realio1</t>
  </si>
  <si>
    <t>realio1.Value</t>
  </si>
  <si>
    <t>realio2</t>
  </si>
  <si>
    <t>realio2.Value</t>
  </si>
  <si>
    <t>SI800105IO</t>
  </si>
  <si>
    <t>ST800105.Value</t>
  </si>
  <si>
    <t>SI803414IO</t>
  </si>
  <si>
    <t>SI803505IO</t>
  </si>
  <si>
    <t>SI803610IO</t>
  </si>
  <si>
    <t>SI810422IO</t>
  </si>
  <si>
    <t>ST810422.Value</t>
  </si>
  <si>
    <t>SI810511IO</t>
  </si>
  <si>
    <t>ST810511.Value</t>
  </si>
  <si>
    <t>SI820415IO</t>
  </si>
  <si>
    <t>ST820415.Value</t>
  </si>
  <si>
    <t>SI820511IO</t>
  </si>
  <si>
    <t>ST820511.Value</t>
  </si>
  <si>
    <t>SI830117IO</t>
  </si>
  <si>
    <t>ST830117.Value</t>
  </si>
  <si>
    <t>SI830201IO</t>
  </si>
  <si>
    <t>ST830201.Value</t>
  </si>
  <si>
    <t>SI830509IO</t>
  </si>
  <si>
    <t>ST830509.Value</t>
  </si>
  <si>
    <t>TI800003IO</t>
  </si>
  <si>
    <t>TT800003.Value</t>
  </si>
  <si>
    <t>TI800007_1oo1IO</t>
  </si>
  <si>
    <t>TT800007.Value</t>
  </si>
  <si>
    <t>TI800103IO</t>
  </si>
  <si>
    <t>TT800103.Value</t>
  </si>
  <si>
    <t>TI800107_1oo1IO</t>
  </si>
  <si>
    <t>TT800107.Value</t>
  </si>
  <si>
    <t>TI800304IO</t>
  </si>
  <si>
    <t>TT800304.Value</t>
  </si>
  <si>
    <t>TI800404IO</t>
  </si>
  <si>
    <t>TT800404.Value</t>
  </si>
  <si>
    <t>TI800504IO</t>
  </si>
  <si>
    <t>TT800504.Value</t>
  </si>
  <si>
    <t>TI800604IO</t>
  </si>
  <si>
    <t>TT800604.Value</t>
  </si>
  <si>
    <t>TI800712IO</t>
  </si>
  <si>
    <t>TT800712.Value</t>
  </si>
  <si>
    <t>TI800804IO</t>
  </si>
  <si>
    <t>TT800804.Value</t>
  </si>
  <si>
    <t>TI803004IO</t>
  </si>
  <si>
    <t>TT803004.Value</t>
  </si>
  <si>
    <t>TI803104IO</t>
  </si>
  <si>
    <t>TT803104.Value</t>
  </si>
  <si>
    <t>TI803204IO</t>
  </si>
  <si>
    <t>TT803204.Value</t>
  </si>
  <si>
    <t>TI805001IO</t>
  </si>
  <si>
    <t>TT805001.Value</t>
  </si>
  <si>
    <t>TI805009IO</t>
  </si>
  <si>
    <t>TT805009.Value</t>
  </si>
  <si>
    <t>TI807006IO</t>
  </si>
  <si>
    <t>TT807006.Value</t>
  </si>
  <si>
    <t>TI807023IO</t>
  </si>
  <si>
    <t>TT807023.Value</t>
  </si>
  <si>
    <t>TI807024IO</t>
  </si>
  <si>
    <t>TT807024.Value</t>
  </si>
  <si>
    <t>TI808106IO</t>
  </si>
  <si>
    <t>TT808106.Value</t>
  </si>
  <si>
    <t>TI808308IO</t>
  </si>
  <si>
    <t>TT808308.Value</t>
  </si>
  <si>
    <t>TI809004IO</t>
  </si>
  <si>
    <t>TT809004.Value</t>
  </si>
  <si>
    <t>TI809104IO</t>
  </si>
  <si>
    <t>TT809104.Value</t>
  </si>
  <si>
    <t>TI809204IO</t>
  </si>
  <si>
    <t>TT809204.Value</t>
  </si>
  <si>
    <t>TI810407A_1oo2IO_MA1</t>
  </si>
  <si>
    <t>TT810407A.Value</t>
  </si>
  <si>
    <t>TI810407A_1oo2IO_MA2</t>
  </si>
  <si>
    <t>TT810407B.Value</t>
  </si>
  <si>
    <t>TI810418IO</t>
  </si>
  <si>
    <t>TT810418.Value</t>
  </si>
  <si>
    <t>TI810423A_1oo2IO_MA1</t>
  </si>
  <si>
    <t>TT810423A.Value</t>
  </si>
  <si>
    <t>TI810423A_1oo2IO_MA2</t>
  </si>
  <si>
    <t>TT810423B.Value</t>
  </si>
  <si>
    <t>TI810447IO</t>
  </si>
  <si>
    <t>TT810447.Value</t>
  </si>
  <si>
    <t>TI810505IO</t>
  </si>
  <si>
    <t>TT810505.Value</t>
  </si>
  <si>
    <t>TI810534IO</t>
  </si>
  <si>
    <t>TT810534.Value</t>
  </si>
  <si>
    <t>TI810535_1oo1IO</t>
  </si>
  <si>
    <t>TT810535.Value</t>
  </si>
  <si>
    <t>TI810536_1oo1IO</t>
  </si>
  <si>
    <t>TT810536.Value</t>
  </si>
  <si>
    <t>TI810537_1oo1IO</t>
  </si>
  <si>
    <t>TT810537.Value</t>
  </si>
  <si>
    <t>TI810601IO</t>
  </si>
  <si>
    <t>TT810601.Value</t>
  </si>
  <si>
    <t>TI810603IO</t>
  </si>
  <si>
    <t>TT810603.Value</t>
  </si>
  <si>
    <t>TI810623IO</t>
  </si>
  <si>
    <t>TT810623.Value</t>
  </si>
  <si>
    <t>TI810631IO</t>
  </si>
  <si>
    <t>TT810631.Value</t>
  </si>
  <si>
    <t>TI810634IO</t>
  </si>
  <si>
    <t>TT810634.Value</t>
  </si>
  <si>
    <t>TI810637IO</t>
  </si>
  <si>
    <t>TT810637.Value</t>
  </si>
  <si>
    <t>TI810638AIO</t>
  </si>
  <si>
    <t>TT810638A.Value</t>
  </si>
  <si>
    <t>TI810638BIO</t>
  </si>
  <si>
    <t>TT810638B.Value</t>
  </si>
  <si>
    <t>TI811004IO</t>
  </si>
  <si>
    <t>TT811004.Value</t>
  </si>
  <si>
    <t>TI811104IO</t>
  </si>
  <si>
    <t>TT811104.Value</t>
  </si>
  <si>
    <t>TI812002IO</t>
  </si>
  <si>
    <t>TT812002.Value</t>
  </si>
  <si>
    <t>TI812022IO</t>
  </si>
  <si>
    <t>TT812022.Value</t>
  </si>
  <si>
    <t>TI812101IO</t>
  </si>
  <si>
    <t>TT812101.Value</t>
  </si>
  <si>
    <t>TI812203IO</t>
  </si>
  <si>
    <t>TT812203.Value</t>
  </si>
  <si>
    <t>TI820011A_1oo2IO_MA1</t>
  </si>
  <si>
    <t>TT820011A.Value</t>
  </si>
  <si>
    <t>TI820011A_1oo2IO_MA2</t>
  </si>
  <si>
    <t>TI820011AIO</t>
  </si>
  <si>
    <t>TI820011BIO</t>
  </si>
  <si>
    <t>TT820011B.Value</t>
  </si>
  <si>
    <t>TI820405IO</t>
  </si>
  <si>
    <t>TT820405.Value</t>
  </si>
  <si>
    <t>TI820418A_1oo2IO_MA1</t>
  </si>
  <si>
    <t>TT820418A.Value</t>
  </si>
  <si>
    <t>TI820418A_1oo2IO_MA2</t>
  </si>
  <si>
    <t>TT820418B.Value</t>
  </si>
  <si>
    <t>TI820422A_1oo2IO_MA1</t>
  </si>
  <si>
    <t>TT820422A.Value</t>
  </si>
  <si>
    <t>TI820422A_1oo2IO_MA2</t>
  </si>
  <si>
    <t>TT820422B.Value</t>
  </si>
  <si>
    <t>TI820505_1oo1IO</t>
  </si>
  <si>
    <t>TT820505.Value</t>
  </si>
  <si>
    <t>TI820505IO</t>
  </si>
  <si>
    <t>TI820542IO</t>
  </si>
  <si>
    <t>TT820542.Value</t>
  </si>
  <si>
    <t>TI820563_1oo1IO</t>
  </si>
  <si>
    <t>TT820563.Value</t>
  </si>
  <si>
    <t>TI820564_1oo1IO</t>
  </si>
  <si>
    <t>TT820564.Value</t>
  </si>
  <si>
    <t>TI820601IO</t>
  </si>
  <si>
    <t>TT820601.Value</t>
  </si>
  <si>
    <t>TI820603IO</t>
  </si>
  <si>
    <t>TT820603.Value</t>
  </si>
  <si>
    <t>TI820623IO</t>
  </si>
  <si>
    <t>TT820623.Value</t>
  </si>
  <si>
    <t>TI820631IO</t>
  </si>
  <si>
    <t>TT820631.Value</t>
  </si>
  <si>
    <t>TI820634IO</t>
  </si>
  <si>
    <t>TT820634.Value</t>
  </si>
  <si>
    <t>TI820637IO</t>
  </si>
  <si>
    <t>TT820637.Value</t>
  </si>
  <si>
    <t>TI820638AIO</t>
  </si>
  <si>
    <t>TT820638A.Value</t>
  </si>
  <si>
    <t>TI820638BIO</t>
  </si>
  <si>
    <t>TT820638B.Value</t>
  </si>
  <si>
    <t>TI820811IO</t>
  </si>
  <si>
    <t>TT820811.Value</t>
  </si>
  <si>
    <t>TI820833IO</t>
  </si>
  <si>
    <t>TT820833.Value</t>
  </si>
  <si>
    <t>TI820912IO</t>
  </si>
  <si>
    <t>TT820912.Value</t>
  </si>
  <si>
    <t>TI821003IO</t>
  </si>
  <si>
    <t>TT821003.Value</t>
  </si>
  <si>
    <t>TI821007IO</t>
  </si>
  <si>
    <t>TT821007.Value</t>
  </si>
  <si>
    <t>TI821101IO</t>
  </si>
  <si>
    <t>TT821101.Value</t>
  </si>
  <si>
    <t>TI821106IO</t>
  </si>
  <si>
    <t>TT821106.Value</t>
  </si>
  <si>
    <t>TI821204IO</t>
  </si>
  <si>
    <t>TT821204.Value</t>
  </si>
  <si>
    <t>TI821208IO</t>
  </si>
  <si>
    <t>TT821208.Value</t>
  </si>
  <si>
    <t>TI821212IO</t>
  </si>
  <si>
    <t>TT821212.Value</t>
  </si>
  <si>
    <t>TI821215IO</t>
  </si>
  <si>
    <t>TT821215.Value</t>
  </si>
  <si>
    <t>TI821409IO</t>
  </si>
  <si>
    <t>TT821409.Value</t>
  </si>
  <si>
    <t>TI821411IO</t>
  </si>
  <si>
    <t>TT821411.Value</t>
  </si>
  <si>
    <t>TI821501IO</t>
  </si>
  <si>
    <t>TT821501.Value</t>
  </si>
  <si>
    <t>TI821601IO</t>
  </si>
  <si>
    <t>TT821601.Value</t>
  </si>
  <si>
    <t>TI821924IO</t>
  </si>
  <si>
    <t>TT821924.Value</t>
  </si>
  <si>
    <t>TI822005IO</t>
  </si>
  <si>
    <t>TT822005.Value</t>
  </si>
  <si>
    <t>TI822116IO</t>
  </si>
  <si>
    <t>TT822116.Value</t>
  </si>
  <si>
    <t>TI822140IO</t>
  </si>
  <si>
    <t>TT822140.Value</t>
  </si>
  <si>
    <t>TI822205IO</t>
  </si>
  <si>
    <t>TT822205.Value</t>
  </si>
  <si>
    <t>TI822306IO</t>
  </si>
  <si>
    <t>TT822306.Value</t>
  </si>
  <si>
    <t>TI822406IO</t>
  </si>
  <si>
    <t>TT822406.Value</t>
  </si>
  <si>
    <t>TI822907IO</t>
  </si>
  <si>
    <t>TT822907.Value</t>
  </si>
  <si>
    <t>TI822912IO</t>
  </si>
  <si>
    <t>TT822912.Value</t>
  </si>
  <si>
    <t>TI823003IO</t>
  </si>
  <si>
    <t>TT823003.Value</t>
  </si>
  <si>
    <t>TI823007IO</t>
  </si>
  <si>
    <t>TT823007.Value</t>
  </si>
  <si>
    <t>TI823010IO</t>
  </si>
  <si>
    <t>TT823010.Value</t>
  </si>
  <si>
    <t>TI823102IO</t>
  </si>
  <si>
    <t>TT823102.Value</t>
  </si>
  <si>
    <t>TI823201IO</t>
  </si>
  <si>
    <t>TT823201.Value</t>
  </si>
  <si>
    <t>TI823204IO</t>
  </si>
  <si>
    <t>TT823204.Value</t>
  </si>
  <si>
    <t>TI823219IO</t>
  </si>
  <si>
    <t>TT823219.Value</t>
  </si>
  <si>
    <t>TI823303IO</t>
  </si>
  <si>
    <t>TT823303.Value</t>
  </si>
  <si>
    <t>TI823331IO</t>
  </si>
  <si>
    <t>TT823331.Value</t>
  </si>
  <si>
    <t>TI830104IO</t>
  </si>
  <si>
    <t>TT830104.Value</t>
  </si>
  <si>
    <t>TI830208IO</t>
  </si>
  <si>
    <t>TT830208.Value</t>
  </si>
  <si>
    <t>TI830506A_1oo2IO_MA1</t>
  </si>
  <si>
    <t>TT830506A.Value</t>
  </si>
  <si>
    <t>TI830506A_1oo2IO_MA2</t>
  </si>
  <si>
    <t>TT830506B.Value</t>
  </si>
  <si>
    <t>TI830506AIO</t>
  </si>
  <si>
    <t>TI830506BIO</t>
  </si>
  <si>
    <t>TI830512AIO</t>
  </si>
  <si>
    <t>TT830512A.Value</t>
  </si>
  <si>
    <t>TI830512BIO</t>
  </si>
  <si>
    <t>TT830512B.Value</t>
  </si>
  <si>
    <t>TI830524AIO</t>
  </si>
  <si>
    <t>TT830524A.Value</t>
  </si>
  <si>
    <t>TI830524BIO</t>
  </si>
  <si>
    <t>TT830524B.Value</t>
  </si>
  <si>
    <t>TI830525A_1oo2IO_MA1</t>
  </si>
  <si>
    <t>TT830525A.Value</t>
  </si>
  <si>
    <t>TI830525A_1oo2IO_MA2</t>
  </si>
  <si>
    <t>TT830525B.Value</t>
  </si>
  <si>
    <t>TI830617IO</t>
  </si>
  <si>
    <t>TT830617.Value</t>
  </si>
  <si>
    <t>TI830636IO</t>
  </si>
  <si>
    <t>TT830636.Value</t>
  </si>
  <si>
    <t>TI830801IO</t>
  </si>
  <si>
    <t>TT830801.Value</t>
  </si>
  <si>
    <t>TI830803IO</t>
  </si>
  <si>
    <t>TT830803.Value</t>
  </si>
  <si>
    <t>TI830823IO</t>
  </si>
  <si>
    <t>TT830823.Value</t>
  </si>
  <si>
    <t>TI830831IO</t>
  </si>
  <si>
    <t>TT830831.Value</t>
  </si>
  <si>
    <t>TI830834IO</t>
  </si>
  <si>
    <t>TT830834.Value</t>
  </si>
  <si>
    <t>TI830837IO</t>
  </si>
  <si>
    <t>TT830837.Value</t>
  </si>
  <si>
    <t>TI830838AIO</t>
  </si>
  <si>
    <t>TT830838A.Value</t>
  </si>
  <si>
    <t>TI830838BIO</t>
  </si>
  <si>
    <t>TT830838B.Value</t>
  </si>
  <si>
    <t>TI830902IO</t>
  </si>
  <si>
    <t>TT830902.Value</t>
  </si>
  <si>
    <t>TI830905IO</t>
  </si>
  <si>
    <t>TT830905.Value</t>
  </si>
  <si>
    <t>TI830946IO</t>
  </si>
  <si>
    <t>TT830946.Value</t>
  </si>
  <si>
    <t>TI831006IO</t>
  </si>
  <si>
    <t>TT831006.Value</t>
  </si>
  <si>
    <t>TI831104IO</t>
  </si>
  <si>
    <t>TT831104.Value</t>
  </si>
  <si>
    <t>TI831204IO</t>
  </si>
  <si>
    <t>TT831204.Value</t>
  </si>
  <si>
    <t>TI831410IO</t>
  </si>
  <si>
    <t>TT831410.Value</t>
  </si>
  <si>
    <t>TI832107IO</t>
  </si>
  <si>
    <t>TT832107.Value</t>
  </si>
  <si>
    <t>TI832110IO</t>
  </si>
  <si>
    <t>TT832110.Value</t>
  </si>
  <si>
    <t>TI832204IO</t>
  </si>
  <si>
    <t>TT832204.Value</t>
  </si>
  <si>
    <t>TI832230IO</t>
  </si>
  <si>
    <t>TT832230.Value</t>
  </si>
  <si>
    <t>TI832301IO</t>
  </si>
  <si>
    <t>TT832301.Value</t>
  </si>
  <si>
    <t>TI832320IO</t>
  </si>
  <si>
    <t>TT832320.Value</t>
  </si>
  <si>
    <t>TI832321IO</t>
  </si>
  <si>
    <t>TT832321.Value</t>
  </si>
  <si>
    <t>TI832330IO</t>
  </si>
  <si>
    <t>TT832330.Value</t>
  </si>
  <si>
    <t>TI832346IO</t>
  </si>
  <si>
    <t>TT832346.Value</t>
  </si>
  <si>
    <t>TI832403IO</t>
  </si>
  <si>
    <t>TT832403.Value</t>
  </si>
  <si>
    <t>TI832503IO</t>
  </si>
  <si>
    <t>TT832503.Value</t>
  </si>
  <si>
    <t>TI840007IO</t>
  </si>
  <si>
    <t>TT840007.Value</t>
  </si>
  <si>
    <t>TI841105IO</t>
  </si>
  <si>
    <t>TT841105.Value</t>
  </si>
  <si>
    <t>TI842901IO</t>
  </si>
  <si>
    <t>TT842901.Value</t>
  </si>
  <si>
    <t>TI843002IO</t>
  </si>
  <si>
    <t>TT843002.Value</t>
  </si>
  <si>
    <t>TI843105IO</t>
  </si>
  <si>
    <t>TT843105.Value</t>
  </si>
  <si>
    <t>TI844006IO</t>
  </si>
  <si>
    <t>TT844006.Value</t>
  </si>
  <si>
    <t>TI850004IO</t>
  </si>
  <si>
    <t>TT850004.Value</t>
  </si>
  <si>
    <t>TI850104IO</t>
  </si>
  <si>
    <t>TT850104.Value</t>
  </si>
  <si>
    <t>TI850121IO</t>
  </si>
  <si>
    <t>TT850121.Value</t>
  </si>
  <si>
    <t>TI850204IO</t>
  </si>
  <si>
    <t>TT850204.Value</t>
  </si>
  <si>
    <t>TI852004IO</t>
  </si>
  <si>
    <t>TT852004.Value</t>
  </si>
  <si>
    <t>TI853001IO</t>
  </si>
  <si>
    <t>TT853001.Value</t>
  </si>
  <si>
    <t>TI856003IO</t>
  </si>
  <si>
    <t>TT856003.Value</t>
  </si>
  <si>
    <t>TI859007IO</t>
  </si>
  <si>
    <t>TT859007.Value</t>
  </si>
  <si>
    <t>TI859008IO</t>
  </si>
  <si>
    <t>TT859008.Value</t>
  </si>
  <si>
    <t>TI859009IO</t>
  </si>
  <si>
    <t>TT859009.Value</t>
  </si>
  <si>
    <t>TI899011IO</t>
  </si>
  <si>
    <t>TT899011.Value</t>
  </si>
  <si>
    <t>VI800002IO</t>
  </si>
  <si>
    <t>VT800002.Value</t>
  </si>
  <si>
    <t>VI800004IO</t>
  </si>
  <si>
    <t>VT800004.Value</t>
  </si>
  <si>
    <t>VI800102IO</t>
  </si>
  <si>
    <t>VT800102.Value</t>
  </si>
  <si>
    <t>VI800104IO</t>
  </si>
  <si>
    <t>VT800104.Value</t>
  </si>
  <si>
    <t>VI810508IO</t>
  </si>
  <si>
    <t>VT810508.Value</t>
  </si>
  <si>
    <t>VI810541IO</t>
  </si>
  <si>
    <t>VT810541.Value</t>
  </si>
  <si>
    <t>VI810661IO</t>
  </si>
  <si>
    <t>VT810661.Value</t>
  </si>
  <si>
    <t>VI810662IO</t>
  </si>
  <si>
    <t>VT810662.Value</t>
  </si>
  <si>
    <t>VI820508IO</t>
  </si>
  <si>
    <t>VT820508.Value</t>
  </si>
  <si>
    <t>VI820509IO</t>
  </si>
  <si>
    <t>VT820509.Value</t>
  </si>
  <si>
    <t>VI820661IO</t>
  </si>
  <si>
    <t>VT820661.Value</t>
  </si>
  <si>
    <t>VI820662IO</t>
  </si>
  <si>
    <t>VT820662.Value</t>
  </si>
  <si>
    <t>VI830631IO</t>
  </si>
  <si>
    <t>VT830631.Value</t>
  </si>
  <si>
    <t>VI830644IO</t>
  </si>
  <si>
    <t>VT830644.Value</t>
  </si>
  <si>
    <t>Status</t>
  </si>
  <si>
    <t>TAG</t>
  </si>
  <si>
    <t>Indiss Variable TAG</t>
  </si>
  <si>
    <t>Required Status</t>
  </si>
  <si>
    <t>Transmitter TAG</t>
  </si>
  <si>
    <t>IO Variable to change</t>
  </si>
  <si>
    <t>Sheet Location</t>
  </si>
  <si>
    <t>IO Only or Not</t>
  </si>
  <si>
    <t>Value Before Change</t>
  </si>
  <si>
    <t>AA830613IO_COMP1</t>
  </si>
  <si>
    <t>AT830613.Value</t>
  </si>
  <si>
    <t>AA830613IO_COMP2</t>
  </si>
  <si>
    <t>AA830613IO_COMP3</t>
  </si>
  <si>
    <t>AI800005IO</t>
  </si>
  <si>
    <t>AT800005.Value</t>
  </si>
  <si>
    <t>AI800105IO</t>
  </si>
  <si>
    <t>AT800105.Value</t>
  </si>
  <si>
    <t>AI810012IO</t>
  </si>
  <si>
    <t>AT810012.Value</t>
  </si>
  <si>
    <t>AI810402IO</t>
  </si>
  <si>
    <t>AT810402.Value</t>
  </si>
  <si>
    <t>AI810523IO</t>
  </si>
  <si>
    <t>AT810523.Value</t>
  </si>
  <si>
    <t>AI820023IO</t>
  </si>
  <si>
    <t>AT820023.Value</t>
  </si>
  <si>
    <t>AI820024IO</t>
  </si>
  <si>
    <t>AT820024.Value</t>
  </si>
  <si>
    <t>AI820491IO</t>
  </si>
  <si>
    <t>AT820491.Value</t>
  </si>
  <si>
    <t>AI820523IO</t>
  </si>
  <si>
    <t>AT820523.Value</t>
  </si>
  <si>
    <t>AI821420IO</t>
  </si>
  <si>
    <t>AT821420.Value</t>
  </si>
  <si>
    <t>AI821519IO</t>
  </si>
  <si>
    <t>AT821519.Value</t>
  </si>
  <si>
    <t>AI821519IO_COMP1</t>
  </si>
  <si>
    <t>AI830322IO</t>
  </si>
  <si>
    <t>AT830322.Value</t>
  </si>
  <si>
    <t>AI830323IO</t>
  </si>
  <si>
    <t>AT830323.Value</t>
  </si>
  <si>
    <t>AI830502IO</t>
  </si>
  <si>
    <t>AT830502.Value</t>
  </si>
  <si>
    <t>AI830613IO</t>
  </si>
  <si>
    <t>AI830618IO</t>
  </si>
  <si>
    <t>AT830618.Value</t>
  </si>
  <si>
    <t>AI841906IO</t>
  </si>
  <si>
    <t>AT841906.Value</t>
  </si>
  <si>
    <t>AI841906IO_COMP1</t>
  </si>
  <si>
    <t>AI856016IO</t>
  </si>
  <si>
    <t>AT856016.Value</t>
  </si>
  <si>
    <t>AI899801IO</t>
  </si>
  <si>
    <t>AT899801.Value</t>
  </si>
  <si>
    <t>AI899802IO</t>
  </si>
  <si>
    <t>AT899802.Value</t>
  </si>
  <si>
    <t>AI899803IO</t>
  </si>
  <si>
    <t>AT899803.Value</t>
  </si>
  <si>
    <t>AI899804IO</t>
  </si>
  <si>
    <t>AT899804.Value</t>
  </si>
  <si>
    <t>AI899810IO</t>
  </si>
  <si>
    <t>AT899810.Value</t>
  </si>
  <si>
    <t>AI899811IO</t>
  </si>
  <si>
    <t>AT899811.Value</t>
  </si>
  <si>
    <t>AX821420AIO</t>
  </si>
  <si>
    <t>DI830301A_1oo2IO_MA1</t>
  </si>
  <si>
    <t>DI830301A.Value</t>
  </si>
  <si>
    <t>DI830301A_1oo2IO_MA2</t>
  </si>
  <si>
    <t>DI830301B.Value</t>
  </si>
  <si>
    <t>DI830312A_1oo2IO_MA1</t>
  </si>
  <si>
    <t>DI830312A.Value</t>
  </si>
  <si>
    <t>DI830312A_1oo2IO_MA2</t>
  </si>
  <si>
    <t>DI830312B.Value</t>
  </si>
  <si>
    <t>DI830401AIO</t>
  </si>
  <si>
    <t>DI830401A.Value</t>
  </si>
  <si>
    <t>DI830401BIO</t>
  </si>
  <si>
    <t>DI830401B.Value</t>
  </si>
  <si>
    <t>DI830402AIO</t>
  </si>
  <si>
    <t>DI830402A.Value</t>
  </si>
  <si>
    <t>DI830402BIO</t>
  </si>
  <si>
    <t>DI830402B.Value</t>
  </si>
  <si>
    <t>DI830416A_1oo2IO_MA1</t>
  </si>
  <si>
    <t>DI830416A.Value</t>
  </si>
  <si>
    <t>DI830416A_1oo2IO_MA2</t>
  </si>
  <si>
    <t>DI830416B.Value</t>
  </si>
  <si>
    <t>EI897989IO</t>
  </si>
  <si>
    <t>ET897989.Value</t>
  </si>
  <si>
    <t>EI897990IO</t>
  </si>
  <si>
    <t>ET897990.Value</t>
  </si>
  <si>
    <t>EI897993IO</t>
  </si>
  <si>
    <t>ET897993.Value</t>
  </si>
  <si>
    <t>EI897994IO</t>
  </si>
  <si>
    <t>ET897994.Value</t>
  </si>
  <si>
    <t>FI841103IO</t>
  </si>
  <si>
    <t>FT841103.Value</t>
  </si>
  <si>
    <t>FI843101IO</t>
  </si>
  <si>
    <t>FT843101.Value</t>
  </si>
  <si>
    <t>FI843301IO</t>
  </si>
  <si>
    <t>FT843301.Value</t>
  </si>
  <si>
    <t>FI843401IO</t>
  </si>
  <si>
    <t>FT843401.Value</t>
  </si>
  <si>
    <t>FI843501IO</t>
  </si>
  <si>
    <t>FT843501.Value</t>
  </si>
  <si>
    <t>FI845001IO</t>
  </si>
  <si>
    <t>FT845001.Value</t>
  </si>
  <si>
    <t>FI846501IO</t>
  </si>
  <si>
    <t>FT846501.Value</t>
  </si>
  <si>
    <t>FI846601IO</t>
  </si>
  <si>
    <t>FT846601.Value</t>
  </si>
  <si>
    <t>II897987IO</t>
  </si>
  <si>
    <t>IT897987.Value</t>
  </si>
  <si>
    <t>II897988IO</t>
  </si>
  <si>
    <t>IT897988.Value</t>
  </si>
  <si>
    <t>II897991IO</t>
  </si>
  <si>
    <t>IT897991.Value</t>
  </si>
  <si>
    <t>II897992IO</t>
  </si>
  <si>
    <t>IT897992.Value</t>
  </si>
  <si>
    <t>LAH803015IO</t>
  </si>
  <si>
    <t>LSH803015.Value</t>
  </si>
  <si>
    <t>LAH803116IO</t>
  </si>
  <si>
    <t>LSH803116.Value</t>
  </si>
  <si>
    <t>LAH803215IO</t>
  </si>
  <si>
    <t>LSH803215.Value</t>
  </si>
  <si>
    <t>LAH821523IO</t>
  </si>
  <si>
    <t>LSH821523.Value</t>
  </si>
  <si>
    <t>LAH832405IO</t>
  </si>
  <si>
    <t>LAL832405.Value</t>
  </si>
  <si>
    <t>LAH832505IO</t>
  </si>
  <si>
    <t>LAL832505.Value</t>
  </si>
  <si>
    <t>LAH896207IO</t>
  </si>
  <si>
    <t>LSH896207.Value</t>
  </si>
  <si>
    <t>LAH896208IO</t>
  </si>
  <si>
    <t>LSH896208.Value</t>
  </si>
  <si>
    <t>LAL813118IO</t>
  </si>
  <si>
    <t>LAL813118.Value</t>
  </si>
  <si>
    <t>LI807029IO</t>
  </si>
  <si>
    <t>LT807029.Value</t>
  </si>
  <si>
    <t>LI808120IO</t>
  </si>
  <si>
    <t>LT808120.Value</t>
  </si>
  <si>
    <t>LI810531IO</t>
  </si>
  <si>
    <t>LT810531.Value</t>
  </si>
  <si>
    <t>LI810734IO</t>
  </si>
  <si>
    <t>LT810734.Value</t>
  </si>
  <si>
    <t>LI811017IO</t>
  </si>
  <si>
    <t>LT811017.Value</t>
  </si>
  <si>
    <t>LI820531IO</t>
  </si>
  <si>
    <t>LT820531.Value</t>
  </si>
  <si>
    <t>LI820734IO</t>
  </si>
  <si>
    <t>LT820734.Value</t>
  </si>
  <si>
    <t>LI820817IO</t>
  </si>
  <si>
    <t>LT820817.Value</t>
  </si>
  <si>
    <t>LI821422IO</t>
  </si>
  <si>
    <t>LT821422.Value</t>
  </si>
  <si>
    <t>LI821503IO</t>
  </si>
  <si>
    <t>LT821503.Value</t>
  </si>
  <si>
    <t>LI821920IO</t>
  </si>
  <si>
    <t>LT821920.Value</t>
  </si>
  <si>
    <t>LI822144IO</t>
  </si>
  <si>
    <t>LT822144.Value</t>
  </si>
  <si>
    <t>LI830120IO</t>
  </si>
  <si>
    <t>LIT830120.Value</t>
  </si>
  <si>
    <t>LI830205IO</t>
  </si>
  <si>
    <t>LIT830205.Value</t>
  </si>
  <si>
    <t>LI830227IO</t>
  </si>
  <si>
    <t>LT830227.Value</t>
  </si>
  <si>
    <t>LI830533IO</t>
  </si>
  <si>
    <t>LT830533.Value</t>
  </si>
  <si>
    <t>LI830611IO</t>
  </si>
  <si>
    <t>LT830611.Value</t>
  </si>
  <si>
    <t>LI830630IO</t>
  </si>
  <si>
    <t>LT830630.Value</t>
  </si>
  <si>
    <t>LI830707IO</t>
  </si>
  <si>
    <t>LIT830707.Value</t>
  </si>
  <si>
    <t>LI830941IO</t>
  </si>
  <si>
    <t>LT830941.Value</t>
  </si>
  <si>
    <t>LI896008IO</t>
  </si>
  <si>
    <t>LT896008.Value</t>
  </si>
  <si>
    <t>LI896108IO</t>
  </si>
  <si>
    <t>LT896108.Value</t>
  </si>
  <si>
    <t>PDI845208IO</t>
  </si>
  <si>
    <t>PDT845208.Value</t>
  </si>
  <si>
    <t>PDI896009IO</t>
  </si>
  <si>
    <t>PDT896009.Value</t>
  </si>
  <si>
    <t>PDI896109IO</t>
  </si>
  <si>
    <t>PDT896109.Value</t>
  </si>
  <si>
    <t>PI800026IO</t>
  </si>
  <si>
    <t>PT800026.Value</t>
  </si>
  <si>
    <t>PI800121IO</t>
  </si>
  <si>
    <t>PT800121.Value</t>
  </si>
  <si>
    <t>PI803514IO1</t>
  </si>
  <si>
    <t>PT803514.Value</t>
  </si>
  <si>
    <t>PI807028IO</t>
  </si>
  <si>
    <t>PT807028.Value</t>
  </si>
  <si>
    <t>PI808122IO</t>
  </si>
  <si>
    <t>PT808122.Value</t>
  </si>
  <si>
    <t>PI810443IO</t>
  </si>
  <si>
    <t>PT810443.Value</t>
  </si>
  <si>
    <t>PI810444AIO</t>
  </si>
  <si>
    <t>PT810444A.Value</t>
  </si>
  <si>
    <t>PI810444BIO</t>
  </si>
  <si>
    <t>PT810444B.Value</t>
  </si>
  <si>
    <t>PI810530IO</t>
  </si>
  <si>
    <t>PT810530.Value</t>
  </si>
  <si>
    <t>PI810733IO</t>
  </si>
  <si>
    <t>PT810733.Value</t>
  </si>
  <si>
    <t>PI811020IO</t>
  </si>
  <si>
    <t>PT811020.Value</t>
  </si>
  <si>
    <t>PI820438IO</t>
  </si>
  <si>
    <t>PT820438.Value</t>
  </si>
  <si>
    <t>PI820498AIO</t>
  </si>
  <si>
    <t>PT820498A.Value</t>
  </si>
  <si>
    <t>PI820498BIO</t>
  </si>
  <si>
    <t>PT820498B.Value</t>
  </si>
  <si>
    <t>PI820498IO</t>
  </si>
  <si>
    <t>PT820498.Value</t>
  </si>
  <si>
    <t>PI820530IO</t>
  </si>
  <si>
    <t>PT820530.Value</t>
  </si>
  <si>
    <t>PI820735IO</t>
  </si>
  <si>
    <t>PT820735.Value</t>
  </si>
  <si>
    <t>PI820838IO</t>
  </si>
  <si>
    <t>PT820838.Value</t>
  </si>
  <si>
    <t>PI821428IO</t>
  </si>
  <si>
    <t>PT821428.Value</t>
  </si>
  <si>
    <t>PI821531IO</t>
  </si>
  <si>
    <t>PT821531.Value</t>
  </si>
  <si>
    <t>PI821928IO</t>
  </si>
  <si>
    <t>PT821928.Value</t>
  </si>
  <si>
    <t>PI822150IO</t>
  </si>
  <si>
    <t>PT822150.Value</t>
  </si>
  <si>
    <t>PI830119IO</t>
  </si>
  <si>
    <t>PT830119.Value</t>
  </si>
  <si>
    <t>PI830226IO</t>
  </si>
  <si>
    <t>PT830226.Value</t>
  </si>
  <si>
    <t>PI830231IO</t>
  </si>
  <si>
    <t>PT830231.Value</t>
  </si>
  <si>
    <t>PI830532IO</t>
  </si>
  <si>
    <t>PT830532.Value</t>
  </si>
  <si>
    <t>PI830609IO</t>
  </si>
  <si>
    <t>PT830609.Value</t>
  </si>
  <si>
    <t>PI830629IO</t>
  </si>
  <si>
    <t>PT830629.Value</t>
  </si>
  <si>
    <t>PI830706IO</t>
  </si>
  <si>
    <t>PT830706.Value</t>
  </si>
  <si>
    <t>PI830952IO</t>
  </si>
  <si>
    <t>PT830952.Value</t>
  </si>
  <si>
    <t>PI841107IO</t>
  </si>
  <si>
    <t>PT841107.Value</t>
  </si>
  <si>
    <t>PI841905IO</t>
  </si>
  <si>
    <t>PT841905.Value</t>
  </si>
  <si>
    <t>PI843011AIO</t>
  </si>
  <si>
    <t>PIT843011A.Value</t>
  </si>
  <si>
    <t>PI843011BIO</t>
  </si>
  <si>
    <t>PIT843011B.Value</t>
  </si>
  <si>
    <t>PI843017AIO</t>
  </si>
  <si>
    <t>PIT843017A.Value</t>
  </si>
  <si>
    <t>PI843017BIO</t>
  </si>
  <si>
    <t>PIT843017B.Value</t>
  </si>
  <si>
    <t>PI843021IO</t>
  </si>
  <si>
    <t>PIT843021.Value</t>
  </si>
  <si>
    <t>PI843025AIO</t>
  </si>
  <si>
    <t>PIT843025A.Value</t>
  </si>
  <si>
    <t>PI843025BIO</t>
  </si>
  <si>
    <t>PIT843025B.Value</t>
  </si>
  <si>
    <t>PI843107IO</t>
  </si>
  <si>
    <t>PT843107.Value</t>
  </si>
  <si>
    <t>PI843615AIO</t>
  </si>
  <si>
    <t>PT843615A.Value</t>
  </si>
  <si>
    <t>PI843615BIO</t>
  </si>
  <si>
    <t>PT843615B.Value</t>
  </si>
  <si>
    <t>PI843620IO</t>
  </si>
  <si>
    <t>PT843620.Value</t>
  </si>
  <si>
    <t>PI843702AIO</t>
  </si>
  <si>
    <t>PT843702A.Value</t>
  </si>
  <si>
    <t>PI843702BIO</t>
  </si>
  <si>
    <t>PT843702B.Value</t>
  </si>
  <si>
    <t>PI843717IO</t>
  </si>
  <si>
    <t>PT843717.Value</t>
  </si>
  <si>
    <t>PI845002IO</t>
  </si>
  <si>
    <t>PT845002.Value</t>
  </si>
  <si>
    <t>PI845204IO</t>
  </si>
  <si>
    <t>PT845204.Value</t>
  </si>
  <si>
    <t>PI896103IO</t>
  </si>
  <si>
    <t>PT896103.Value</t>
  </si>
  <si>
    <t>PI896104IO</t>
  </si>
  <si>
    <t>PT896104.Value</t>
  </si>
  <si>
    <t>PI899402IO</t>
  </si>
  <si>
    <t>PT899402.Value</t>
  </si>
  <si>
    <t>PI899403IO</t>
  </si>
  <si>
    <t>PT899403.Value</t>
  </si>
  <si>
    <t>PI899405IO</t>
  </si>
  <si>
    <t>PT899405.Value</t>
  </si>
  <si>
    <t>PI899406IO</t>
  </si>
  <si>
    <t>PT899406.Value</t>
  </si>
  <si>
    <t>PI899502IO</t>
  </si>
  <si>
    <t>PT899502.Value</t>
  </si>
  <si>
    <t>PI899503IO</t>
  </si>
  <si>
    <t>PT899503.Value</t>
  </si>
  <si>
    <t>PI899505IO</t>
  </si>
  <si>
    <t>PT899505.Value</t>
  </si>
  <si>
    <t>PI899506IO</t>
  </si>
  <si>
    <t>PT899506.Value</t>
  </si>
  <si>
    <t>PI899508IO</t>
  </si>
  <si>
    <t>PT899508.Value</t>
  </si>
  <si>
    <t>PI899509IO</t>
  </si>
  <si>
    <t>PT899509.Value</t>
  </si>
  <si>
    <t>TI100112CCIO</t>
  </si>
  <si>
    <t>TT100112.Value</t>
  </si>
  <si>
    <t>TI100114ICIO</t>
  </si>
  <si>
    <t>TT100114.Value</t>
  </si>
  <si>
    <t>TI100120NCIO</t>
  </si>
  <si>
    <t>TT100120.Value</t>
  </si>
  <si>
    <t>TI100201BPIO</t>
  </si>
  <si>
    <t>TT100201.Value</t>
  </si>
  <si>
    <t>TI100601FFIO</t>
  </si>
  <si>
    <t>TT100601.Value</t>
  </si>
  <si>
    <t>TI100701FFIO</t>
  </si>
  <si>
    <t>TT100701.Value</t>
  </si>
  <si>
    <t>TI803013IO</t>
  </si>
  <si>
    <t>TT803013.Value</t>
  </si>
  <si>
    <t>TI803113IO</t>
  </si>
  <si>
    <t>TT803113.Value</t>
  </si>
  <si>
    <t>TI803213IO</t>
  </si>
  <si>
    <t>TT803213.Value</t>
  </si>
  <si>
    <t>TI812109IO</t>
  </si>
  <si>
    <t>TT812109.Value</t>
  </si>
  <si>
    <t>TI812124IO</t>
  </si>
  <si>
    <t>TT812124.Value</t>
  </si>
  <si>
    <t>TI812221IO</t>
  </si>
  <si>
    <t>TT812221.Value</t>
  </si>
  <si>
    <t>TI820551IO</t>
  </si>
  <si>
    <t>TT820551.Value</t>
  </si>
  <si>
    <t>TI822142IO</t>
  </si>
  <si>
    <t>TT822142.Value</t>
  </si>
  <si>
    <t>TI822920IO</t>
  </si>
  <si>
    <t>TT822920.Value</t>
  </si>
  <si>
    <t>TI823016IO</t>
  </si>
  <si>
    <t>TT823016.Value</t>
  </si>
  <si>
    <t>TI823209IO</t>
  </si>
  <si>
    <t>TT823209.Value</t>
  </si>
  <si>
    <t>TI823220IO</t>
  </si>
  <si>
    <t>TT823220.Value</t>
  </si>
  <si>
    <t>TI823319IO</t>
  </si>
  <si>
    <t>TT823319.Value</t>
  </si>
  <si>
    <t>TI823321IO</t>
  </si>
  <si>
    <t>TT823321.Value</t>
  </si>
  <si>
    <t>TI823350IO</t>
  </si>
  <si>
    <t>TT823350.Value</t>
  </si>
  <si>
    <t>TI830301A_1oo2IO_MA1</t>
  </si>
  <si>
    <t>TT830301A.Value</t>
  </si>
  <si>
    <t>TI830301A_1oo2IO_MA2</t>
  </si>
  <si>
    <t>TI830312A_1oo2IO_MA1</t>
  </si>
  <si>
    <t>TT830312A.Value</t>
  </si>
  <si>
    <t>TI830312A_1oo2IO_MA2</t>
  </si>
  <si>
    <t>TI830416A_1oo2IO_MA1</t>
  </si>
  <si>
    <t>TT830416A.Value</t>
  </si>
  <si>
    <t>TI830416A_1oo2IO_MA2</t>
  </si>
  <si>
    <t>TI830621IO</t>
  </si>
  <si>
    <t>TT830621.Value</t>
  </si>
  <si>
    <t>TI832103IO</t>
  </si>
  <si>
    <t>TT832103.Value</t>
  </si>
  <si>
    <t>TI832115IO</t>
  </si>
  <si>
    <t>TT832115.Value</t>
  </si>
  <si>
    <t>TI832309IO</t>
  </si>
  <si>
    <t>TT832309.Value</t>
  </si>
  <si>
    <t>TI832345IO</t>
  </si>
  <si>
    <t>TT832345.Value</t>
  </si>
  <si>
    <t>TI832421IO</t>
  </si>
  <si>
    <t>TT832421.Value</t>
  </si>
  <si>
    <t>TI832521IO</t>
  </si>
  <si>
    <t>TT832521.Value</t>
  </si>
  <si>
    <t>TI841101IO</t>
  </si>
  <si>
    <t>TT841101.Value</t>
  </si>
  <si>
    <t>TI841904IO</t>
  </si>
  <si>
    <t>TT841904.Value</t>
  </si>
  <si>
    <t>TI843108IO</t>
  </si>
  <si>
    <t>TT843108.Value</t>
  </si>
  <si>
    <t>TI845003IO</t>
  </si>
  <si>
    <t>TT845003.Value</t>
  </si>
  <si>
    <t>TI852016IO</t>
  </si>
  <si>
    <t>TT852016.Value</t>
  </si>
  <si>
    <t>TI852065IO</t>
  </si>
  <si>
    <t>TT852065.Value</t>
  </si>
  <si>
    <t>TI897965IO</t>
  </si>
  <si>
    <t>TT897965.Value</t>
  </si>
  <si>
    <t>TI897967IO</t>
  </si>
  <si>
    <t>TT897967.Value</t>
  </si>
  <si>
    <t>TI897968IO</t>
  </si>
  <si>
    <t>TT897968.Value</t>
  </si>
  <si>
    <t>VI830503IO</t>
  </si>
  <si>
    <t>VT830503.Value</t>
  </si>
  <si>
    <t>VI830510IO</t>
  </si>
  <si>
    <t>VT830510.Value</t>
  </si>
  <si>
    <t>VI830632IO</t>
  </si>
  <si>
    <t>VT830632.Value</t>
  </si>
  <si>
    <t>VI830861IO</t>
  </si>
  <si>
    <t>VT830861.Value</t>
  </si>
  <si>
    <t>VI830862IO</t>
  </si>
  <si>
    <t>VT830862.Value</t>
  </si>
  <si>
    <t>XI899009IO</t>
  </si>
  <si>
    <t>XT899009.Value</t>
  </si>
  <si>
    <t>OVERVIEW.Slice_1.Model_1.PCSD_EWSS380.8990B_MRU8990</t>
  </si>
  <si>
    <t>A_XS899013</t>
  </si>
  <si>
    <t>OVERVIEW.Slice_3.Model_3.PCSD_D8213.8812_analizer</t>
  </si>
  <si>
    <t>AA821519B</t>
  </si>
  <si>
    <t>OVERVIEW.Slice_4.IO_4.DI_4</t>
  </si>
  <si>
    <t>AA830613</t>
  </si>
  <si>
    <t>AA881201A</t>
  </si>
  <si>
    <t>AA881201B</t>
  </si>
  <si>
    <t>AA881301A</t>
  </si>
  <si>
    <t>AA881301B</t>
  </si>
  <si>
    <t>OVERVIEW.Slice_3.IO_3.DI_3</t>
  </si>
  <si>
    <t>AI821519A</t>
  </si>
  <si>
    <t>OVERVIEW.Slice_2.IO_2.DI_2</t>
  </si>
  <si>
    <t>AS821420A</t>
  </si>
  <si>
    <t>AS821420B</t>
  </si>
  <si>
    <t>AS830613</t>
  </si>
  <si>
    <t>OVERVIEW.Slice_1.IO_1.DI_1</t>
  </si>
  <si>
    <t>AS850128</t>
  </si>
  <si>
    <t>AS856016A</t>
  </si>
  <si>
    <t>AS856016B</t>
  </si>
  <si>
    <t>AS856016C</t>
  </si>
  <si>
    <t>AY856016</t>
  </si>
  <si>
    <t>OVERVIEW.Slice_4.Model_4.PCSD_R8302.8305B_R8302</t>
  </si>
  <si>
    <t>Catalyst_Activation</t>
  </si>
  <si>
    <t>OVERVIEW.Slice_2.Model_2.PCSD_D8070.8070A_D8070</t>
  </si>
  <si>
    <t>D8070_DensitySwitch</t>
  </si>
  <si>
    <t>OVERVIEW.Slice_2.Model_2.PCSD_D8071.8081_D8071</t>
  </si>
  <si>
    <t>D8071_DensitySwitch</t>
  </si>
  <si>
    <t>OVERVIEW.Slice_2.Model_2.PCSD_CA8209.8212_D8211</t>
  </si>
  <si>
    <t>D8211_DensitySwitch</t>
  </si>
  <si>
    <t>EHS810509A</t>
  </si>
  <si>
    <t>EHS810509B</t>
  </si>
  <si>
    <t>EHS820509A</t>
  </si>
  <si>
    <t>EHS820509B</t>
  </si>
  <si>
    <t>EHS830616A</t>
  </si>
  <si>
    <t>EHS830616B</t>
  </si>
  <si>
    <t>OVERVIEW.Slice_2.Model_2.PCSD_P8000.8000_P8000</t>
  </si>
  <si>
    <t>ES800001</t>
  </si>
  <si>
    <t>OVERVIEW.Slice_2.Model_2.PCSD_P8001.8001_P8001</t>
  </si>
  <si>
    <t>ES800101</t>
  </si>
  <si>
    <t>ES800102</t>
  </si>
  <si>
    <t>OVERVIEW.Slice_4.Model_4.PCSD_E8316.8034_P8023</t>
  </si>
  <si>
    <t>ES803402</t>
  </si>
  <si>
    <t>ES803405</t>
  </si>
  <si>
    <t>ES803408</t>
  </si>
  <si>
    <t>OVERVIEW.Slice_4.Model_4.PCSD_T8307.8035_P8031</t>
  </si>
  <si>
    <t>ES803502</t>
  </si>
  <si>
    <t>ES803512</t>
  </si>
  <si>
    <t>ES803513</t>
  </si>
  <si>
    <t>OVERVIEW.Slice_4.Model_4.PCSD_T8307.8036_P8042</t>
  </si>
  <si>
    <t>ES803602</t>
  </si>
  <si>
    <t>ES803605</t>
  </si>
  <si>
    <t>ES810509A</t>
  </si>
  <si>
    <t>ES810509B</t>
  </si>
  <si>
    <t>OVERVIEW.Slice_4.Model_4.PCSD_P8134.8120_B8131</t>
  </si>
  <si>
    <t>ES812001</t>
  </si>
  <si>
    <t>OVERVIEW.Slice_4.Model_4.PCSD_P8134.8122_P8134</t>
  </si>
  <si>
    <t>ES812223</t>
  </si>
  <si>
    <t>ES820414A</t>
  </si>
  <si>
    <t>ES820414B</t>
  </si>
  <si>
    <t>ES820509A</t>
  </si>
  <si>
    <t>OVERVIEW.Slice_2.Model_2.PCSD_R8203.8205A_P8203</t>
  </si>
  <si>
    <t>ES820509B</t>
  </si>
  <si>
    <t>ES820509C</t>
  </si>
  <si>
    <t>ES820509D</t>
  </si>
  <si>
    <t>OVERVIEW.Slice_3.Model_3.PCSD_V8223.8223B_E8223</t>
  </si>
  <si>
    <t>ES822308</t>
  </si>
  <si>
    <t>ES822322</t>
  </si>
  <si>
    <t>ES822332</t>
  </si>
  <si>
    <t>OVERVIEW.Slice_3.Model_3.PCSD_V8224.8224B_E8224</t>
  </si>
  <si>
    <t>ES822408</t>
  </si>
  <si>
    <t>OVERVIEW.Slice_4.Model_4.PCSD_P8244.8231_B8241</t>
  </si>
  <si>
    <t>ES823101</t>
  </si>
  <si>
    <t>OVERVIEW.Slice_4.Model_4.PCSD_P8244.8232B_B8242</t>
  </si>
  <si>
    <t>ES823212</t>
  </si>
  <si>
    <t>OVERVIEW.Slice_4.Model_4.PCSD_P8244.8233A_P8244</t>
  </si>
  <si>
    <t>ES823324</t>
  </si>
  <si>
    <t>OVERVIEW.Slice_4.Model_4.PCSD_P8244.8233B_P8246</t>
  </si>
  <si>
    <t>ES823352</t>
  </si>
  <si>
    <t>ES830510A</t>
  </si>
  <si>
    <t>ES830510B</t>
  </si>
  <si>
    <t>ES830613B</t>
  </si>
  <si>
    <t>ES830616A</t>
  </si>
  <si>
    <t>OVERVIEW.Slice_4.Model_4.PCSD_R8302.8306_P8302</t>
  </si>
  <si>
    <t>ES830616B</t>
  </si>
  <si>
    <t>ES830832A</t>
  </si>
  <si>
    <t>OVERVIEW.Slice_4.Model_4.PCSD_R8302.8308B_E8303</t>
  </si>
  <si>
    <t>ES830832B</t>
  </si>
  <si>
    <t>OVERVIEW.Slice_4.Model_4.PCSD_V8312.8311B_E8312</t>
  </si>
  <si>
    <t>ES831106</t>
  </si>
  <si>
    <t>OVERVIEW.Slice_4.Model_4.PCSD_V8313.8312B_E8313</t>
  </si>
  <si>
    <t>ES831206</t>
  </si>
  <si>
    <t>OVERVIEW.Slice_4.Model_4.PCSD_P8324.8322A_B8321</t>
  </si>
  <si>
    <t>ES832201</t>
  </si>
  <si>
    <t>OVERVIEW.Slice_4.Model_4.PCSD_P8324.8323A_B8322</t>
  </si>
  <si>
    <t>ES832322</t>
  </si>
  <si>
    <t>OVERVIEW.Slice_4.Model_4.PCSD_P8324.8323C_B8324</t>
  </si>
  <si>
    <t>ES832332</t>
  </si>
  <si>
    <t>OVERVIEW.Slice_4.Model_4.PCSD_P8324.8324_P8324</t>
  </si>
  <si>
    <t>ES832423</t>
  </si>
  <si>
    <t>ES832523</t>
  </si>
  <si>
    <t>OVERVIEW.Slice_1.Model_1.PCSD_MRU8410.8430_MRU8410</t>
  </si>
  <si>
    <t>ES843030A</t>
  </si>
  <si>
    <t>ES843030B</t>
  </si>
  <si>
    <t>ES843030C</t>
  </si>
  <si>
    <t>ES850206</t>
  </si>
  <si>
    <t>ES897933</t>
  </si>
  <si>
    <t>ES897940</t>
  </si>
  <si>
    <t>ES897972</t>
  </si>
  <si>
    <t>ES897977</t>
  </si>
  <si>
    <t>EY800001A</t>
  </si>
  <si>
    <t>EY800001B</t>
  </si>
  <si>
    <t>EY800101A</t>
  </si>
  <si>
    <t>EY800101B</t>
  </si>
  <si>
    <t>EY899008</t>
  </si>
  <si>
    <t>OVERVIEW.Slice_3.Model_3.PCSD_FL8215.8218A_FL8215</t>
  </si>
  <si>
    <t>FL8215_Cleaning</t>
  </si>
  <si>
    <t>OVERVIEW.Slice_4.Model_4.PCSD_D8300.ME8300</t>
  </si>
  <si>
    <t>FOD_ME8300</t>
  </si>
  <si>
    <t>FSL850134</t>
  </si>
  <si>
    <t>HS812002</t>
  </si>
  <si>
    <t>HS821818</t>
  </si>
  <si>
    <t>HS821820</t>
  </si>
  <si>
    <t>OVERVIEW.Slice_3.Model_3.PCSD_V8225.8219_V8225</t>
  </si>
  <si>
    <t>HS821917</t>
  </si>
  <si>
    <t>HS830001</t>
  </si>
  <si>
    <t>HS832204</t>
  </si>
  <si>
    <t>HS897984A</t>
  </si>
  <si>
    <t>HS897984B</t>
  </si>
  <si>
    <t>HS897985</t>
  </si>
  <si>
    <t>LAL812025</t>
  </si>
  <si>
    <t>LAL823118</t>
  </si>
  <si>
    <t>LAL823234</t>
  </si>
  <si>
    <t>LAL832236</t>
  </si>
  <si>
    <t>LAL832356</t>
  </si>
  <si>
    <t>LAL832357</t>
  </si>
  <si>
    <t>OVERVIEW.Slice_3.Model_3.PCSD_ME8230.8250_ME8230</t>
  </si>
  <si>
    <t>ME8230_Pig_Loading</t>
  </si>
  <si>
    <t>OVERVIEW.Slice_3.Model_3.PCSD_ME8230.8350_ME8330</t>
  </si>
  <si>
    <t>ME8330_Pig_Loading</t>
  </si>
  <si>
    <t>PAL843642</t>
  </si>
  <si>
    <t>OVERVIEW.Slice_2.Model_2.PCSD_R8103.8104AB_R8103</t>
  </si>
  <si>
    <t>PRD810303</t>
  </si>
  <si>
    <t>PRD810304</t>
  </si>
  <si>
    <t>OVERVIEW.Slice_2.Model_2.PCSD_R8203.8204AB_R8203</t>
  </si>
  <si>
    <t>PRD820303</t>
  </si>
  <si>
    <t>PRD820304</t>
  </si>
  <si>
    <t>OVERVIEW.Slice_2.Model_2.PCSD_R8103.8105A_P8103</t>
  </si>
  <si>
    <t>R8103_WallGravityDrain</t>
  </si>
  <si>
    <t>R8203_WallGravityDrain</t>
  </si>
  <si>
    <t>Start_MRU8410</t>
  </si>
  <si>
    <t>Stop_MRU8410</t>
  </si>
  <si>
    <t>OVERVIEW.Slice_1.Model_1.PCSD_V8510.8500A_V8510</t>
  </si>
  <si>
    <t>V8510_DensitySwitch</t>
  </si>
  <si>
    <t>XA800001</t>
  </si>
  <si>
    <t>XA800101</t>
  </si>
  <si>
    <t>XA810509A</t>
  </si>
  <si>
    <t>XA810509B</t>
  </si>
  <si>
    <t>XA810533</t>
  </si>
  <si>
    <t>XA820509A</t>
  </si>
  <si>
    <t>XA820509B</t>
  </si>
  <si>
    <t>XA820560</t>
  </si>
  <si>
    <t>XA830616A</t>
  </si>
  <si>
    <t>XA830616B</t>
  </si>
  <si>
    <t>XA830645</t>
  </si>
  <si>
    <t>XA843008</t>
  </si>
  <si>
    <t>XI821820A</t>
  </si>
  <si>
    <t>XI821820B</t>
  </si>
  <si>
    <t>XI821820C</t>
  </si>
  <si>
    <t>XI821820D</t>
  </si>
  <si>
    <t>XI821917A</t>
  </si>
  <si>
    <t>XI821917B</t>
  </si>
  <si>
    <t>XI830002</t>
  </si>
  <si>
    <t>XI830003</t>
  </si>
  <si>
    <t>OVERVIEW.Slice_4.Model_4.PCSD_D8011.8020_P8011</t>
  </si>
  <si>
    <t>XS802002</t>
  </si>
  <si>
    <t>OVERVIEW.Slice_3.Model_3.PCSD_D8060.8020_P8062</t>
  </si>
  <si>
    <t>XS802005</t>
  </si>
  <si>
    <t>XS802008</t>
  </si>
  <si>
    <t>XS843007</t>
  </si>
  <si>
    <t>XS843008</t>
  </si>
  <si>
    <t>XS843010</t>
  </si>
  <si>
    <t>XS859001</t>
  </si>
  <si>
    <t>XS896210</t>
  </si>
  <si>
    <t>XS896211</t>
  </si>
  <si>
    <t>XS897920</t>
  </si>
  <si>
    <t>XS897921</t>
  </si>
  <si>
    <t>XS897922</t>
  </si>
  <si>
    <t>XS897923</t>
  </si>
  <si>
    <t>XS897924</t>
  </si>
  <si>
    <t>XS897925</t>
  </si>
  <si>
    <t>XS897930</t>
  </si>
  <si>
    <t>XS897931</t>
  </si>
  <si>
    <t>XS897934</t>
  </si>
  <si>
    <t>XS897938</t>
  </si>
  <si>
    <t>XS897941</t>
  </si>
  <si>
    <t>XS897947</t>
  </si>
  <si>
    <t>XS897948</t>
  </si>
  <si>
    <t>XS897949</t>
  </si>
  <si>
    <t>XS897950</t>
  </si>
  <si>
    <t>XS897951</t>
  </si>
  <si>
    <t>XS897955</t>
  </si>
  <si>
    <t>XS897956</t>
  </si>
  <si>
    <t>XS897957</t>
  </si>
  <si>
    <t>XS897958</t>
  </si>
  <si>
    <t>XS897959</t>
  </si>
  <si>
    <t>XS897960</t>
  </si>
  <si>
    <t>XS897961</t>
  </si>
  <si>
    <t>XS897962</t>
  </si>
  <si>
    <t>XS897963</t>
  </si>
  <si>
    <t>XS897964</t>
  </si>
  <si>
    <t>XS897970</t>
  </si>
  <si>
    <t>XS897973</t>
  </si>
  <si>
    <t>XS897975</t>
  </si>
  <si>
    <t>XS897978</t>
  </si>
  <si>
    <t>XS897980</t>
  </si>
  <si>
    <t>XS897981</t>
  </si>
  <si>
    <t>XS897983</t>
  </si>
  <si>
    <t>XS897995</t>
  </si>
  <si>
    <t>XS897996</t>
  </si>
  <si>
    <t>XS897997</t>
  </si>
  <si>
    <t>XS897998</t>
  </si>
  <si>
    <t>XS897999</t>
  </si>
  <si>
    <t>XS899013</t>
  </si>
  <si>
    <t>XS899205</t>
  </si>
  <si>
    <t>OVERVIEW.Slice_3.Model_3.PCSD_FL8215.8992_P8530</t>
  </si>
  <si>
    <t>XS899206</t>
  </si>
  <si>
    <t>XY843009</t>
  </si>
  <si>
    <t>ZC800001</t>
  </si>
  <si>
    <t>ZC800101</t>
  </si>
  <si>
    <t>ZI830121</t>
  </si>
  <si>
    <t>ZS825007</t>
  </si>
  <si>
    <t>ZS825009</t>
  </si>
  <si>
    <t>ZS830017</t>
  </si>
  <si>
    <t>ZS835007</t>
  </si>
  <si>
    <t>ZS835009</t>
  </si>
  <si>
    <t>ZS897932</t>
  </si>
  <si>
    <t>ZS897939</t>
  </si>
  <si>
    <t>ZS897944</t>
  </si>
  <si>
    <t>ZS897945</t>
  </si>
  <si>
    <t>ZS897946</t>
  </si>
  <si>
    <t>ZS897971</t>
  </si>
  <si>
    <t>ZS897976</t>
  </si>
  <si>
    <t>ZS897980</t>
  </si>
  <si>
    <t>ZS897981</t>
  </si>
  <si>
    <t>ZS897982</t>
  </si>
  <si>
    <t>ZS899101</t>
  </si>
  <si>
    <t>ZS899102</t>
  </si>
  <si>
    <t>ZS899103</t>
  </si>
  <si>
    <t>ZS899104</t>
  </si>
  <si>
    <t>ZS899105</t>
  </si>
  <si>
    <t>ZS899106</t>
  </si>
  <si>
    <t>ZS899107</t>
  </si>
  <si>
    <t>ZS899108</t>
  </si>
  <si>
    <t>ZS899109</t>
  </si>
  <si>
    <t>ZS899110</t>
  </si>
  <si>
    <t>ZS899111</t>
  </si>
  <si>
    <t>ZS899112</t>
  </si>
  <si>
    <t>ZS899113</t>
  </si>
  <si>
    <t>ZS899114</t>
  </si>
  <si>
    <t>ZS899115</t>
  </si>
  <si>
    <t>ZS899116</t>
  </si>
  <si>
    <t>ZS899117</t>
  </si>
  <si>
    <t>ZS899118</t>
  </si>
  <si>
    <t>ZS899119</t>
  </si>
  <si>
    <t>ZS899120</t>
  </si>
  <si>
    <t>ZS899121</t>
  </si>
  <si>
    <t>ZS899122</t>
  </si>
  <si>
    <t>ZS899123</t>
  </si>
  <si>
    <t>ZS899124</t>
  </si>
  <si>
    <t>ZS899125</t>
  </si>
  <si>
    <t>ZS899126</t>
  </si>
  <si>
    <t>ZS899127</t>
  </si>
  <si>
    <t>ZSC802001</t>
  </si>
  <si>
    <t>ZSC802004</t>
  </si>
  <si>
    <t>ZSC802007</t>
  </si>
  <si>
    <t>ZSC821916</t>
  </si>
  <si>
    <t>ZSC899101</t>
  </si>
  <si>
    <t>ZSC899102</t>
  </si>
  <si>
    <t>ZSC899103</t>
  </si>
  <si>
    <t>ZSC899104</t>
  </si>
  <si>
    <t>ZSC899105</t>
  </si>
  <si>
    <t>ZSC899106</t>
  </si>
  <si>
    <t>ZSC899108</t>
  </si>
  <si>
    <t>ZSC899109</t>
  </si>
  <si>
    <t>ZSC899110</t>
  </si>
  <si>
    <t>ZSC899111</t>
  </si>
  <si>
    <t>ZSC899112</t>
  </si>
  <si>
    <t>ZSC899113</t>
  </si>
  <si>
    <t>ZSC899114</t>
  </si>
  <si>
    <t>ZSC899116</t>
  </si>
  <si>
    <t>ZSC899117</t>
  </si>
  <si>
    <t>ZSC899118</t>
  </si>
  <si>
    <t>ZSC899119</t>
  </si>
  <si>
    <t>ZSC899120</t>
  </si>
  <si>
    <t>ZSC899121</t>
  </si>
  <si>
    <t>ZSC899122</t>
  </si>
  <si>
    <t>ZSC899123</t>
  </si>
  <si>
    <t>ZSC899124</t>
  </si>
  <si>
    <t>ZSC899125</t>
  </si>
  <si>
    <t>ZSC899126</t>
  </si>
  <si>
    <t>ZSC899127</t>
  </si>
  <si>
    <t>ZSO830005</t>
  </si>
  <si>
    <t>OVERVIEW.Slice_1.IO_1.Transmitters_1</t>
  </si>
  <si>
    <t>TT100601</t>
  </si>
  <si>
    <t>AT821420</t>
  </si>
  <si>
    <t>TT100114</t>
  </si>
  <si>
    <t>PT896104</t>
  </si>
  <si>
    <t>PT845204</t>
  </si>
  <si>
    <t>AT899803</t>
  </si>
  <si>
    <t>IT897987</t>
  </si>
  <si>
    <t>IT897991</t>
  </si>
  <si>
    <t>TT897965</t>
  </si>
  <si>
    <t>AT810402</t>
  </si>
  <si>
    <t>ET897994</t>
  </si>
  <si>
    <t>AT899802</t>
  </si>
  <si>
    <t>AT820023</t>
  </si>
  <si>
    <t>AT856016</t>
  </si>
  <si>
    <t>FT843501</t>
  </si>
  <si>
    <t>IT897988</t>
  </si>
  <si>
    <t>AT830323</t>
  </si>
  <si>
    <t>TT897968</t>
  </si>
  <si>
    <t>TT845003</t>
  </si>
  <si>
    <t>PDT845208</t>
  </si>
  <si>
    <t>TT843108</t>
  </si>
  <si>
    <t>PT843615A</t>
  </si>
  <si>
    <t>LSH803015</t>
  </si>
  <si>
    <t>FT846601</t>
  </si>
  <si>
    <t>AT820523</t>
  </si>
  <si>
    <t>PT843702B</t>
  </si>
  <si>
    <t>FT843101</t>
  </si>
  <si>
    <t>PIT843025A</t>
  </si>
  <si>
    <t>PT899508</t>
  </si>
  <si>
    <t>PT843615B</t>
  </si>
  <si>
    <t>PT899502</t>
  </si>
  <si>
    <t>AT899808</t>
  </si>
  <si>
    <t>LSH803116</t>
  </si>
  <si>
    <t>AT985208</t>
  </si>
  <si>
    <t>PT841107</t>
  </si>
  <si>
    <t>LSH803215</t>
  </si>
  <si>
    <t>FT843301</t>
  </si>
  <si>
    <t>TT823319</t>
  </si>
  <si>
    <t>AT899811</t>
  </si>
  <si>
    <t>PIT896103</t>
  </si>
  <si>
    <t>AT830322</t>
  </si>
  <si>
    <t>AT820024</t>
  </si>
  <si>
    <t>PIT896104</t>
  </si>
  <si>
    <t>PIT843017A</t>
  </si>
  <si>
    <t>PT843702A</t>
  </si>
  <si>
    <t>ET897993</t>
  </si>
  <si>
    <t>LSH896207</t>
  </si>
  <si>
    <t>TT100701</t>
  </si>
  <si>
    <t>AT800005</t>
  </si>
  <si>
    <t>LSH896208</t>
  </si>
  <si>
    <t>PIT843025B</t>
  </si>
  <si>
    <t>AT841906</t>
  </si>
  <si>
    <t>FT846501</t>
  </si>
  <si>
    <t>TT100112</t>
  </si>
  <si>
    <t>IT897992</t>
  </si>
  <si>
    <t>PT899403</t>
  </si>
  <si>
    <t>PDT896109</t>
  </si>
  <si>
    <t>FT845001</t>
  </si>
  <si>
    <t>TT841904</t>
  </si>
  <si>
    <t>PT899402</t>
  </si>
  <si>
    <t>PDT896009</t>
  </si>
  <si>
    <t>AT821519</t>
  </si>
  <si>
    <t>TT803013</t>
  </si>
  <si>
    <t>AT899807</t>
  </si>
  <si>
    <t>PT899509</t>
  </si>
  <si>
    <t>AT830502</t>
  </si>
  <si>
    <t>TT841101</t>
  </si>
  <si>
    <t>TT100201</t>
  </si>
  <si>
    <t>PIT843011A</t>
  </si>
  <si>
    <t>PT899506</t>
  </si>
  <si>
    <t>AT899810</t>
  </si>
  <si>
    <t>LT896008</t>
  </si>
  <si>
    <t>PT899406</t>
  </si>
  <si>
    <t>LT896108</t>
  </si>
  <si>
    <t>TT852065</t>
  </si>
  <si>
    <t>PT899503</t>
  </si>
  <si>
    <t>AT899805</t>
  </si>
  <si>
    <t>TT100120</t>
  </si>
  <si>
    <t>TT852016</t>
  </si>
  <si>
    <t>PT899505</t>
  </si>
  <si>
    <t>FT841103</t>
  </si>
  <si>
    <t>PT843717</t>
  </si>
  <si>
    <t>PT841905</t>
  </si>
  <si>
    <t>AT810523</t>
  </si>
  <si>
    <t>AT800105</t>
  </si>
  <si>
    <t>ET897989</t>
  </si>
  <si>
    <t>PIT843021</t>
  </si>
  <si>
    <t>AT899804</t>
  </si>
  <si>
    <t>PIT843011B</t>
  </si>
  <si>
    <t>PT843620</t>
  </si>
  <si>
    <t>AT899801</t>
  </si>
  <si>
    <t>AT899806</t>
  </si>
  <si>
    <t>TT803113</t>
  </si>
  <si>
    <t>TT897967</t>
  </si>
  <si>
    <t>AT810012</t>
  </si>
  <si>
    <t>PT843107</t>
  </si>
  <si>
    <t>XT899009</t>
  </si>
  <si>
    <t>AT820491</t>
  </si>
  <si>
    <t>FT843401</t>
  </si>
  <si>
    <t>ET897990</t>
  </si>
  <si>
    <t>TT803213</t>
  </si>
  <si>
    <t>PT899405</t>
  </si>
  <si>
    <t>AT830618</t>
  </si>
  <si>
    <t>PT896103</t>
  </si>
  <si>
    <t>PIT843017B</t>
  </si>
  <si>
    <t>PT845002</t>
  </si>
  <si>
    <t>OVERVIEW.Slice_1.Model_1.PCSD_D8512.8502A_D8512</t>
  </si>
  <si>
    <t>LX850201A</t>
  </si>
  <si>
    <t>LX850201B</t>
  </si>
  <si>
    <t>TT850204</t>
  </si>
  <si>
    <t>LT850201A</t>
  </si>
  <si>
    <t>PIT850203</t>
  </si>
  <si>
    <t>LT850201B</t>
  </si>
  <si>
    <t>PCV850210_PV</t>
  </si>
  <si>
    <t>OVERVIEW.Slice_1.Model_1.PCSD_D8512.8502B_E8512</t>
  </si>
  <si>
    <t>IT850206</t>
  </si>
  <si>
    <t>PIT850207</t>
  </si>
  <si>
    <t>OVERVIEW.Slice_1.Model_1.PCSD_D8520.8560_D8520</t>
  </si>
  <si>
    <t>LT856002A</t>
  </si>
  <si>
    <t>PIT856006</t>
  </si>
  <si>
    <t>LT856002B</t>
  </si>
  <si>
    <t>TT856003</t>
  </si>
  <si>
    <t>FT856010</t>
  </si>
  <si>
    <t>LX856002B</t>
  </si>
  <si>
    <t>LX856002A</t>
  </si>
  <si>
    <t>OVERVIEW.Slice_1.Model_1.PCSD_D8520.8590_E8523</t>
  </si>
  <si>
    <t>LT859012</t>
  </si>
  <si>
    <t>TT859009</t>
  </si>
  <si>
    <t>JT859001</t>
  </si>
  <si>
    <t>JT859002</t>
  </si>
  <si>
    <t>TT859008</t>
  </si>
  <si>
    <t>FT856014</t>
  </si>
  <si>
    <t>PCV856015_PV</t>
  </si>
  <si>
    <t>OVERVIEW.Slice_1.Model_1.PCSD_D8520.8971</t>
  </si>
  <si>
    <t>PT859006</t>
  </si>
  <si>
    <t>AX856016B</t>
  </si>
  <si>
    <t>FT859005</t>
  </si>
  <si>
    <t>TT859007</t>
  </si>
  <si>
    <t>AX856016A</t>
  </si>
  <si>
    <t>OVERVIEW.Slice_1.Model_1.PCSD_EWSS380.8990A_PU8990</t>
  </si>
  <si>
    <t>LX899016B</t>
  </si>
  <si>
    <t>LT899016A</t>
  </si>
  <si>
    <t>LX899016A</t>
  </si>
  <si>
    <t>LT899016B</t>
  </si>
  <si>
    <t>JT899005</t>
  </si>
  <si>
    <t>JT899004</t>
  </si>
  <si>
    <t>PT899010</t>
  </si>
  <si>
    <t>TT899011</t>
  </si>
  <si>
    <t>OVERVIEW.Slice_1.Model_1.PCSD_MRU8410.8429_V8400</t>
  </si>
  <si>
    <t>JT842906</t>
  </si>
  <si>
    <t>LT842908A</t>
  </si>
  <si>
    <t>LSH842905</t>
  </si>
  <si>
    <t>LT842908B</t>
  </si>
  <si>
    <t>TT842901</t>
  </si>
  <si>
    <t>PIT842903</t>
  </si>
  <si>
    <t>PIT842902</t>
  </si>
  <si>
    <t>LX842908A</t>
  </si>
  <si>
    <t>FT842912</t>
  </si>
  <si>
    <t>JT842907</t>
  </si>
  <si>
    <t>LX842908B</t>
  </si>
  <si>
    <t>PT843004</t>
  </si>
  <si>
    <t>XS843003</t>
  </si>
  <si>
    <t>TT843002</t>
  </si>
  <si>
    <t>Cond_Temp</t>
  </si>
  <si>
    <t>TT_OutletMRU</t>
  </si>
  <si>
    <t>TT843006</t>
  </si>
  <si>
    <t>PT843005</t>
  </si>
  <si>
    <t>OVERVIEW.Slice_1.Model_1.PCSD_SUM8960.8960_P8960</t>
  </si>
  <si>
    <t>JT896013</t>
  </si>
  <si>
    <t>FT896007</t>
  </si>
  <si>
    <t>OVERVIEW.Slice_1.Model_1.PCSD_SUM8961.8961_P8961</t>
  </si>
  <si>
    <t>JT896102</t>
  </si>
  <si>
    <t>FT896107</t>
  </si>
  <si>
    <t>JT896101</t>
  </si>
  <si>
    <t>OVERVIEW.Slice_1.Model_1.PCSD_UTIL380.8411_DS8402</t>
  </si>
  <si>
    <t>PT841402</t>
  </si>
  <si>
    <t>TT841105</t>
  </si>
  <si>
    <t>OVERVIEW.Slice_1.Model_1.PCSD_UTIL380.8431_DS8403</t>
  </si>
  <si>
    <t>TT843105</t>
  </si>
  <si>
    <t>OVERVIEW.Slice_1.Model_1.PCSD_UTIL380.8440</t>
  </si>
  <si>
    <t>PDT844103A</t>
  </si>
  <si>
    <t>PDT844103B</t>
  </si>
  <si>
    <t>PIT844108</t>
  </si>
  <si>
    <t>OVERVIEW.Slice_1.Model_1.PCSD_UTIL380.8450</t>
  </si>
  <si>
    <t>PDT845006</t>
  </si>
  <si>
    <t>PT845007</t>
  </si>
  <si>
    <t>OVERVIEW.Slice_1.Model_1.PCSD_UTIL380.8970</t>
  </si>
  <si>
    <t>PIT800204</t>
  </si>
  <si>
    <t>PIT800020</t>
  </si>
  <si>
    <t>PIT800029</t>
  </si>
  <si>
    <t>OVERVIEW.Slice_1.Model_1.PCSD_UTIL380.8973</t>
  </si>
  <si>
    <t>PDT840002</t>
  </si>
  <si>
    <t>PDT850127</t>
  </si>
  <si>
    <t>FT850123</t>
  </si>
  <si>
    <t>FT840004</t>
  </si>
  <si>
    <t>PIT840003</t>
  </si>
  <si>
    <t>TT840007</t>
  </si>
  <si>
    <t>PDCV840005_PV</t>
  </si>
  <si>
    <t>OVERVIEW.Slice_1.Model_1.PCSD_UTIL380.8975</t>
  </si>
  <si>
    <t>PIT844003</t>
  </si>
  <si>
    <t>FT843801</t>
  </si>
  <si>
    <t>TT844006</t>
  </si>
  <si>
    <t>FT844004</t>
  </si>
  <si>
    <t>PDT844002</t>
  </si>
  <si>
    <t>PIT897502</t>
  </si>
  <si>
    <t>PDCV844005_PV</t>
  </si>
  <si>
    <t>OVERVIEW.Slice_1.Model_1.PCSD_V8020.8030_V8020</t>
  </si>
  <si>
    <t>LT803001B</t>
  </si>
  <si>
    <t>JT803006</t>
  </si>
  <si>
    <t>LX803001B</t>
  </si>
  <si>
    <t>LX803001A</t>
  </si>
  <si>
    <t>PIT803003</t>
  </si>
  <si>
    <t>FT803014</t>
  </si>
  <si>
    <t>TT803004</t>
  </si>
  <si>
    <t>PIT803007</t>
  </si>
  <si>
    <t>LT803001A</t>
  </si>
  <si>
    <t>PCV803001_PV</t>
  </si>
  <si>
    <t>OVERVIEW.Slice_1.Model_1.PCSD_V8030.8031_V8030</t>
  </si>
  <si>
    <t>TT803104</t>
  </si>
  <si>
    <t>PIT803103</t>
  </si>
  <si>
    <t>LX803101A</t>
  </si>
  <si>
    <t>LX803101B</t>
  </si>
  <si>
    <t>LT803101B</t>
  </si>
  <si>
    <t>JT803106</t>
  </si>
  <si>
    <t>FT803114</t>
  </si>
  <si>
    <t>PIT803107</t>
  </si>
  <si>
    <t>LT803101A</t>
  </si>
  <si>
    <t>PCV803109_PV</t>
  </si>
  <si>
    <t>OVERVIEW.Slice_1.Model_1.PCSD_V8040.8032_V8040</t>
  </si>
  <si>
    <t>TT803204</t>
  </si>
  <si>
    <t>PIT803207</t>
  </si>
  <si>
    <t>LX803201B</t>
  </si>
  <si>
    <t>LT803201A</t>
  </si>
  <si>
    <t>PIT803203</t>
  </si>
  <si>
    <t>FT803214</t>
  </si>
  <si>
    <t>LT803201B</t>
  </si>
  <si>
    <t>JT803206</t>
  </si>
  <si>
    <t>LX803201A</t>
  </si>
  <si>
    <t>PCV803209_PV</t>
  </si>
  <si>
    <t>OVERVIEW.Slice_1.Model_1.PCSD_V8072.8082_V8072</t>
  </si>
  <si>
    <t>FT808213</t>
  </si>
  <si>
    <t>PIT808203</t>
  </si>
  <si>
    <t>LX808201B</t>
  </si>
  <si>
    <t>LT808201A</t>
  </si>
  <si>
    <t>JT808206</t>
  </si>
  <si>
    <t>LX808201A</t>
  </si>
  <si>
    <t>PIT808207</t>
  </si>
  <si>
    <t>LT808201B</t>
  </si>
  <si>
    <t>PCV808209_PV</t>
  </si>
  <si>
    <t>OVERVIEW.Slice_1.Model_1.PCSD_V8500.8520_V8500</t>
  </si>
  <si>
    <t>LT852001B</t>
  </si>
  <si>
    <t>LX852001A</t>
  </si>
  <si>
    <t>LX852001B</t>
  </si>
  <si>
    <t>PIT852003</t>
  </si>
  <si>
    <t>PIT852007</t>
  </si>
  <si>
    <t>TT852004</t>
  </si>
  <si>
    <t>JT852006</t>
  </si>
  <si>
    <t>LT852001A</t>
  </si>
  <si>
    <t>FT852013</t>
  </si>
  <si>
    <t>PCV852009_PV</t>
  </si>
  <si>
    <t>TT850004</t>
  </si>
  <si>
    <t>LT850001B</t>
  </si>
  <si>
    <t>DT850008</t>
  </si>
  <si>
    <t>LX850001B</t>
  </si>
  <si>
    <t>PIT850003</t>
  </si>
  <si>
    <t>LT850001A</t>
  </si>
  <si>
    <t>LX850001A</t>
  </si>
  <si>
    <t>PCV850013_PV</t>
  </si>
  <si>
    <t>OVERVIEW.Slice_1.Model_1.PCSD_V8510.8500B_E8510</t>
  </si>
  <si>
    <t>PIT850018</t>
  </si>
  <si>
    <t>FT850008</t>
  </si>
  <si>
    <t>PIT850007</t>
  </si>
  <si>
    <t>JT850017</t>
  </si>
  <si>
    <t>JT850006</t>
  </si>
  <si>
    <t>OVERVIEW.Slice_1.Model_1.PCSD_V8511.8501A_V8511</t>
  </si>
  <si>
    <t>PIT850103</t>
  </si>
  <si>
    <t>TT850104</t>
  </si>
  <si>
    <t>LT850101A</t>
  </si>
  <si>
    <t>LT850101B</t>
  </si>
  <si>
    <t>LX850101B</t>
  </si>
  <si>
    <t>LX850101A</t>
  </si>
  <si>
    <t>PCV850110_PV</t>
  </si>
  <si>
    <t>OVERVIEW.Slice_1.Model_1.PCSD_V8511.8501B_P8511</t>
  </si>
  <si>
    <t>FT850130</t>
  </si>
  <si>
    <t>PIT850107</t>
  </si>
  <si>
    <t>AT850129</t>
  </si>
  <si>
    <t>JT850120</t>
  </si>
  <si>
    <t>TT850121</t>
  </si>
  <si>
    <t>PIT850131</t>
  </si>
  <si>
    <t>JT850106</t>
  </si>
  <si>
    <t>AT850128</t>
  </si>
  <si>
    <t>OVERVIEW.Slice_2.IO_2.Transmitters_2</t>
  </si>
  <si>
    <t>AT820025</t>
  </si>
  <si>
    <t>LT808121</t>
  </si>
  <si>
    <t>LT808120</t>
  </si>
  <si>
    <t>PT820438</t>
  </si>
  <si>
    <t>PT807028</t>
  </si>
  <si>
    <t>PT810443</t>
  </si>
  <si>
    <t>PT810530</t>
  </si>
  <si>
    <t>LT820817</t>
  </si>
  <si>
    <t>AT810524</t>
  </si>
  <si>
    <t>PT800026</t>
  </si>
  <si>
    <t>PT808122</t>
  </si>
  <si>
    <t>AT800106</t>
  </si>
  <si>
    <t>PT810444B</t>
  </si>
  <si>
    <t>AT810403</t>
  </si>
  <si>
    <t>LT810734</t>
  </si>
  <si>
    <t>AT810013</t>
  </si>
  <si>
    <t>AT800006</t>
  </si>
  <si>
    <t>AT820492</t>
  </si>
  <si>
    <t>LT821422</t>
  </si>
  <si>
    <t>PT820498B</t>
  </si>
  <si>
    <t>PT821428</t>
  </si>
  <si>
    <t>PT820838</t>
  </si>
  <si>
    <t>LT820734</t>
  </si>
  <si>
    <t>PT820735</t>
  </si>
  <si>
    <t>PT820498A</t>
  </si>
  <si>
    <t>LT820531</t>
  </si>
  <si>
    <t>LT807029</t>
  </si>
  <si>
    <t>PT810444A</t>
  </si>
  <si>
    <t>PT820530</t>
  </si>
  <si>
    <t>TT820551</t>
  </si>
  <si>
    <t>AT820524</t>
  </si>
  <si>
    <t>LT810531</t>
  </si>
  <si>
    <t>PT820498</t>
  </si>
  <si>
    <t>PT810733</t>
  </si>
  <si>
    <t>TT822920</t>
  </si>
  <si>
    <t>PT800121</t>
  </si>
  <si>
    <t>PT811020</t>
  </si>
  <si>
    <t>AT820026</t>
  </si>
  <si>
    <t>LT811017</t>
  </si>
  <si>
    <t>OVERVIEW.Slice_2.Model_2.PCSD_CA8209.8209_E8208</t>
  </si>
  <si>
    <t>TT820912</t>
  </si>
  <si>
    <t>FT820901</t>
  </si>
  <si>
    <t>PDIT820906</t>
  </si>
  <si>
    <t>PIT820905</t>
  </si>
  <si>
    <t>LSH820909</t>
  </si>
  <si>
    <t>FT820903</t>
  </si>
  <si>
    <t>OVERVIEW.Slice_2.Model_2.PCSD_CA8209.8210_CA8209</t>
  </si>
  <si>
    <t>TT821003</t>
  </si>
  <si>
    <t>PDIT821009</t>
  </si>
  <si>
    <t>LSH821017</t>
  </si>
  <si>
    <t>TT821007</t>
  </si>
  <si>
    <t>AT821016</t>
  </si>
  <si>
    <t>OVERVIEW.Slice_2.Model_2.PCSD_CA8209.8211_CA8210</t>
  </si>
  <si>
    <t>TT821106</t>
  </si>
  <si>
    <t>PDIT821102</t>
  </si>
  <si>
    <t>LSH821109</t>
  </si>
  <si>
    <t>TT821101</t>
  </si>
  <si>
    <t>TT821215</t>
  </si>
  <si>
    <t>LT821201B</t>
  </si>
  <si>
    <t>FT821208</t>
  </si>
  <si>
    <t>TT821204</t>
  </si>
  <si>
    <t>LSH821214</t>
  </si>
  <si>
    <t>AT821203</t>
  </si>
  <si>
    <t>PIT821213</t>
  </si>
  <si>
    <t>LX821201B</t>
  </si>
  <si>
    <t>AT821211</t>
  </si>
  <si>
    <t>TT821212</t>
  </si>
  <si>
    <t>AT821207</t>
  </si>
  <si>
    <t>LT821201A</t>
  </si>
  <si>
    <t>DT821208</t>
  </si>
  <si>
    <t>LX821201A</t>
  </si>
  <si>
    <t>TT821208</t>
  </si>
  <si>
    <t>LT807002A</t>
  </si>
  <si>
    <t>PIT807013</t>
  </si>
  <si>
    <t>DT807015</t>
  </si>
  <si>
    <t>FT807015</t>
  </si>
  <si>
    <t>PIT807001A</t>
  </si>
  <si>
    <t>D8070_Total_Level</t>
  </si>
  <si>
    <t>LT807002B</t>
  </si>
  <si>
    <t>JT807012</t>
  </si>
  <si>
    <t>TT807006</t>
  </si>
  <si>
    <t>LX807002B</t>
  </si>
  <si>
    <t>LX807002A</t>
  </si>
  <si>
    <t>LX807002C</t>
  </si>
  <si>
    <t>PIT807001B</t>
  </si>
  <si>
    <t>OVERVIEW.Slice_2.Model_2.PCSD_D8070.8070B_E8070</t>
  </si>
  <si>
    <t>TT807024</t>
  </si>
  <si>
    <t>TT807023</t>
  </si>
  <si>
    <t>PIT808109</t>
  </si>
  <si>
    <t>TT808106</t>
  </si>
  <si>
    <t>LSL808116</t>
  </si>
  <si>
    <t>LT808108A</t>
  </si>
  <si>
    <t>FT808105</t>
  </si>
  <si>
    <t>JT808107</t>
  </si>
  <si>
    <t>LX808108B</t>
  </si>
  <si>
    <t>AT808110</t>
  </si>
  <si>
    <t>LT808108B</t>
  </si>
  <si>
    <t>LX808108A</t>
  </si>
  <si>
    <t>OVERVIEW.Slice_2.Model_2.PCSD_D8207.8208A_D8207</t>
  </si>
  <si>
    <t>LT820812B</t>
  </si>
  <si>
    <t>FT820834</t>
  </si>
  <si>
    <t>LX820812B</t>
  </si>
  <si>
    <t>LT820812A</t>
  </si>
  <si>
    <t>TT820833</t>
  </si>
  <si>
    <t>TT820811</t>
  </si>
  <si>
    <t>PIT820814</t>
  </si>
  <si>
    <t>LX820812A</t>
  </si>
  <si>
    <t>OVERVIEW.Slice_2.Model_2.PCSD_D8207.8208B_P8207</t>
  </si>
  <si>
    <t>JT820823</t>
  </si>
  <si>
    <t>PIT820824</t>
  </si>
  <si>
    <t>FT820835</t>
  </si>
  <si>
    <t>TT800007</t>
  </si>
  <si>
    <t>TT800003</t>
  </si>
  <si>
    <t>FT800021</t>
  </si>
  <si>
    <t>PIT800030</t>
  </si>
  <si>
    <t>IT800001</t>
  </si>
  <si>
    <t>VT800002</t>
  </si>
  <si>
    <t>VT800004</t>
  </si>
  <si>
    <t>PIT800017</t>
  </si>
  <si>
    <t>IT800101</t>
  </si>
  <si>
    <t>VT800102</t>
  </si>
  <si>
    <t>VT800104</t>
  </si>
  <si>
    <t>FT800111</t>
  </si>
  <si>
    <t>TT800103</t>
  </si>
  <si>
    <t>PIT800117</t>
  </si>
  <si>
    <t>PIT800124</t>
  </si>
  <si>
    <t>TT800107</t>
  </si>
  <si>
    <t>ST800105</t>
  </si>
  <si>
    <t>OVERVIEW.Slice_2.Model_2.PCSD_R8103.8100</t>
  </si>
  <si>
    <t>FT810001A</t>
  </si>
  <si>
    <t>DT810001A</t>
  </si>
  <si>
    <t>PIT810007</t>
  </si>
  <si>
    <t>FT810001B</t>
  </si>
  <si>
    <t>PDT810003A</t>
  </si>
  <si>
    <t>DT810001B</t>
  </si>
  <si>
    <t>PDT810003B</t>
  </si>
  <si>
    <t>OVERVIEW.Slice_2.Model_2.PCSD_R8103.8101</t>
  </si>
  <si>
    <t>FT810101B</t>
  </si>
  <si>
    <t>FT810101A</t>
  </si>
  <si>
    <t>PIT810108</t>
  </si>
  <si>
    <t>LSH810413</t>
  </si>
  <si>
    <t>PIT810405</t>
  </si>
  <si>
    <t>TT810447</t>
  </si>
  <si>
    <t>JT810404</t>
  </si>
  <si>
    <t>TT810418</t>
  </si>
  <si>
    <t>TT810423B</t>
  </si>
  <si>
    <t>LIT810410</t>
  </si>
  <si>
    <t>TT810407A</t>
  </si>
  <si>
    <t>ST810422</t>
  </si>
  <si>
    <t>PIT810427</t>
  </si>
  <si>
    <t>PIT810406</t>
  </si>
  <si>
    <t>PIT810430</t>
  </si>
  <si>
    <t>LIT810411</t>
  </si>
  <si>
    <t>PIT810455</t>
  </si>
  <si>
    <t>PT810431</t>
  </si>
  <si>
    <t>PIT810401A</t>
  </si>
  <si>
    <t>LSL810412</t>
  </si>
  <si>
    <t>TT810407B</t>
  </si>
  <si>
    <t>PIT810446</t>
  </si>
  <si>
    <t>TT810423A</t>
  </si>
  <si>
    <t>PIT810451</t>
  </si>
  <si>
    <t>PIT810401B</t>
  </si>
  <si>
    <t>DLT23808104AB01</t>
  </si>
  <si>
    <t>IT810509A</t>
  </si>
  <si>
    <t>TT810535</t>
  </si>
  <si>
    <t>FT810505</t>
  </si>
  <si>
    <t>LSH810532</t>
  </si>
  <si>
    <t>IT810509B</t>
  </si>
  <si>
    <t>LSL810503</t>
  </si>
  <si>
    <t>VT810541</t>
  </si>
  <si>
    <t>DT810505</t>
  </si>
  <si>
    <t>TT810534</t>
  </si>
  <si>
    <t>VT810508</t>
  </si>
  <si>
    <t>PIT810506</t>
  </si>
  <si>
    <t>TT810505</t>
  </si>
  <si>
    <t>ST810511</t>
  </si>
  <si>
    <t>OVERVIEW.Slice_2.Model_2.PCSD_R8103.8105B_MM8103</t>
  </si>
  <si>
    <t>LSH810525</t>
  </si>
  <si>
    <t>TT810536</t>
  </si>
  <si>
    <t>TT810537</t>
  </si>
  <si>
    <t>LSH810524</t>
  </si>
  <si>
    <t>OVERVIEW.Slice_2.Model_2.PCSD_R8103.8106A_E8103</t>
  </si>
  <si>
    <t>LIT810653A</t>
  </si>
  <si>
    <t>TT810603</t>
  </si>
  <si>
    <t>LX810653B</t>
  </si>
  <si>
    <t>LX810653A</t>
  </si>
  <si>
    <t>LIT810653B</t>
  </si>
  <si>
    <t>PIT810652</t>
  </si>
  <si>
    <t>TT810601</t>
  </si>
  <si>
    <t>OVERVIEW.Slice_2.Model_2.PCSD_R8103.8106B_E8104</t>
  </si>
  <si>
    <t>FT810639</t>
  </si>
  <si>
    <t>TT810623</t>
  </si>
  <si>
    <t>TT810638B</t>
  </si>
  <si>
    <t>VT810661</t>
  </si>
  <si>
    <t>PIT810613</t>
  </si>
  <si>
    <t>JT810632</t>
  </si>
  <si>
    <t>PIT810633</t>
  </si>
  <si>
    <t>TT810637</t>
  </si>
  <si>
    <t>FT810621</t>
  </si>
  <si>
    <t>VT810662</t>
  </si>
  <si>
    <t>TT810638A</t>
  </si>
  <si>
    <t>FT810640</t>
  </si>
  <si>
    <t>TT810634</t>
  </si>
  <si>
    <t>TT810631</t>
  </si>
  <si>
    <t>OVERVIEW.Slice_2.Model_2.PCSD_R8103.8107_P8106</t>
  </si>
  <si>
    <t>JT810713</t>
  </si>
  <si>
    <t>FT810735</t>
  </si>
  <si>
    <t>PIT810716</t>
  </si>
  <si>
    <t>OVERVIEW.Slice_2.Model_2.PCSD_R8203.8002</t>
  </si>
  <si>
    <t>PIT800207</t>
  </si>
  <si>
    <t>PIT800206</t>
  </si>
  <si>
    <t>OVERVIEW.Slice_2.Model_2.PCSD_R8203.8200A</t>
  </si>
  <si>
    <t>TT820011B</t>
  </si>
  <si>
    <t>TT820011A</t>
  </si>
  <si>
    <t>DT820011B</t>
  </si>
  <si>
    <t>PIT820016</t>
  </si>
  <si>
    <t>DT820011A</t>
  </si>
  <si>
    <t>PDT820018A</t>
  </si>
  <si>
    <t>PDT820018B</t>
  </si>
  <si>
    <t>FT820011B</t>
  </si>
  <si>
    <t>FT820011A</t>
  </si>
  <si>
    <t>OVERVIEW.Slice_2.Model_2.PCSD_R8203.8200B</t>
  </si>
  <si>
    <t>PIT820006</t>
  </si>
  <si>
    <t>PDT820008B</t>
  </si>
  <si>
    <t>DT820001B</t>
  </si>
  <si>
    <t>FT820001B</t>
  </si>
  <si>
    <t>FT820001A</t>
  </si>
  <si>
    <t>DT820001A</t>
  </si>
  <si>
    <t>PDT820008A</t>
  </si>
  <si>
    <t>OVERVIEW.Slice_2.Model_2.PCSD_R8203.8201</t>
  </si>
  <si>
    <t>FT820101B</t>
  </si>
  <si>
    <t>FT820101A</t>
  </si>
  <si>
    <t>PIT820105</t>
  </si>
  <si>
    <t>LT820420</t>
  </si>
  <si>
    <t>TT820418A</t>
  </si>
  <si>
    <t>TT820418B</t>
  </si>
  <si>
    <t>PIT820412</t>
  </si>
  <si>
    <t>PIT820490</t>
  </si>
  <si>
    <t>PIT820413B</t>
  </si>
  <si>
    <t>PIT820492</t>
  </si>
  <si>
    <t>TT820422A</t>
  </si>
  <si>
    <t>TT820422B</t>
  </si>
  <si>
    <t>LSL820408</t>
  </si>
  <si>
    <t>PIT820493</t>
  </si>
  <si>
    <t>PIT820413A</t>
  </si>
  <si>
    <t>LIT820416</t>
  </si>
  <si>
    <t>PIT820411</t>
  </si>
  <si>
    <t>JT820414</t>
  </si>
  <si>
    <t>TT820405</t>
  </si>
  <si>
    <t>ST820415</t>
  </si>
  <si>
    <t>LSH820421</t>
  </si>
  <si>
    <t>DT820505</t>
  </si>
  <si>
    <t>TT820505</t>
  </si>
  <si>
    <t>LSL820503</t>
  </si>
  <si>
    <t>VT820509</t>
  </si>
  <si>
    <t>FT820512</t>
  </si>
  <si>
    <t>IT820509A</t>
  </si>
  <si>
    <t>TT820542</t>
  </si>
  <si>
    <t>FT820505</t>
  </si>
  <si>
    <t>LSH820561</t>
  </si>
  <si>
    <t>PIT820506</t>
  </si>
  <si>
    <t>ST820511</t>
  </si>
  <si>
    <t>TT820563</t>
  </si>
  <si>
    <t>IT820509B</t>
  </si>
  <si>
    <t>VT820508</t>
  </si>
  <si>
    <t>OVERVIEW.Slice_2.Model_2.PCSD_R8203.8205B_MM8203</t>
  </si>
  <si>
    <t>LSH820524</t>
  </si>
  <si>
    <t>TT820564</t>
  </si>
  <si>
    <t>OVERVIEW.Slice_2.Model_2.PCSD_R8203.8206A_E8203</t>
  </si>
  <si>
    <t>TT820603</t>
  </si>
  <si>
    <t>LIT820653A</t>
  </si>
  <si>
    <t>LX820653B</t>
  </si>
  <si>
    <t>TT820601</t>
  </si>
  <si>
    <t>PIT820652</t>
  </si>
  <si>
    <t>LIT820653B</t>
  </si>
  <si>
    <t>LX820653A</t>
  </si>
  <si>
    <t>OVERVIEW.Slice_2.Model_2.PCSD_R8203.8206B_E8204</t>
  </si>
  <si>
    <t>TT820631</t>
  </si>
  <si>
    <t>TT820638A</t>
  </si>
  <si>
    <t>FT820639</t>
  </si>
  <si>
    <t>VT820661</t>
  </si>
  <si>
    <t>TT820638B</t>
  </si>
  <si>
    <t>TT820637</t>
  </si>
  <si>
    <t>TT820634</t>
  </si>
  <si>
    <t>FT820621</t>
  </si>
  <si>
    <t>PIT820633</t>
  </si>
  <si>
    <t>VT820662</t>
  </si>
  <si>
    <t>JT820632</t>
  </si>
  <si>
    <t>PIT820613</t>
  </si>
  <si>
    <t>FT820640</t>
  </si>
  <si>
    <t>TT820623</t>
  </si>
  <si>
    <t>OVERVIEW.Slice_2.Model_2.PCSD_R8203.8207_P8206</t>
  </si>
  <si>
    <t>PIT820714</t>
  </si>
  <si>
    <t>JT820713</t>
  </si>
  <si>
    <t>FT820717</t>
  </si>
  <si>
    <t>OVERVIEW.Slice_2.Model_2.PCSD_T8212.8214_T8212</t>
  </si>
  <si>
    <t>PIT821416</t>
  </si>
  <si>
    <t>TT821409</t>
  </si>
  <si>
    <t>LT821408A</t>
  </si>
  <si>
    <t>JT821417</t>
  </si>
  <si>
    <t>PIT821406</t>
  </si>
  <si>
    <t>AX821420B</t>
  </si>
  <si>
    <t>LT821408B</t>
  </si>
  <si>
    <t>LX821408B</t>
  </si>
  <si>
    <t>TT821411</t>
  </si>
  <si>
    <t>LX821408A</t>
  </si>
  <si>
    <t>FT821425</t>
  </si>
  <si>
    <t>LSL821410</t>
  </si>
  <si>
    <t>FT821413</t>
  </si>
  <si>
    <t>AT821421</t>
  </si>
  <si>
    <t>OVERVIEW.Slice_2.Model_2.PCSD_T8212.8229_E8245</t>
  </si>
  <si>
    <t>FT822915</t>
  </si>
  <si>
    <t>LT822901A</t>
  </si>
  <si>
    <t>LX822901B</t>
  </si>
  <si>
    <t>JT822904</t>
  </si>
  <si>
    <t>TT822907</t>
  </si>
  <si>
    <t>LT822901B</t>
  </si>
  <si>
    <t>PIT822911</t>
  </si>
  <si>
    <t>PIT822910</t>
  </si>
  <si>
    <t>LX822901A</t>
  </si>
  <si>
    <t>PIT822908</t>
  </si>
  <si>
    <t>TT822912</t>
  </si>
  <si>
    <t>OVERVIEW.Slice_2.Model_2.PCSD_V8010.8003A_V8010</t>
  </si>
  <si>
    <t>LX800301A</t>
  </si>
  <si>
    <t>TT800304</t>
  </si>
  <si>
    <t>LX800301B</t>
  </si>
  <si>
    <t>PIT800303</t>
  </si>
  <si>
    <t>LT800301B</t>
  </si>
  <si>
    <t>LT800301A</t>
  </si>
  <si>
    <t>PCV800313_PV</t>
  </si>
  <si>
    <t>OVERVIEW.Slice_2.Model_2.PCSD_V8010.8003B_E8010</t>
  </si>
  <si>
    <t>FT800318</t>
  </si>
  <si>
    <t>PIT800307</t>
  </si>
  <si>
    <t>JT800306</t>
  </si>
  <si>
    <t>FT800321</t>
  </si>
  <si>
    <t>PIT800310</t>
  </si>
  <si>
    <t>JT800309</t>
  </si>
  <si>
    <t>OVERVIEW.Slice_2.Model_2.PCSD_V8013.8005_V8013</t>
  </si>
  <si>
    <t>LX800501A</t>
  </si>
  <si>
    <t>TT800504</t>
  </si>
  <si>
    <t>PIT800507</t>
  </si>
  <si>
    <t>JT800506</t>
  </si>
  <si>
    <t>LT800501A</t>
  </si>
  <si>
    <t>PIT800503</t>
  </si>
  <si>
    <t>LX800501B</t>
  </si>
  <si>
    <t>FT800512</t>
  </si>
  <si>
    <t>LT800501B</t>
  </si>
  <si>
    <t>PCV800509_PV</t>
  </si>
  <si>
    <t>OVERVIEW.Slice_2.Model_2.PCSD_V8014.8006_V8014</t>
  </si>
  <si>
    <t>JT800606</t>
  </si>
  <si>
    <t>FT800613</t>
  </si>
  <si>
    <t>PIT800603</t>
  </si>
  <si>
    <t>LT800601B</t>
  </si>
  <si>
    <t>TT800604</t>
  </si>
  <si>
    <t>PIT800607</t>
  </si>
  <si>
    <t>LX800601A</t>
  </si>
  <si>
    <t>LX800601B</t>
  </si>
  <si>
    <t>LT800601A</t>
  </si>
  <si>
    <t>PCV800609_PV</t>
  </si>
  <si>
    <t>OVERVIEW.Slice_2.Model_2.PCSD_V8015.8008_V8015</t>
  </si>
  <si>
    <t>LX800801A</t>
  </si>
  <si>
    <t>JT800806</t>
  </si>
  <si>
    <t>LT800801B</t>
  </si>
  <si>
    <t>PIT800803</t>
  </si>
  <si>
    <t>LT800801A</t>
  </si>
  <si>
    <t>LX800801B</t>
  </si>
  <si>
    <t>TT800804</t>
  </si>
  <si>
    <t>PIT800807</t>
  </si>
  <si>
    <t>PCV800809_PV</t>
  </si>
  <si>
    <t>OVERVIEW.Slice_2.Model_2.PCSD_V8120.8110_V8120</t>
  </si>
  <si>
    <t>LX811001A</t>
  </si>
  <si>
    <t>TT811004</t>
  </si>
  <si>
    <t>JT811006</t>
  </si>
  <si>
    <t>LT811001A</t>
  </si>
  <si>
    <t>LX811001B</t>
  </si>
  <si>
    <t>PIT811003</t>
  </si>
  <si>
    <t>PIT811007</t>
  </si>
  <si>
    <t>FT811014</t>
  </si>
  <si>
    <t>LT811001B</t>
  </si>
  <si>
    <t>PCV811009_PV</t>
  </si>
  <si>
    <t>OVERVIEW.Slice_2.Model_2.PCSD_V8121.8111_V8121</t>
  </si>
  <si>
    <t>PIT811107</t>
  </si>
  <si>
    <t>TT811104</t>
  </si>
  <si>
    <t>PIT811103</t>
  </si>
  <si>
    <t>LT811101B</t>
  </si>
  <si>
    <t>JT811106</t>
  </si>
  <si>
    <t>LX811101B</t>
  </si>
  <si>
    <t>LX811101A</t>
  </si>
  <si>
    <t>LT811101A</t>
  </si>
  <si>
    <t>PCV811109_PV</t>
  </si>
  <si>
    <t>OVERVIEW.Slice_3.IO_3.Transmitters_3</t>
  </si>
  <si>
    <t>PT822150</t>
  </si>
  <si>
    <t>LT821503</t>
  </si>
  <si>
    <t>TT822142</t>
  </si>
  <si>
    <t>JT822408</t>
  </si>
  <si>
    <t>PT821928</t>
  </si>
  <si>
    <t>JT822308</t>
  </si>
  <si>
    <t>TT823016</t>
  </si>
  <si>
    <t>JT803402</t>
  </si>
  <si>
    <t>JT803512</t>
  </si>
  <si>
    <t>LT822144</t>
  </si>
  <si>
    <t>LSH821523</t>
  </si>
  <si>
    <t>JT803602</t>
  </si>
  <si>
    <t>LT821920</t>
  </si>
  <si>
    <t>PT821531</t>
  </si>
  <si>
    <t>OVERVIEW.Slice_3.Model_3.PCSD_D8060.8050A_D8060</t>
  </si>
  <si>
    <t>LX805002B</t>
  </si>
  <si>
    <t>LIT805002B</t>
  </si>
  <si>
    <t>LX805002A</t>
  </si>
  <si>
    <t>LIT805002A</t>
  </si>
  <si>
    <t>TT805001</t>
  </si>
  <si>
    <t>PIT805007</t>
  </si>
  <si>
    <t>PIT805004</t>
  </si>
  <si>
    <t>JT805006</t>
  </si>
  <si>
    <t>PCV805027_PV</t>
  </si>
  <si>
    <t>OVERVIEW.Slice_3.Model_3.PCSD_D8061.8050B_D8061</t>
  </si>
  <si>
    <t>TT805009</t>
  </si>
  <si>
    <t>JT805014</t>
  </si>
  <si>
    <t>LX805010A</t>
  </si>
  <si>
    <t>LX805010B</t>
  </si>
  <si>
    <t>LIT805010A</t>
  </si>
  <si>
    <t>PIT805015</t>
  </si>
  <si>
    <t>PIT805023</t>
  </si>
  <si>
    <t>LIT805010B</t>
  </si>
  <si>
    <t>PCV805024_PV</t>
  </si>
  <si>
    <t>OVERVIEW.Slice_3.Model_3.PCSD_D8213.8215A_D8213</t>
  </si>
  <si>
    <t>TT821501</t>
  </si>
  <si>
    <t>LIT821504A</t>
  </si>
  <si>
    <t>LX821504B</t>
  </si>
  <si>
    <t>LX821504A</t>
  </si>
  <si>
    <t>LIT821504B</t>
  </si>
  <si>
    <t>PIT821502</t>
  </si>
  <si>
    <t>PCV821521_PV</t>
  </si>
  <si>
    <t>OVERVIEW.Slice_3.Model_3.PCSD_D8213.8215B_P8213</t>
  </si>
  <si>
    <t>FT821506</t>
  </si>
  <si>
    <t>JT821511</t>
  </si>
  <si>
    <t>FT821526</t>
  </si>
  <si>
    <t>LSL821510</t>
  </si>
  <si>
    <t>PIT821513</t>
  </si>
  <si>
    <t>AT821520</t>
  </si>
  <si>
    <t>AT821519B</t>
  </si>
  <si>
    <t>AT821519C</t>
  </si>
  <si>
    <t>AT821519A</t>
  </si>
  <si>
    <t>OVERVIEW.Slice_3.Model_3.PCSD_E8214.8216_E8214</t>
  </si>
  <si>
    <t>TT821601</t>
  </si>
  <si>
    <t>LSH821611</t>
  </si>
  <si>
    <t>PIT821623</t>
  </si>
  <si>
    <t>LSL821827</t>
  </si>
  <si>
    <t>PT821826</t>
  </si>
  <si>
    <t>OVERVIEW.Slice_3.Model_3.PCSD_FL8215.8218B_FL8225</t>
  </si>
  <si>
    <t>PIT821831</t>
  </si>
  <si>
    <t>PDT821829</t>
  </si>
  <si>
    <t>LSL821830</t>
  </si>
  <si>
    <t>KOH_ppm</t>
  </si>
  <si>
    <t>Inlet_KOH_ppm</t>
  </si>
  <si>
    <t>PIT825004</t>
  </si>
  <si>
    <t>PIT825008</t>
  </si>
  <si>
    <t>PIT835008</t>
  </si>
  <si>
    <t>PIT835004</t>
  </si>
  <si>
    <t>OVERVIEW.Slice_3.Model_3.PCSD_R8217.8220_R8217</t>
  </si>
  <si>
    <t>KOH_Inlet_R8217</t>
  </si>
  <si>
    <t>FT822008A</t>
  </si>
  <si>
    <t>PIT822010</t>
  </si>
  <si>
    <t>TT822005</t>
  </si>
  <si>
    <t>C3Ald_Outlet_R8217</t>
  </si>
  <si>
    <t>PA_Inlet_R8217</t>
  </si>
  <si>
    <t>PA_Outlet_R8217</t>
  </si>
  <si>
    <t>NA_Outlet_R8217</t>
  </si>
  <si>
    <t>SCV_outlet_MM8218</t>
  </si>
  <si>
    <t>KOH_Outlet_R8217</t>
  </si>
  <si>
    <t>FT822012B</t>
  </si>
  <si>
    <t>OC_R8217</t>
  </si>
  <si>
    <t>N_outlet_MM8218</t>
  </si>
  <si>
    <t>PA_outlet_MM8218</t>
  </si>
  <si>
    <t>PA_Inlet_MM8218</t>
  </si>
  <si>
    <t>FT822012A</t>
  </si>
  <si>
    <t>FT822008B</t>
  </si>
  <si>
    <t>Scav_Inlet_MM8218</t>
  </si>
  <si>
    <t>OVERVIEW.Slice_3.Model_3.PCSD_T8219.8221A_T8219</t>
  </si>
  <si>
    <t>Other_C3_BT</t>
  </si>
  <si>
    <t>Scavenger_BT</t>
  </si>
  <si>
    <t>LX822115</t>
  </si>
  <si>
    <t>PIT822136</t>
  </si>
  <si>
    <t>FT822135</t>
  </si>
  <si>
    <t>TT822116</t>
  </si>
  <si>
    <t>Water_T</t>
  </si>
  <si>
    <t>Neutr_BT</t>
  </si>
  <si>
    <t>NA_BT</t>
  </si>
  <si>
    <t>LT822115A</t>
  </si>
  <si>
    <t>PIT822137</t>
  </si>
  <si>
    <t>Scavenger_T</t>
  </si>
  <si>
    <t>Other_C3_T</t>
  </si>
  <si>
    <t>Propinaldehyde_T</t>
  </si>
  <si>
    <t>PIT822146</t>
  </si>
  <si>
    <t>Propinaldehyde_BT</t>
  </si>
  <si>
    <t>FT822138</t>
  </si>
  <si>
    <t>PIT822114</t>
  </si>
  <si>
    <t>N2_BT</t>
  </si>
  <si>
    <t>NA_T</t>
  </si>
  <si>
    <t>Polyol_BT</t>
  </si>
  <si>
    <t>N2_T</t>
  </si>
  <si>
    <t>LSL822117</t>
  </si>
  <si>
    <t>Water_BT</t>
  </si>
  <si>
    <t>Polyol_T</t>
  </si>
  <si>
    <t>LSH822147</t>
  </si>
  <si>
    <t>FT822132</t>
  </si>
  <si>
    <t>LT822115B</t>
  </si>
  <si>
    <t>Neutr_T</t>
  </si>
  <si>
    <t>TT822140</t>
  </si>
  <si>
    <t>OVERVIEW.Slice_3.Model_3.PCSD_T8219.8221B_P8219</t>
  </si>
  <si>
    <t>FT822121</t>
  </si>
  <si>
    <t>JT822120</t>
  </si>
  <si>
    <t>FT822122</t>
  </si>
  <si>
    <t>PIT822118</t>
  </si>
  <si>
    <t>OVERVIEW.Slice_3.Model_3.PCSD_T8219.8222_E8221</t>
  </si>
  <si>
    <t>FT822207</t>
  </si>
  <si>
    <t>TT822205</t>
  </si>
  <si>
    <t>OVERVIEW.Slice_3.Model_3.PCSD_T8219.8230_E8240</t>
  </si>
  <si>
    <t>JT823004</t>
  </si>
  <si>
    <t>LT823002A</t>
  </si>
  <si>
    <t>FT823012</t>
  </si>
  <si>
    <t>LT823002B</t>
  </si>
  <si>
    <t>PIT823006</t>
  </si>
  <si>
    <t>LX823002A</t>
  </si>
  <si>
    <t>TT823007</t>
  </si>
  <si>
    <t>LX823002B</t>
  </si>
  <si>
    <t>TT823003</t>
  </si>
  <si>
    <t>TT823010</t>
  </si>
  <si>
    <t>OVERVIEW.Slice_3.Model_3.PCSD_V8073.8083A_V8073</t>
  </si>
  <si>
    <t>LIT808305A</t>
  </si>
  <si>
    <t>LX808305A</t>
  </si>
  <si>
    <t>LX808305B</t>
  </si>
  <si>
    <t>LIT808305B</t>
  </si>
  <si>
    <t>PIT808307</t>
  </si>
  <si>
    <t>TT808308</t>
  </si>
  <si>
    <t>PCV808312_PV</t>
  </si>
  <si>
    <t>OVERVIEW.Slice_3.Model_3.PCSD_V8073.8083B_E8073</t>
  </si>
  <si>
    <t>JT808310</t>
  </si>
  <si>
    <t>PIT808311</t>
  </si>
  <si>
    <t>FT808320</t>
  </si>
  <si>
    <t>OVERVIEW.Slice_3.Model_3.PCSD_V8223.8223A_V8223</t>
  </si>
  <si>
    <t>LIT822302A</t>
  </si>
  <si>
    <t>LX822302B</t>
  </si>
  <si>
    <t>TT822306</t>
  </si>
  <si>
    <t>LIT822302B</t>
  </si>
  <si>
    <t>PIT822301</t>
  </si>
  <si>
    <t>LX822302A</t>
  </si>
  <si>
    <t>PCV822304_PV</t>
  </si>
  <si>
    <t>ST822327</t>
  </si>
  <si>
    <t>LSH822319</t>
  </si>
  <si>
    <t>IT822308</t>
  </si>
  <si>
    <t>PIT822312</t>
  </si>
  <si>
    <t>LSL822310</t>
  </si>
  <si>
    <t>OVERVIEW.Slice_3.Model_3.PCSD_V8224.8224A_V8224</t>
  </si>
  <si>
    <t>LIT822402A</t>
  </si>
  <si>
    <t>TT822406</t>
  </si>
  <si>
    <t>LX822402A</t>
  </si>
  <si>
    <t>LX822402B</t>
  </si>
  <si>
    <t>PIT822401</t>
  </si>
  <si>
    <t>LIT822402B</t>
  </si>
  <si>
    <t>PCV822404_PV</t>
  </si>
  <si>
    <t>PIT822412</t>
  </si>
  <si>
    <t>LSL822419</t>
  </si>
  <si>
    <t>LSH822420</t>
  </si>
  <si>
    <t>ST822429</t>
  </si>
  <si>
    <t>FT822421</t>
  </si>
  <si>
    <t>IT822408</t>
  </si>
  <si>
    <t>LSL822410</t>
  </si>
  <si>
    <t>LIT821913B</t>
  </si>
  <si>
    <t>LX821913B</t>
  </si>
  <si>
    <t>LX821913A</t>
  </si>
  <si>
    <t>LSL821910</t>
  </si>
  <si>
    <t>JT821908</t>
  </si>
  <si>
    <t>FT821909</t>
  </si>
  <si>
    <t>TT821924</t>
  </si>
  <si>
    <t>LIT821913A</t>
  </si>
  <si>
    <t>PIT821907</t>
  </si>
  <si>
    <t>OVERVIEW.Slice_4.IO_4.Sheet1_4</t>
  </si>
  <si>
    <t>AT830324</t>
  </si>
  <si>
    <t>VT830510</t>
  </si>
  <si>
    <t>TT823321</t>
  </si>
  <si>
    <t>TT830312B</t>
  </si>
  <si>
    <t>TT823209</t>
  </si>
  <si>
    <t>FT803514</t>
  </si>
  <si>
    <t>LAL832505</t>
  </si>
  <si>
    <t>DI830301A</t>
  </si>
  <si>
    <t>TT830416B</t>
  </si>
  <si>
    <t>TT830416A</t>
  </si>
  <si>
    <t>VT830862</t>
  </si>
  <si>
    <t>DI830312A</t>
  </si>
  <si>
    <t>AT830619</t>
  </si>
  <si>
    <t>PT830532</t>
  </si>
  <si>
    <t>PT830706</t>
  </si>
  <si>
    <t>AT830503</t>
  </si>
  <si>
    <t>DI830401B</t>
  </si>
  <si>
    <t>AT830325</t>
  </si>
  <si>
    <t>IT803513</t>
  </si>
  <si>
    <t>TT832103</t>
  </si>
  <si>
    <t>DI830416B</t>
  </si>
  <si>
    <t>DI830402B</t>
  </si>
  <si>
    <t>VT830503</t>
  </si>
  <si>
    <t>DI830312B</t>
  </si>
  <si>
    <t>PT830119</t>
  </si>
  <si>
    <t>LIT830205</t>
  </si>
  <si>
    <t>TT830301B</t>
  </si>
  <si>
    <t>DI830301B</t>
  </si>
  <si>
    <t>PT830231</t>
  </si>
  <si>
    <t>DI830416A</t>
  </si>
  <si>
    <t>LAL832405</t>
  </si>
  <si>
    <t>TT830301A</t>
  </si>
  <si>
    <t>PT830609</t>
  </si>
  <si>
    <t>TT812124</t>
  </si>
  <si>
    <t>PT830629</t>
  </si>
  <si>
    <t>LT830941</t>
  </si>
  <si>
    <t>VT830632</t>
  </si>
  <si>
    <t>DI830401A</t>
  </si>
  <si>
    <t>PT830226</t>
  </si>
  <si>
    <t>LIT830120</t>
  </si>
  <si>
    <t>LIT830707</t>
  </si>
  <si>
    <t>TT830312A</t>
  </si>
  <si>
    <t>TT812221</t>
  </si>
  <si>
    <t>LT830227</t>
  </si>
  <si>
    <t>PT803514</t>
  </si>
  <si>
    <t>LT830533</t>
  </si>
  <si>
    <t>TT832345</t>
  </si>
  <si>
    <t>LT830630</t>
  </si>
  <si>
    <t>DI830402A</t>
  </si>
  <si>
    <t>TT832521</t>
  </si>
  <si>
    <t>LAL813118</t>
  </si>
  <si>
    <t>TT832115</t>
  </si>
  <si>
    <t>PT830952</t>
  </si>
  <si>
    <t>LT830611</t>
  </si>
  <si>
    <t>VT830861</t>
  </si>
  <si>
    <t>TT830621</t>
  </si>
  <si>
    <t>TT832421</t>
  </si>
  <si>
    <t>TT823350</t>
  </si>
  <si>
    <t>TT812109</t>
  </si>
  <si>
    <t>TT832309</t>
  </si>
  <si>
    <t>TT823220</t>
  </si>
  <si>
    <t>OVERVIEW.Slice_4.Model_4.PCSD_D8011.8007_D8011</t>
  </si>
  <si>
    <t>LX800705B</t>
  </si>
  <si>
    <t>LT800705A</t>
  </si>
  <si>
    <t>PIT800704A</t>
  </si>
  <si>
    <t>LT800705B</t>
  </si>
  <si>
    <t>LX800705A</t>
  </si>
  <si>
    <t>TT800712</t>
  </si>
  <si>
    <t>PIT800704B</t>
  </si>
  <si>
    <t>PCV800715_PV</t>
  </si>
  <si>
    <t>OVERVIEW.Slice_4.Model_4.PCSD_D8300</t>
  </si>
  <si>
    <t>ST830117</t>
  </si>
  <si>
    <t>LSL830105</t>
  </si>
  <si>
    <t>LIT830102A</t>
  </si>
  <si>
    <t>DLIT830102A</t>
  </si>
  <si>
    <t>LIT830102B</t>
  </si>
  <si>
    <t>PIT830101</t>
  </si>
  <si>
    <t>FT830115</t>
  </si>
  <si>
    <t>DLIT830102B</t>
  </si>
  <si>
    <t>JT830103</t>
  </si>
  <si>
    <t>TT830104</t>
  </si>
  <si>
    <t>DMC_Concentration_D8300</t>
  </si>
  <si>
    <t>PCV830113_PV</t>
  </si>
  <si>
    <t>OVERVIEW.Slice_4.Model_4.PCSD_D8301</t>
  </si>
  <si>
    <t>DMC_Concentration_D8301</t>
  </si>
  <si>
    <t>LIT830204A</t>
  </si>
  <si>
    <t>JT830201</t>
  </si>
  <si>
    <t>JT830210</t>
  </si>
  <si>
    <t>ST830201</t>
  </si>
  <si>
    <t>LIT830204B</t>
  </si>
  <si>
    <t>PIT830223</t>
  </si>
  <si>
    <t>TT830208</t>
  </si>
  <si>
    <t>FT830230</t>
  </si>
  <si>
    <t>PIT830209</t>
  </si>
  <si>
    <t>PCV830203_PV</t>
  </si>
  <si>
    <t>ST803413</t>
  </si>
  <si>
    <t>VSD_803408</t>
  </si>
  <si>
    <t>FT803403</t>
  </si>
  <si>
    <t>IT803408</t>
  </si>
  <si>
    <t>FT803409</t>
  </si>
  <si>
    <t>PIT803411</t>
  </si>
  <si>
    <t>ST803415</t>
  </si>
  <si>
    <t>FT803406</t>
  </si>
  <si>
    <t>PIT803412</t>
  </si>
  <si>
    <t>PIT803410</t>
  </si>
  <si>
    <t>ST803414</t>
  </si>
  <si>
    <t>IT803405</t>
  </si>
  <si>
    <t>IT803402</t>
  </si>
  <si>
    <t>SC803405_T</t>
  </si>
  <si>
    <t>OVERVIEW.Slice_4.Model_4.PCSD_E8316.8314_E8316</t>
  </si>
  <si>
    <t>TT831410</t>
  </si>
  <si>
    <t>TT_CV812001</t>
  </si>
  <si>
    <t>T_SC812001</t>
  </si>
  <si>
    <t>TT812022</t>
  </si>
  <si>
    <t>IT812001</t>
  </si>
  <si>
    <t>PIT812005</t>
  </si>
  <si>
    <t>TT812002</t>
  </si>
  <si>
    <t>PCV812012_PV</t>
  </si>
  <si>
    <t>OVERVIEW.Slice_4.Model_4.PCSD_P8134.8121_E8133</t>
  </si>
  <si>
    <t>LIT812105A</t>
  </si>
  <si>
    <t>PIT812120</t>
  </si>
  <si>
    <t>JT812108</t>
  </si>
  <si>
    <t>LIX812105A</t>
  </si>
  <si>
    <t>PIT812113</t>
  </si>
  <si>
    <t>TT812101</t>
  </si>
  <si>
    <t>FT812117</t>
  </si>
  <si>
    <t>LIX812105B</t>
  </si>
  <si>
    <t>LIT812105B</t>
  </si>
  <si>
    <t>LSH812205</t>
  </si>
  <si>
    <t>TT812203</t>
  </si>
  <si>
    <t>PIT812204</t>
  </si>
  <si>
    <t>PIT812202</t>
  </si>
  <si>
    <t>IT812223</t>
  </si>
  <si>
    <t>T_SC812223</t>
  </si>
  <si>
    <t>PCV812207_PV</t>
  </si>
  <si>
    <t>TT823102</t>
  </si>
  <si>
    <t>CV823101_T</t>
  </si>
  <si>
    <t>IT823101</t>
  </si>
  <si>
    <t>T_SC823101</t>
  </si>
  <si>
    <t>PIT823105</t>
  </si>
  <si>
    <t>PCV823112_PV</t>
  </si>
  <si>
    <t>OVERVIEW.Slice_4.Model_4.PCSD_P8244.8232A_E8243</t>
  </si>
  <si>
    <t>TT823201</t>
  </si>
  <si>
    <t>JT823208</t>
  </si>
  <si>
    <t>PIT823213</t>
  </si>
  <si>
    <t>PIT823203</t>
  </si>
  <si>
    <t>LIT823205A</t>
  </si>
  <si>
    <t>LIT823205B</t>
  </si>
  <si>
    <t>LIX823205B</t>
  </si>
  <si>
    <t>LIX823205A</t>
  </si>
  <si>
    <t>FT823220</t>
  </si>
  <si>
    <t>TT823219</t>
  </si>
  <si>
    <t>PIT823218</t>
  </si>
  <si>
    <t>TT823204</t>
  </si>
  <si>
    <t>T_SC823212</t>
  </si>
  <si>
    <t>PIT823215</t>
  </si>
  <si>
    <t>IT823212</t>
  </si>
  <si>
    <t>IT823324</t>
  </si>
  <si>
    <t>PIT823304</t>
  </si>
  <si>
    <t>T_SC823324</t>
  </si>
  <si>
    <t>TT823303</t>
  </si>
  <si>
    <t>PIT823302</t>
  </si>
  <si>
    <t>PCV823307_PV</t>
  </si>
  <si>
    <t>PIT823330</t>
  </si>
  <si>
    <t>T_SC822352</t>
  </si>
  <si>
    <t>CV8233B01_T</t>
  </si>
  <si>
    <t>PIT823332</t>
  </si>
  <si>
    <t>IT823352</t>
  </si>
  <si>
    <t>TT823331</t>
  </si>
  <si>
    <t>PCV823335_PV</t>
  </si>
  <si>
    <t>IT832201</t>
  </si>
  <si>
    <t>T_SC832201</t>
  </si>
  <si>
    <t>TT832230</t>
  </si>
  <si>
    <t>TT832204</t>
  </si>
  <si>
    <t>PIT832202</t>
  </si>
  <si>
    <t>PCV832212_PV</t>
  </si>
  <si>
    <t>T_SC832322</t>
  </si>
  <si>
    <t>PIT832205</t>
  </si>
  <si>
    <t>TT832320</t>
  </si>
  <si>
    <t>PIT832340</t>
  </si>
  <si>
    <t>TT832301</t>
  </si>
  <si>
    <t>IT832322</t>
  </si>
  <si>
    <t>OVERVIEW.Slice_4.Model_4.PCSD_P8324.8323B_E8324</t>
  </si>
  <si>
    <t>JT832308</t>
  </si>
  <si>
    <t>PIT832313</t>
  </si>
  <si>
    <t>LIX832315A</t>
  </si>
  <si>
    <t>LIT832315B</t>
  </si>
  <si>
    <t>FT832316</t>
  </si>
  <si>
    <t>LIT832315A</t>
  </si>
  <si>
    <t>PIT832324</t>
  </si>
  <si>
    <t>LIX832315B</t>
  </si>
  <si>
    <t>T_SC832332</t>
  </si>
  <si>
    <t>TT832330</t>
  </si>
  <si>
    <t>PIT832334</t>
  </si>
  <si>
    <t>PIT832345</t>
  </si>
  <si>
    <t>IT832332</t>
  </si>
  <si>
    <t>TT832346</t>
  </si>
  <si>
    <t>TT832321</t>
  </si>
  <si>
    <t>PIT832402</t>
  </si>
  <si>
    <t>PIT832502</t>
  </si>
  <si>
    <t>SC832423</t>
  </si>
  <si>
    <t>CV823101_U</t>
  </si>
  <si>
    <t>TT832503</t>
  </si>
  <si>
    <t>IT832423</t>
  </si>
  <si>
    <t>PIT832404</t>
  </si>
  <si>
    <t>PIT832504</t>
  </si>
  <si>
    <t>PCV832507_PV</t>
  </si>
  <si>
    <t>TT832403</t>
  </si>
  <si>
    <t>SC832523A</t>
  </si>
  <si>
    <t>IT832523</t>
  </si>
  <si>
    <t>PCV832407_PV</t>
  </si>
  <si>
    <t>OVERVIEW.Slice_4.Model_4.PCSD_R8302.8303A_MM8301</t>
  </si>
  <si>
    <t>PIT830328</t>
  </si>
  <si>
    <t>FT830301B</t>
  </si>
  <si>
    <t>FT830301A</t>
  </si>
  <si>
    <t>PIT830324</t>
  </si>
  <si>
    <t>PDT830303</t>
  </si>
  <si>
    <t>PIT830307</t>
  </si>
  <si>
    <t>PDT830304</t>
  </si>
  <si>
    <t>FT830311</t>
  </si>
  <si>
    <t>PCV830327_PV</t>
  </si>
  <si>
    <t>OVERVIEW.Slice_4.Model_4.PCSD_R8302.8303B</t>
  </si>
  <si>
    <t>PIT830318</t>
  </si>
  <si>
    <t>FT830312B</t>
  </si>
  <si>
    <t>PDT830314</t>
  </si>
  <si>
    <t>PDT830315</t>
  </si>
  <si>
    <t>FT830312A</t>
  </si>
  <si>
    <t>PT830332</t>
  </si>
  <si>
    <t>OVERVIEW.Slice_4.Model_4.PCSD_R8302.8304_MM8302</t>
  </si>
  <si>
    <t>FT830405A</t>
  </si>
  <si>
    <t>FT830416A</t>
  </si>
  <si>
    <t>FT830416B</t>
  </si>
  <si>
    <t>FT830402A</t>
  </si>
  <si>
    <t>FT830405B</t>
  </si>
  <si>
    <t>PIT830414</t>
  </si>
  <si>
    <t>FT830409A</t>
  </si>
  <si>
    <t>FT830401A</t>
  </si>
  <si>
    <t>FT830401B</t>
  </si>
  <si>
    <t>FT830409B</t>
  </si>
  <si>
    <t>FT830402B</t>
  </si>
  <si>
    <t>PIT830501A</t>
  </si>
  <si>
    <t>JT830510</t>
  </si>
  <si>
    <t>PIT830535</t>
  </si>
  <si>
    <t>TT830524B</t>
  </si>
  <si>
    <t>PIT830501B</t>
  </si>
  <si>
    <t>TT830506B</t>
  </si>
  <si>
    <t>LSL830515</t>
  </si>
  <si>
    <t>LSH830534</t>
  </si>
  <si>
    <t>TT830506A</t>
  </si>
  <si>
    <t>TT830524A</t>
  </si>
  <si>
    <t>ST830509</t>
  </si>
  <si>
    <t>PIT830528</t>
  </si>
  <si>
    <t>TT830525B</t>
  </si>
  <si>
    <t>LSL830511</t>
  </si>
  <si>
    <t>TT830525A</t>
  </si>
  <si>
    <t>LIT830514</t>
  </si>
  <si>
    <t>TT830512A</t>
  </si>
  <si>
    <t>TT830512B</t>
  </si>
  <si>
    <t>PIT830529</t>
  </si>
  <si>
    <t>VT830644</t>
  </si>
  <si>
    <t>AT830613</t>
  </si>
  <si>
    <t>AT830613A</t>
  </si>
  <si>
    <t>VT830631</t>
  </si>
  <si>
    <t>JT830616</t>
  </si>
  <si>
    <t>PIT830604</t>
  </si>
  <si>
    <t>TT830636</t>
  </si>
  <si>
    <t>FT830607</t>
  </si>
  <si>
    <t>LSH830634</t>
  </si>
  <si>
    <t>LSL830610</t>
  </si>
  <si>
    <t>AT830613B</t>
  </si>
  <si>
    <t>TT830617</t>
  </si>
  <si>
    <t>OVERVIEW.Slice_4.Model_4.PCSD_R8302.8307_P8305</t>
  </si>
  <si>
    <t>JT830702</t>
  </si>
  <si>
    <t>PIT830704</t>
  </si>
  <si>
    <t>FT830703</t>
  </si>
  <si>
    <t>OVERVIEW.Slice_4.Model_4.PCSD_R8302.8308A_E8302</t>
  </si>
  <si>
    <t>TT830801</t>
  </si>
  <si>
    <t>TT830803</t>
  </si>
  <si>
    <t>PIT830852</t>
  </si>
  <si>
    <t>LIT830853B</t>
  </si>
  <si>
    <t>LIT830853A</t>
  </si>
  <si>
    <t>FT830821</t>
  </si>
  <si>
    <t>TT830834</t>
  </si>
  <si>
    <t>PIT830813</t>
  </si>
  <si>
    <t>TT830838B</t>
  </si>
  <si>
    <t>FT830839</t>
  </si>
  <si>
    <t>TT830837</t>
  </si>
  <si>
    <t>PIT830833</t>
  </si>
  <si>
    <t>FT830840</t>
  </si>
  <si>
    <t>TT830838A</t>
  </si>
  <si>
    <t>JT830832</t>
  </si>
  <si>
    <t>TT830823</t>
  </si>
  <si>
    <t>TT830831</t>
  </si>
  <si>
    <t>OVERVIEW.Slice_4.Model_4.PCSD_R8302.8530_D8540</t>
  </si>
  <si>
    <t>LIT853002B</t>
  </si>
  <si>
    <t>PIT853003</t>
  </si>
  <si>
    <t>LIT853002A</t>
  </si>
  <si>
    <t>LIX853002B</t>
  </si>
  <si>
    <t>LIX853002A</t>
  </si>
  <si>
    <t>TT853001</t>
  </si>
  <si>
    <t>PCV853004_PV</t>
  </si>
  <si>
    <t>VSD_803502</t>
  </si>
  <si>
    <t>ST803505</t>
  </si>
  <si>
    <t>IT803512</t>
  </si>
  <si>
    <t>FT803513</t>
  </si>
  <si>
    <t>FT803503</t>
  </si>
  <si>
    <t>IT803502</t>
  </si>
  <si>
    <t>PIT803504</t>
  </si>
  <si>
    <t>PIT803514</t>
  </si>
  <si>
    <t>ST803515</t>
  </si>
  <si>
    <t>SC803605_T</t>
  </si>
  <si>
    <t>PIT803607</t>
  </si>
  <si>
    <t>FT803606</t>
  </si>
  <si>
    <t>IT803605</t>
  </si>
  <si>
    <t>IT803602</t>
  </si>
  <si>
    <t>FT803603</t>
  </si>
  <si>
    <t>ST803609</t>
  </si>
  <si>
    <t>PIT803608</t>
  </si>
  <si>
    <t>ST803610</t>
  </si>
  <si>
    <t>OVERVIEW.Slice_4.Model_4.PCSD_T8307.8309A_T8307</t>
  </si>
  <si>
    <t>PIT830944</t>
  </si>
  <si>
    <t>PIT830942</t>
  </si>
  <si>
    <t>PIT830909A</t>
  </si>
  <si>
    <t>PIT830908</t>
  </si>
  <si>
    <t>LX830932A</t>
  </si>
  <si>
    <t>LT830932B</t>
  </si>
  <si>
    <t>TT830905</t>
  </si>
  <si>
    <t>PIT830901</t>
  </si>
  <si>
    <t>FT830937</t>
  </si>
  <si>
    <t>PIT830909B</t>
  </si>
  <si>
    <t>LT830932A</t>
  </si>
  <si>
    <t>TT830902</t>
  </si>
  <si>
    <t>LSL830925</t>
  </si>
  <si>
    <t>PIT830934</t>
  </si>
  <si>
    <t>LSH830949</t>
  </si>
  <si>
    <t>LSH830948</t>
  </si>
  <si>
    <t>LX830932B</t>
  </si>
  <si>
    <t>TT830946</t>
  </si>
  <si>
    <t>OVERVIEW.Slice_4.Model_4.PCSD_T8307.8309B_P8307</t>
  </si>
  <si>
    <t>PIT830919</t>
  </si>
  <si>
    <t>FT830920</t>
  </si>
  <si>
    <t>FT830912</t>
  </si>
  <si>
    <t>FT830915</t>
  </si>
  <si>
    <t>JT830916</t>
  </si>
  <si>
    <t>FT830922</t>
  </si>
  <si>
    <t>OVERVIEW.Slice_4.Model_4.PCSD_T8307.8310_E8310</t>
  </si>
  <si>
    <t>TT831006</t>
  </si>
  <si>
    <t>FT831008</t>
  </si>
  <si>
    <t>OVERVIEW.Slice_4.Model_4.PCSD_T8307.8321_E8320</t>
  </si>
  <si>
    <t>FT832113</t>
  </si>
  <si>
    <t>PIT832106</t>
  </si>
  <si>
    <t>TT832107</t>
  </si>
  <si>
    <t>LIT832102A</t>
  </si>
  <si>
    <t>LIX832102A</t>
  </si>
  <si>
    <t>TT832110</t>
  </si>
  <si>
    <t>JT832104</t>
  </si>
  <si>
    <t>LIX832102B</t>
  </si>
  <si>
    <t>LIT832102B</t>
  </si>
  <si>
    <t>OVERVIEW.Slice_4.Model_4.PCSD_V8012.8004_V8012</t>
  </si>
  <si>
    <t>JT800406</t>
  </si>
  <si>
    <t>LIX800401B</t>
  </si>
  <si>
    <t>PIT800403</t>
  </si>
  <si>
    <t>FT800418</t>
  </si>
  <si>
    <t>LIT800401B</t>
  </si>
  <si>
    <t>PIT800407</t>
  </si>
  <si>
    <t>TT800404</t>
  </si>
  <si>
    <t>LIX800401A</t>
  </si>
  <si>
    <t>FT800416</t>
  </si>
  <si>
    <t>LIT800401A</t>
  </si>
  <si>
    <t>PCV800414_PV</t>
  </si>
  <si>
    <t>OVERVIEW.Slice_4.Model_4.PCSD_V8080.8090A_V8080</t>
  </si>
  <si>
    <t>LIX809001A</t>
  </si>
  <si>
    <t>LIX809001B</t>
  </si>
  <si>
    <t>LIT809001B</t>
  </si>
  <si>
    <t>TT809004</t>
  </si>
  <si>
    <t>PIT809003</t>
  </si>
  <si>
    <t>LIT809001A</t>
  </si>
  <si>
    <t>PCV809012_PV</t>
  </si>
  <si>
    <t>OVERVIEW.Slice_4.Model_4.PCSD_V8080.8090B_E8080</t>
  </si>
  <si>
    <t>JT809006</t>
  </si>
  <si>
    <t>FT809017</t>
  </si>
  <si>
    <t>PIT809007</t>
  </si>
  <si>
    <t>OVERVIEW.Slice_4.Model_4.PCSD_V8081.8091_V8081</t>
  </si>
  <si>
    <t>LIT809101A</t>
  </si>
  <si>
    <t>LIX809101A</t>
  </si>
  <si>
    <t>PIT809103</t>
  </si>
  <si>
    <t>PIT809107</t>
  </si>
  <si>
    <t>TT809104</t>
  </si>
  <si>
    <t>LIX809101B</t>
  </si>
  <si>
    <t>JT809106</t>
  </si>
  <si>
    <t>LIT809101B</t>
  </si>
  <si>
    <t>PCV809109_PV</t>
  </si>
  <si>
    <t>OVERVIEW.Slice_4.Model_4.PCSD_V8082.8092_V8082</t>
  </si>
  <si>
    <t>LIT809201A</t>
  </si>
  <si>
    <t>TT809204</t>
  </si>
  <si>
    <t>LIX809201B</t>
  </si>
  <si>
    <t>LIX809201A</t>
  </si>
  <si>
    <t>PIT809207</t>
  </si>
  <si>
    <t>JT809206</t>
  </si>
  <si>
    <t>PIT809203</t>
  </si>
  <si>
    <t>LIT809201B</t>
  </si>
  <si>
    <t>PCV809209_PV</t>
  </si>
  <si>
    <t>OVERVIEW.Slice_4.Model_4.PCSD_V8312.8311A_V8312</t>
  </si>
  <si>
    <t>PIT831103</t>
  </si>
  <si>
    <t>TT831104</t>
  </si>
  <si>
    <t>LIT831101B</t>
  </si>
  <si>
    <t>LIT831101A</t>
  </si>
  <si>
    <t>PCV831210_PV</t>
  </si>
  <si>
    <t>LSL831119</t>
  </si>
  <si>
    <t>PIT831107</t>
  </si>
  <si>
    <t>IT831106</t>
  </si>
  <si>
    <t>LSH831118</t>
  </si>
  <si>
    <t>VSD_831106</t>
  </si>
  <si>
    <t>ST831129</t>
  </si>
  <si>
    <t>OVERVIEW.Slice_4.Model_4.PCSD_V8313.8312A_V8313</t>
  </si>
  <si>
    <t>TT831204</t>
  </si>
  <si>
    <t>PIT831203</t>
  </si>
  <si>
    <t>LIT831201B</t>
  </si>
  <si>
    <t>LIT831201A</t>
  </si>
  <si>
    <t>PCV831211_PV</t>
  </si>
  <si>
    <t>LSL831208</t>
  </si>
  <si>
    <t>ST831220</t>
  </si>
  <si>
    <t>LSH831216</t>
  </si>
  <si>
    <t>VSD_831206</t>
  </si>
  <si>
    <t>PIT831207</t>
  </si>
  <si>
    <t>IT831206</t>
  </si>
  <si>
    <t>FT831221</t>
  </si>
  <si>
    <t>LSL831225</t>
  </si>
  <si>
    <t>AI800005IO.Mode</t>
  </si>
  <si>
    <t>AI800105IO.Mode</t>
  </si>
  <si>
    <t>AI810012IO.Mode</t>
  </si>
  <si>
    <t>AI810402IO.Mode</t>
  </si>
  <si>
    <t>AI810523IO.Mode</t>
  </si>
  <si>
    <t>AI820023IO.Mode</t>
  </si>
  <si>
    <t>AI820024IO.Mode</t>
  </si>
  <si>
    <t>AI820491IO.Mode</t>
  </si>
  <si>
    <t>AI820523IO.Mode</t>
  </si>
  <si>
    <t>AI821420IO.Mode</t>
  </si>
  <si>
    <t>AI821519IO.Mode</t>
  </si>
  <si>
    <t>AI821519IO_COMP1.Mode</t>
  </si>
  <si>
    <t>AI830322IO.Mode</t>
  </si>
  <si>
    <t>AI830323IO.Mode</t>
  </si>
  <si>
    <t>AI830502IO.Mode</t>
  </si>
  <si>
    <t>AI830618IO.Mode</t>
  </si>
  <si>
    <t>AI841906IO.Mode</t>
  </si>
  <si>
    <t>AI841906IO_COMP1.Mode</t>
  </si>
  <si>
    <t>AI856016IO.Mode</t>
  </si>
  <si>
    <t>AI899801IO.Mode</t>
  </si>
  <si>
    <t>AI899802IO.Mode</t>
  </si>
  <si>
    <t>AI899803IO.Mode</t>
  </si>
  <si>
    <t>AI899804IO.Mode</t>
  </si>
  <si>
    <t>AI899810IO.Mode</t>
  </si>
  <si>
    <t>AI899811IO.Mode</t>
  </si>
  <si>
    <t>AX821420AIO.Mode</t>
  </si>
  <si>
    <t>DI830301A_1oo2IO_MA1.Mode</t>
  </si>
  <si>
    <t>DI830301A_1oo2IO_MA2.Mode</t>
  </si>
  <si>
    <t>DI830312A_1oo2IO_MA1.Mode</t>
  </si>
  <si>
    <t>DI830312A_1oo2IO_MA2.Mode</t>
  </si>
  <si>
    <t>DI830401AIO.Mode</t>
  </si>
  <si>
    <t>DI830401BIO.Mode</t>
  </si>
  <si>
    <t>DI830402AIO.Mode</t>
  </si>
  <si>
    <t>DI830402BIO.Mode</t>
  </si>
  <si>
    <t>DI830416A_1oo2IO_MA1.Mode</t>
  </si>
  <si>
    <t>DI830416A_1oo2IO_MA2.Mode</t>
  </si>
  <si>
    <t>EI897989IO.Mode</t>
  </si>
  <si>
    <t>EI897990IO.Mode</t>
  </si>
  <si>
    <t>EI897993IO.Mode</t>
  </si>
  <si>
    <t>EI897994IO.Mode</t>
  </si>
  <si>
    <t>FI841103IO.Mode</t>
  </si>
  <si>
    <t>FI843101IO.Mode</t>
  </si>
  <si>
    <t>FI843301IO.Mode</t>
  </si>
  <si>
    <t>FI843401IO.Mode</t>
  </si>
  <si>
    <t>FI843501IO.Mode</t>
  </si>
  <si>
    <t>FI845001IO.Mode</t>
  </si>
  <si>
    <t>FI846501IO.Mode</t>
  </si>
  <si>
    <t>FI846601IO.Mode</t>
  </si>
  <si>
    <t>II897987IO.Mode</t>
  </si>
  <si>
    <t>II897988IO.Mode</t>
  </si>
  <si>
    <t>II897991IO.Mode</t>
  </si>
  <si>
    <t>II897992IO.Mode</t>
  </si>
  <si>
    <t>LAH803015IO.Mode</t>
  </si>
  <si>
    <t>LAH803116IO.Mode</t>
  </si>
  <si>
    <t>LAH803215IO.Mode</t>
  </si>
  <si>
    <t>LAH821523IO.Mode</t>
  </si>
  <si>
    <t>LAH832405IO.Mode</t>
  </si>
  <si>
    <t>LAH832505IO.Mode</t>
  </si>
  <si>
    <t>LAH896207IO.Mode</t>
  </si>
  <si>
    <t>LAH896208IO.Mode</t>
  </si>
  <si>
    <t>LAL813118IO.Mode</t>
  </si>
  <si>
    <t>LI807029IO.Mode</t>
  </si>
  <si>
    <t>LI808120IO.Mode</t>
  </si>
  <si>
    <t>LI810531IO.Mode</t>
  </si>
  <si>
    <t>LI810734IO.Mode</t>
  </si>
  <si>
    <t>LI811017IO.Mode</t>
  </si>
  <si>
    <t>LI820531IO.Mode</t>
  </si>
  <si>
    <t>LI820734IO.Mode</t>
  </si>
  <si>
    <t>LI820817IO.Mode</t>
  </si>
  <si>
    <t>LI821422IO.Mode</t>
  </si>
  <si>
    <t>LI821503IO.Mode</t>
  </si>
  <si>
    <t>LI821920IO.Mode</t>
  </si>
  <si>
    <t>LI822144IO.Mode</t>
  </si>
  <si>
    <t>LI830120IO.Mode</t>
  </si>
  <si>
    <t>LI830205IO.Mode</t>
  </si>
  <si>
    <t>LI830227IO.Mode</t>
  </si>
  <si>
    <t>LI830533IO.Mode</t>
  </si>
  <si>
    <t>LI830611IO.Mode</t>
  </si>
  <si>
    <t>LI830630IO.Mode</t>
  </si>
  <si>
    <t>LI830707IO.Mode</t>
  </si>
  <si>
    <t>LI830941IO.Mode</t>
  </si>
  <si>
    <t>LI896008IO.Mode</t>
  </si>
  <si>
    <t>LI896108IO.Mode</t>
  </si>
  <si>
    <t>PDI845208IO.Mode</t>
  </si>
  <si>
    <t>PDI896009IO.Mode</t>
  </si>
  <si>
    <t>PDI896109IO.Mode</t>
  </si>
  <si>
    <t>PI800026IO.Mode</t>
  </si>
  <si>
    <t>PI800121IO.Mode</t>
  </si>
  <si>
    <t>PI803514IO1.Mode</t>
  </si>
  <si>
    <t>PI807028IO.Mode</t>
  </si>
  <si>
    <t>PI808122IO.Mode</t>
  </si>
  <si>
    <t>PI810443IO.Mode</t>
  </si>
  <si>
    <t>PI810444AIO.Mode</t>
  </si>
  <si>
    <t>PI810444BIO.Mode</t>
  </si>
  <si>
    <t>PI810530IO.Mode</t>
  </si>
  <si>
    <t>PI810733IO.Mode</t>
  </si>
  <si>
    <t>PI811020IO.Mode</t>
  </si>
  <si>
    <t>PI820438IO.Mode</t>
  </si>
  <si>
    <t>PI820498AIO.Mode</t>
  </si>
  <si>
    <t>PI820498BIO.Mode</t>
  </si>
  <si>
    <t>PI820498IO.Mode</t>
  </si>
  <si>
    <t>PI820530IO.Mode</t>
  </si>
  <si>
    <t>PI820735IO.Mode</t>
  </si>
  <si>
    <t>PI820838IO.Mode</t>
  </si>
  <si>
    <t>PI821428IO.Mode</t>
  </si>
  <si>
    <t>PI821531IO.Mode</t>
  </si>
  <si>
    <t>PI821928IO.Mode</t>
  </si>
  <si>
    <t>PI822150IO.Mode</t>
  </si>
  <si>
    <t>PI830119IO.Mode</t>
  </si>
  <si>
    <t>PI830226IO.Mode</t>
  </si>
  <si>
    <t>PI830231IO.Mode</t>
  </si>
  <si>
    <t>PI830532IO.Mode</t>
  </si>
  <si>
    <t>PI830609IO.Mode</t>
  </si>
  <si>
    <t>PI830629IO.Mode</t>
  </si>
  <si>
    <t>PI830706IO.Mode</t>
  </si>
  <si>
    <t>PI830952IO.Mode</t>
  </si>
  <si>
    <t>PI841107IO.Mode</t>
  </si>
  <si>
    <t>PI841905IO.Mode</t>
  </si>
  <si>
    <t>PI843011AIO.Mode</t>
  </si>
  <si>
    <t>PI843011BIO.Mode</t>
  </si>
  <si>
    <t>PI843017AIO.Mode</t>
  </si>
  <si>
    <t>PI843017BIO.Mode</t>
  </si>
  <si>
    <t>PI843021IO.Mode</t>
  </si>
  <si>
    <t>PI843025AIO.Mode</t>
  </si>
  <si>
    <t>PI843025BIO.Mode</t>
  </si>
  <si>
    <t>PI843107IO.Mode</t>
  </si>
  <si>
    <t>PI843615AIO.Mode</t>
  </si>
  <si>
    <t>PI843615BIO.Mode</t>
  </si>
  <si>
    <t>PI843620IO.Mode</t>
  </si>
  <si>
    <t>PI843702AIO.Mode</t>
  </si>
  <si>
    <t>PI843702BIO.Mode</t>
  </si>
  <si>
    <t>PI843717IO.Mode</t>
  </si>
  <si>
    <t>PI845002IO.Mode</t>
  </si>
  <si>
    <t>PI845204IO.Mode</t>
  </si>
  <si>
    <t>PI896103IO.Mode</t>
  </si>
  <si>
    <t>PI896104IO.Mode</t>
  </si>
  <si>
    <t>PI899402IO.Mode</t>
  </si>
  <si>
    <t>PI899403IO.Mode</t>
  </si>
  <si>
    <t>PI899405IO.Mode</t>
  </si>
  <si>
    <t>PI899406IO.Mode</t>
  </si>
  <si>
    <t>PI899502IO.Mode</t>
  </si>
  <si>
    <t>PI899503IO.Mode</t>
  </si>
  <si>
    <t>PI899505IO.Mode</t>
  </si>
  <si>
    <t>PI899506IO.Mode</t>
  </si>
  <si>
    <t>PI899508IO.Mode</t>
  </si>
  <si>
    <t>PI899509IO.Mode</t>
  </si>
  <si>
    <t>TI100112CCIO.Mode</t>
  </si>
  <si>
    <t>TI100114ICIO.Mode</t>
  </si>
  <si>
    <t>TI100120NCIO.Mode</t>
  </si>
  <si>
    <t>TI100201BPIO.Mode</t>
  </si>
  <si>
    <t>TI100601FFIO.Mode</t>
  </si>
  <si>
    <t>TI100701FFIO.Mode</t>
  </si>
  <si>
    <t>TI803013IO.Mode</t>
  </si>
  <si>
    <t>TI803113IO.Mode</t>
  </si>
  <si>
    <t>TI803213IO.Mode</t>
  </si>
  <si>
    <t>TI812109IO.Mode</t>
  </si>
  <si>
    <t>TI812124IO.Mode</t>
  </si>
  <si>
    <t>TI812221IO.Mode</t>
  </si>
  <si>
    <t>TI820551IO.Mode</t>
  </si>
  <si>
    <t>TI822142IO.Mode</t>
  </si>
  <si>
    <t>TI822920IO.Mode</t>
  </si>
  <si>
    <t>TI823016IO.Mode</t>
  </si>
  <si>
    <t>TI823209IO.Mode</t>
  </si>
  <si>
    <t>TI823220IO.Mode</t>
  </si>
  <si>
    <t>TI823319IO.Mode</t>
  </si>
  <si>
    <t>TI823321IO.Mode</t>
  </si>
  <si>
    <t>TI823350IO.Mode</t>
  </si>
  <si>
    <t>TI830301A_1oo2IO_MA1.Mode</t>
  </si>
  <si>
    <t>TI830301A_1oo2IO_MA2.Mode</t>
  </si>
  <si>
    <t>TI830312A_1oo2IO_MA1.Mode</t>
  </si>
  <si>
    <t>TI830312A_1oo2IO_MA2.Mode</t>
  </si>
  <si>
    <t>TI830416A_1oo2IO_MA1.Mode</t>
  </si>
  <si>
    <t>TI830416A_1oo2IO_MA2.Mode</t>
  </si>
  <si>
    <t>TI830621IO.Mode</t>
  </si>
  <si>
    <t>TI832103IO.Mode</t>
  </si>
  <si>
    <t>TI832115IO.Mode</t>
  </si>
  <si>
    <t>TI832309IO.Mode</t>
  </si>
  <si>
    <t>TI832345IO.Mode</t>
  </si>
  <si>
    <t>TI832421IO.Mode</t>
  </si>
  <si>
    <t>TI832521IO.Mode</t>
  </si>
  <si>
    <t>TI841101IO.Mode</t>
  </si>
  <si>
    <t>TI841904IO.Mode</t>
  </si>
  <si>
    <t>TI843108IO.Mode</t>
  </si>
  <si>
    <t>TI845003IO.Mode</t>
  </si>
  <si>
    <t>TI852016IO.Mode</t>
  </si>
  <si>
    <t>TI852065IO.Mode</t>
  </si>
  <si>
    <t>TI897965IO.Mode</t>
  </si>
  <si>
    <t>TI897967IO.Mode</t>
  </si>
  <si>
    <t>TI897968IO.Mode</t>
  </si>
  <si>
    <t>VI830503IO.Mode</t>
  </si>
  <si>
    <t>VI830510IO.Mode</t>
  </si>
  <si>
    <t>VI830632IO.Mode</t>
  </si>
  <si>
    <t>VI830861IO.Mode</t>
  </si>
  <si>
    <t>VI830862IO.Mode</t>
  </si>
  <si>
    <t>XI899009IO.Mode</t>
  </si>
  <si>
    <t>OVERVIEW.Slice_1.Model_1.PCSD_MRU8410.8430_MRU8410.IO Only</t>
  </si>
  <si>
    <t>IOBlocks.M_DI</t>
  </si>
  <si>
    <t>AA821420AIO</t>
  </si>
  <si>
    <t>AS821420A.CIN</t>
  </si>
  <si>
    <t>AA821420BIO</t>
  </si>
  <si>
    <t>AS821420B.CIN</t>
  </si>
  <si>
    <t>AA821519AIO</t>
  </si>
  <si>
    <t>AI821519A.CIN</t>
  </si>
  <si>
    <t>AA821519BIO</t>
  </si>
  <si>
    <t>AA821519B.CIN</t>
  </si>
  <si>
    <t>AA830613IO</t>
  </si>
  <si>
    <t>AA830613.CIN</t>
  </si>
  <si>
    <t>AA850128IO</t>
  </si>
  <si>
    <t>AS850128.CIN</t>
  </si>
  <si>
    <t>AA856016AIO</t>
  </si>
  <si>
    <t>AS856016A.CIN</t>
  </si>
  <si>
    <t>AA856016BIO</t>
  </si>
  <si>
    <t>AS856016B.CIN</t>
  </si>
  <si>
    <t>AA856016CIO</t>
  </si>
  <si>
    <t>AS856016C.CIN</t>
  </si>
  <si>
    <t>AA881201AIO</t>
  </si>
  <si>
    <t>AA881201A.CIN</t>
  </si>
  <si>
    <t>AA881201BIO</t>
  </si>
  <si>
    <t>AA881201B.CIN</t>
  </si>
  <si>
    <t>AA881301AIO</t>
  </si>
  <si>
    <t>AA881301A.CIN</t>
  </si>
  <si>
    <t>AA881301BIO</t>
  </si>
  <si>
    <t>AA881301B.CIN</t>
  </si>
  <si>
    <t>AS830613IO</t>
  </si>
  <si>
    <t>AS830613.CIN</t>
  </si>
  <si>
    <t>EA897933IO</t>
  </si>
  <si>
    <t>ES897933.CIN</t>
  </si>
  <si>
    <t>EA897940IO</t>
  </si>
  <si>
    <t>ES897940.CIN</t>
  </si>
  <si>
    <t>EA897972IO</t>
  </si>
  <si>
    <t>ES897972.CIN</t>
  </si>
  <si>
    <t>EA897977IO</t>
  </si>
  <si>
    <t>ES897977.CIN</t>
  </si>
  <si>
    <t>EHS810509A_1oo2IO_MB1</t>
  </si>
  <si>
    <t>EHS810509A.CIN</t>
  </si>
  <si>
    <t>EHS810509A_1oo2IO_MB2</t>
  </si>
  <si>
    <t>EHS810509B.CIN</t>
  </si>
  <si>
    <t>EHS810509AIO</t>
  </si>
  <si>
    <t>EHS810509BIO</t>
  </si>
  <si>
    <t>EHS820509A_1oo2IO_MB1</t>
  </si>
  <si>
    <t>EHS820509A.CIN</t>
  </si>
  <si>
    <t>EHS820509A_1oo2IO_MB2</t>
  </si>
  <si>
    <t>EHS820509AIO</t>
  </si>
  <si>
    <t>EHS820509BIO</t>
  </si>
  <si>
    <t>EHS820509B.CIN</t>
  </si>
  <si>
    <t>EHS830616A_1oo2IO_MB1</t>
  </si>
  <si>
    <t>EHS830616A.CIN</t>
  </si>
  <si>
    <t>EHS830616A_1oo2IO_MB2</t>
  </si>
  <si>
    <t>EHS830616B.CIN</t>
  </si>
  <si>
    <t>EHS830616AIO</t>
  </si>
  <si>
    <t>EHS830616BIO</t>
  </si>
  <si>
    <t>ES800001IO</t>
  </si>
  <si>
    <t>ES800001.CIN</t>
  </si>
  <si>
    <t>ES800101IO</t>
  </si>
  <si>
    <t>ES800101.CIN</t>
  </si>
  <si>
    <t>ES803402IO</t>
  </si>
  <si>
    <t>ES803402.CIN</t>
  </si>
  <si>
    <t>ES803405IO</t>
  </si>
  <si>
    <t>ES803405.CIN</t>
  </si>
  <si>
    <t>ES803408IO</t>
  </si>
  <si>
    <t>ES803408.CIN</t>
  </si>
  <si>
    <t>ES803502IO</t>
  </si>
  <si>
    <t>ES803502.CIN</t>
  </si>
  <si>
    <t>ES803512IO</t>
  </si>
  <si>
    <t>ES803512.CIN</t>
  </si>
  <si>
    <t>ES803512IO1</t>
  </si>
  <si>
    <t>ES803602IO</t>
  </si>
  <si>
    <t>ES803605IO</t>
  </si>
  <si>
    <t>ES803605.CIN</t>
  </si>
  <si>
    <t>ES810509AIO</t>
  </si>
  <si>
    <t>ES810509A.CIN</t>
  </si>
  <si>
    <t>ES810509BIO</t>
  </si>
  <si>
    <t>ES810509B.CIN</t>
  </si>
  <si>
    <t>ES812001IO</t>
  </si>
  <si>
    <t>ES812001.CIN</t>
  </si>
  <si>
    <t>ES812223IO</t>
  </si>
  <si>
    <t>ES812223.CIN</t>
  </si>
  <si>
    <t>ES820414AIO</t>
  </si>
  <si>
    <t>ES820414A.CIN</t>
  </si>
  <si>
    <t>ES820414BIO</t>
  </si>
  <si>
    <t>ES820414B.CIN</t>
  </si>
  <si>
    <t>ES820509AIO</t>
  </si>
  <si>
    <t>ES820509A.CIN</t>
  </si>
  <si>
    <t>ES820509BIO</t>
  </si>
  <si>
    <t>ES820509B.CIN</t>
  </si>
  <si>
    <t>ES820509CIO</t>
  </si>
  <si>
    <t>ES820509C.CIN</t>
  </si>
  <si>
    <t>ES820509DIO</t>
  </si>
  <si>
    <t>ES820509D.CIN</t>
  </si>
  <si>
    <t>ES822308IO</t>
  </si>
  <si>
    <t>ES822308.CIN</t>
  </si>
  <si>
    <t>ES822322IO</t>
  </si>
  <si>
    <t>ES822322.CIN</t>
  </si>
  <si>
    <t>ES822332IO</t>
  </si>
  <si>
    <t>ES822332.CIN</t>
  </si>
  <si>
    <t>ES822408IO</t>
  </si>
  <si>
    <t>ES822408.CIN</t>
  </si>
  <si>
    <t>ES823101IO</t>
  </si>
  <si>
    <t>ES823101.CIN</t>
  </si>
  <si>
    <t>ES823212IO</t>
  </si>
  <si>
    <t>ES823212.CIN</t>
  </si>
  <si>
    <t>ES823324IO</t>
  </si>
  <si>
    <t>ES823324.CIN</t>
  </si>
  <si>
    <t>ES823352IO</t>
  </si>
  <si>
    <t>ES823352.CIN</t>
  </si>
  <si>
    <t>ES830510AIO</t>
  </si>
  <si>
    <t>ES830510A.CIN</t>
  </si>
  <si>
    <t>ES830510BIO</t>
  </si>
  <si>
    <t>ES830510B.CIN</t>
  </si>
  <si>
    <t>ES830613BIO</t>
  </si>
  <si>
    <t>ES830613B.CIN</t>
  </si>
  <si>
    <t>ES830616AIO</t>
  </si>
  <si>
    <t>ES830616A.CIN</t>
  </si>
  <si>
    <t>ES830616BIO</t>
  </si>
  <si>
    <t>ES830616B.CIN</t>
  </si>
  <si>
    <t>ES830832AIO</t>
  </si>
  <si>
    <t>ES830832A.CIN</t>
  </si>
  <si>
    <t>ES830832BIO</t>
  </si>
  <si>
    <t>ES830832B.CIN</t>
  </si>
  <si>
    <t>ES831106IO</t>
  </si>
  <si>
    <t>ES831106.CIN</t>
  </si>
  <si>
    <t>ES831206IO</t>
  </si>
  <si>
    <t>ES831206.CIN</t>
  </si>
  <si>
    <t>ES832201IO</t>
  </si>
  <si>
    <t>ES832201.CIN</t>
  </si>
  <si>
    <t>ES832322IO</t>
  </si>
  <si>
    <t>ES832322.CIN</t>
  </si>
  <si>
    <t>ES832332IO</t>
  </si>
  <si>
    <t>ES832332.CIN</t>
  </si>
  <si>
    <t>ES832423IO</t>
  </si>
  <si>
    <t>ES832423.CIN</t>
  </si>
  <si>
    <t>ES832523IO</t>
  </si>
  <si>
    <t>ES832523.CIN</t>
  </si>
  <si>
    <t>ES843030AIO</t>
  </si>
  <si>
    <t>ES843030A.CIN</t>
  </si>
  <si>
    <t>ES843030BIO</t>
  </si>
  <si>
    <t>ES843030B.CIN</t>
  </si>
  <si>
    <t>ES843030CIO</t>
  </si>
  <si>
    <t>ES843030C.CIN</t>
  </si>
  <si>
    <t>ES850206IO</t>
  </si>
  <si>
    <t>ES850206.CIN</t>
  </si>
  <si>
    <t>FAL850134IO</t>
  </si>
  <si>
    <t>FSL850134.CIN</t>
  </si>
  <si>
    <t>HS800001AIO</t>
  </si>
  <si>
    <t>ZC800001.CIN</t>
  </si>
  <si>
    <t>HS800006IO_FB0</t>
  </si>
  <si>
    <t>A_HV800006.Zll</t>
  </si>
  <si>
    <t>HS800006IO_FB1</t>
  </si>
  <si>
    <t>A_HV800006.Zhl</t>
  </si>
  <si>
    <t>HS800009IO_FB0</t>
  </si>
  <si>
    <t>A_HV800009.Zll</t>
  </si>
  <si>
    <t>HS800009IO_FB1</t>
  </si>
  <si>
    <t>A_HV800009.Zhl</t>
  </si>
  <si>
    <t>HS800027IO_FB0</t>
  </si>
  <si>
    <t>A_EBV800027.Zll</t>
  </si>
  <si>
    <t>HS800027IO_FB1</t>
  </si>
  <si>
    <t>A_EBV800027.Zhl</t>
  </si>
  <si>
    <t>HS800031IO_FB0</t>
  </si>
  <si>
    <t>A_EBV800031.Zll</t>
  </si>
  <si>
    <t>HS800031IO_FB1</t>
  </si>
  <si>
    <t>A_EBV800031.Zhl</t>
  </si>
  <si>
    <t>HS800101AIO</t>
  </si>
  <si>
    <t>ZC800101.CIN</t>
  </si>
  <si>
    <t>HS800106IO_FB0</t>
  </si>
  <si>
    <t>A_HV800106.Zll</t>
  </si>
  <si>
    <t>HS800106IO_FB1</t>
  </si>
  <si>
    <t>A_HV800106.Zhl</t>
  </si>
  <si>
    <t>HS800109IO_FB0</t>
  </si>
  <si>
    <t>A_HV800109.Zll</t>
  </si>
  <si>
    <t>HS800109IO_FB1</t>
  </si>
  <si>
    <t>A_HV800109.Zhl</t>
  </si>
  <si>
    <t>HS800203IO_FB0</t>
  </si>
  <si>
    <t>A_EBV800203.Zll</t>
  </si>
  <si>
    <t>HS800203IO_FB1</t>
  </si>
  <si>
    <t>A_EBV800203.Zhl</t>
  </si>
  <si>
    <t>HS800305IO_FB0</t>
  </si>
  <si>
    <t>A_ABV800305.Zll</t>
  </si>
  <si>
    <t>HS800308IO_FB0</t>
  </si>
  <si>
    <t>A_ABV800308.Zll</t>
  </si>
  <si>
    <t>HS800314IO_FB0</t>
  </si>
  <si>
    <t>A_ABV800314.Zll</t>
  </si>
  <si>
    <t>HS800315IO_FB0</t>
  </si>
  <si>
    <t>A_ABV800315.Zll</t>
  </si>
  <si>
    <t>HS800319IO_FB0</t>
  </si>
  <si>
    <t>A_ABV800319.Zll</t>
  </si>
  <si>
    <t>HS800405IO_FB0</t>
  </si>
  <si>
    <t>A_ABV800405.Zll</t>
  </si>
  <si>
    <t>HS800415IO_FB0</t>
  </si>
  <si>
    <t>A_ABV800415.Zll</t>
  </si>
  <si>
    <t>HS800505IO_FB0</t>
  </si>
  <si>
    <t>A_ABV800505.Zll</t>
  </si>
  <si>
    <t>HS800511IO_FB0</t>
  </si>
  <si>
    <t>A_ABV800511.Zll</t>
  </si>
  <si>
    <t>HS800605IO_FB0</t>
  </si>
  <si>
    <t>A_ABV800605.Zll</t>
  </si>
  <si>
    <t>HS800611IO_FB0</t>
  </si>
  <si>
    <t>A_ABV800611.Zll</t>
  </si>
  <si>
    <t>HS800612IO_FB0</t>
  </si>
  <si>
    <t>A_ABV800612.Zll</t>
  </si>
  <si>
    <t>HS800701IO_FB0</t>
  </si>
  <si>
    <t>A_ABV800701.Zll</t>
  </si>
  <si>
    <t>HS800702IO_FB0</t>
  </si>
  <si>
    <t>A_ABV800702.Zll</t>
  </si>
  <si>
    <t>HS800703IO_FB0</t>
  </si>
  <si>
    <t>A_ABV800703.Zll</t>
  </si>
  <si>
    <t>HS800811IO_FB0</t>
  </si>
  <si>
    <t>A_ABV800811.Zll</t>
  </si>
  <si>
    <t>HS800812IO_FB0</t>
  </si>
  <si>
    <t>A_ABV800812.Zll</t>
  </si>
  <si>
    <t>HS800815IO_FB0</t>
  </si>
  <si>
    <t>A_ABV800815.Zll</t>
  </si>
  <si>
    <t>HS803005IO_FB0</t>
  </si>
  <si>
    <t>A_ABV803005.Zll</t>
  </si>
  <si>
    <t>HS803011IO_FB0</t>
  </si>
  <si>
    <t>A_ABV803011.Zll</t>
  </si>
  <si>
    <t>HS803012IO_FB0</t>
  </si>
  <si>
    <t>A_ABV803012.Zll</t>
  </si>
  <si>
    <t>HS803105IO_FB0</t>
  </si>
  <si>
    <t>A_ABV803105.Zll</t>
  </si>
  <si>
    <t>HS803111IO_FB0</t>
  </si>
  <si>
    <t>A_ABV803111.Zll</t>
  </si>
  <si>
    <t>HS803112IO_FB0</t>
  </si>
  <si>
    <t>A_ABV803112.Zll</t>
  </si>
  <si>
    <t>HS803205IO_FB0</t>
  </si>
  <si>
    <t>A_ABV803205.Zll</t>
  </si>
  <si>
    <t>HS803211IO_FB0</t>
  </si>
  <si>
    <t>A_ABV803211.Zll</t>
  </si>
  <si>
    <t>HS803212IO_FB0</t>
  </si>
  <si>
    <t>A_ABV803212.Zll</t>
  </si>
  <si>
    <t>HS803401IO_FB0</t>
  </si>
  <si>
    <t>A_ABV803401.Zll</t>
  </si>
  <si>
    <t>HS803404IO_FB0</t>
  </si>
  <si>
    <t>A_ABV803404.Zll</t>
  </si>
  <si>
    <t>HS803407IO_FB0</t>
  </si>
  <si>
    <t>A_ABV803407.Zll</t>
  </si>
  <si>
    <t>HS803501IO_FB0</t>
  </si>
  <si>
    <t>A_ABV803501.Zll</t>
  </si>
  <si>
    <t>HS803511IO_FB0</t>
  </si>
  <si>
    <t>A_ABV803511.Zll</t>
  </si>
  <si>
    <t>HS803601IO_FB0</t>
  </si>
  <si>
    <t>A_ABV803601.Zll</t>
  </si>
  <si>
    <t>HS803604IO_FB0</t>
  </si>
  <si>
    <t>A_ABV803604.Zll</t>
  </si>
  <si>
    <t>HS805003IO_FB0</t>
  </si>
  <si>
    <t>A_ABV805003.Zll</t>
  </si>
  <si>
    <t>HS805018IO_FB0</t>
  </si>
  <si>
    <t>A_ABV805018.Zll</t>
  </si>
  <si>
    <t>HS805019IO_FB0</t>
  </si>
  <si>
    <t>A_ABV805019.Zll</t>
  </si>
  <si>
    <t>HS805020IO_FB0</t>
  </si>
  <si>
    <t>A_ABV805020.Zll</t>
  </si>
  <si>
    <t>HS805021IO_FB0</t>
  </si>
  <si>
    <t>A_ABV805021.Zll</t>
  </si>
  <si>
    <t>HS805022IO_FB0</t>
  </si>
  <si>
    <t>A_ABV805022.Zll</t>
  </si>
  <si>
    <t>HS807007IO_FB0</t>
  </si>
  <si>
    <t>A_ABV807007.Zll</t>
  </si>
  <si>
    <t>HS807008IO_FB0</t>
  </si>
  <si>
    <t>A_ABV807008.Zll</t>
  </si>
  <si>
    <t>HS807009IO_FB0</t>
  </si>
  <si>
    <t>A_ABV807009.Zll</t>
  </si>
  <si>
    <t>HS807016IO_FB0</t>
  </si>
  <si>
    <t>A_ABV807016.Zll</t>
  </si>
  <si>
    <t>HS807017IO_FB0</t>
  </si>
  <si>
    <t>A_ABV807017.Zll</t>
  </si>
  <si>
    <t>HS807018IO_FB0</t>
  </si>
  <si>
    <t>A_ABV807018.Zll</t>
  </si>
  <si>
    <t>HS807026IO_FB0</t>
  </si>
  <si>
    <t>A_ABV807026.Zll</t>
  </si>
  <si>
    <t>HS807027IO_FB0</t>
  </si>
  <si>
    <t>A_ABV807027.Zll</t>
  </si>
  <si>
    <t>HS808104IO_FB0</t>
  </si>
  <si>
    <t>A_ABV808104.Zll</t>
  </si>
  <si>
    <t>HS808114IO_FB0</t>
  </si>
  <si>
    <t>A_ABV808114.Zll</t>
  </si>
  <si>
    <t>HS808115IO_FB0</t>
  </si>
  <si>
    <t>A_ABV808115.Zll</t>
  </si>
  <si>
    <t>HS808205IO_FB0</t>
  </si>
  <si>
    <t>A_ABV808205.Zll</t>
  </si>
  <si>
    <t>HS808211IO_FB0</t>
  </si>
  <si>
    <t>A_ABV808211.Zll</t>
  </si>
  <si>
    <t>HS808214IO_FB0</t>
  </si>
  <si>
    <t>A_ABV808214.Zll</t>
  </si>
  <si>
    <t>HS808309IO_FB0</t>
  </si>
  <si>
    <t>A_ABV808309.Zll</t>
  </si>
  <si>
    <t>HS808316IO_FB0</t>
  </si>
  <si>
    <t>A_ABV808316.Zll</t>
  </si>
  <si>
    <t>HS809005IO_FB0</t>
  </si>
  <si>
    <t>A_ABV809005.Zll</t>
  </si>
  <si>
    <t>HS809013IO_FB0</t>
  </si>
  <si>
    <t>A_ABV809013.Zll</t>
  </si>
  <si>
    <t>HS809105IO_FB0</t>
  </si>
  <si>
    <t>A_ABV809105.Zll</t>
  </si>
  <si>
    <t>HS809205IO_FB0</t>
  </si>
  <si>
    <t>A_ABV809205.Zll</t>
  </si>
  <si>
    <t>HS810006FBCloseIO</t>
  </si>
  <si>
    <t>A_EBV810006.Zll</t>
  </si>
  <si>
    <t>HS810008FBCloseIO</t>
  </si>
  <si>
    <t>A_ABV810008.Zll</t>
  </si>
  <si>
    <t>HS810009IO_FB0</t>
  </si>
  <si>
    <t>A_ABV810009.Zll</t>
  </si>
  <si>
    <t>HS810009IO_FB1</t>
  </si>
  <si>
    <t>A_ABV810009.Zhl</t>
  </si>
  <si>
    <t>HS810009IO_XGH</t>
  </si>
  <si>
    <t>HS810009IO_XGL</t>
  </si>
  <si>
    <t>HS810103IO_FB0</t>
  </si>
  <si>
    <t>A_ABV810103.Zll</t>
  </si>
  <si>
    <t>HS810104IO_FB0</t>
  </si>
  <si>
    <t>A_ABV810104.Zll</t>
  </si>
  <si>
    <t>HS810105IO_FB0</t>
  </si>
  <si>
    <t>A_ABV810105.Zll</t>
  </si>
  <si>
    <t>HS810106IO_FB0</t>
  </si>
  <si>
    <t>A_ABV810106.Zll</t>
  </si>
  <si>
    <t>HS810107IO_FB0</t>
  </si>
  <si>
    <t>A_ABV810107.Zll</t>
  </si>
  <si>
    <t>HS810109IO_FB0</t>
  </si>
  <si>
    <t>A_ABV810109.Zll</t>
  </si>
  <si>
    <t>HS810110IO_FB0</t>
  </si>
  <si>
    <t>A_ABV810110.Zll</t>
  </si>
  <si>
    <t>HS810401IO_FB0</t>
  </si>
  <si>
    <t>A_PV810401.Zll</t>
  </si>
  <si>
    <t>HS810409IO_FB0</t>
  </si>
  <si>
    <t>A_ABV810409.Zll</t>
  </si>
  <si>
    <t>HS810415IO_FB0</t>
  </si>
  <si>
    <t>A_ABV810415.Zll</t>
  </si>
  <si>
    <t>HS810428IO_FB0</t>
  </si>
  <si>
    <t>A_ABV810428.Zll</t>
  </si>
  <si>
    <t>HS810429IO_FB0</t>
  </si>
  <si>
    <t>A_ABV810429.Zll</t>
  </si>
  <si>
    <t>HS810429IO_FB1</t>
  </si>
  <si>
    <t>A_ABV810429.Zhl</t>
  </si>
  <si>
    <t>HS810432IO_FB0</t>
  </si>
  <si>
    <t>A_HV810432.Zll</t>
  </si>
  <si>
    <t>HS810433IO_FB0</t>
  </si>
  <si>
    <t>A_HV810433.Zll</t>
  </si>
  <si>
    <t>HS810434IO_FB0</t>
  </si>
  <si>
    <t>A_ABV810434.Zll</t>
  </si>
  <si>
    <t>HS810449IO_FB0</t>
  </si>
  <si>
    <t>A_ABV810449.Zll</t>
  </si>
  <si>
    <t>HS810450IO_FB0</t>
  </si>
  <si>
    <t>A_ABV810450.Zll</t>
  </si>
  <si>
    <t>HS810452IO_FB0</t>
  </si>
  <si>
    <t>A_ABV810452.Zll</t>
  </si>
  <si>
    <t>HS810453IO_FB0</t>
  </si>
  <si>
    <t>A_ABV810453.Zll</t>
  </si>
  <si>
    <t>HS810454IO_FB0</t>
  </si>
  <si>
    <t>A_ABV810454.Zll</t>
  </si>
  <si>
    <t>HS810501IO_FB0</t>
  </si>
  <si>
    <t>A_EBV810501.Zll</t>
  </si>
  <si>
    <t>HS810501IO_FB1</t>
  </si>
  <si>
    <t>A_EBV810501.Zhl</t>
  </si>
  <si>
    <t>HS810502IO_FB0</t>
  </si>
  <si>
    <t>A_ABV810502.Zll</t>
  </si>
  <si>
    <t>HS810504IO_XGL</t>
  </si>
  <si>
    <t>A_ABV810504.Zll</t>
  </si>
  <si>
    <t>HS810518IO_XGL</t>
  </si>
  <si>
    <t>A_ABV810518.Zll</t>
  </si>
  <si>
    <t>HS810519IO_XGL</t>
  </si>
  <si>
    <t>A_ABV810519.Zll</t>
  </si>
  <si>
    <t>HS810521IO_FB0</t>
  </si>
  <si>
    <t>A_ABV810521.Zll</t>
  </si>
  <si>
    <t>HS810521IO_FB1</t>
  </si>
  <si>
    <t>A_ABV810521.Zhl</t>
  </si>
  <si>
    <t>HS810522IO_FB0</t>
  </si>
  <si>
    <t>A_ABV810522.Zll</t>
  </si>
  <si>
    <t>HS810533IO</t>
  </si>
  <si>
    <t>XA810533.CIN</t>
  </si>
  <si>
    <t>HS810602IO_FB0</t>
  </si>
  <si>
    <t>A_ABV810602.Zll</t>
  </si>
  <si>
    <t>HS810602IO_FB1</t>
  </si>
  <si>
    <t>A_ABV810602.Zhl</t>
  </si>
  <si>
    <t>HS810611IO_FB0</t>
  </si>
  <si>
    <t>A_ABV810611.Zll</t>
  </si>
  <si>
    <t>HS810641IO_FB0</t>
  </si>
  <si>
    <t>A_ABV810641.Zll</t>
  </si>
  <si>
    <t>HS810655IO_FB0</t>
  </si>
  <si>
    <t>A_ABV810655.Zll</t>
  </si>
  <si>
    <t>HS810714IO_FB0</t>
  </si>
  <si>
    <t>A_HV810714.Zll</t>
  </si>
  <si>
    <t>HS810717IO_FB0</t>
  </si>
  <si>
    <t>A_ABV810717.Zll</t>
  </si>
  <si>
    <t>HS810728IO_FB0</t>
  </si>
  <si>
    <t>A_ABV810728.Zll</t>
  </si>
  <si>
    <t>HS811005IO_FB0</t>
  </si>
  <si>
    <t>A_ABV811005.Zll</t>
  </si>
  <si>
    <t>HS811012IO_FB0</t>
  </si>
  <si>
    <t>A_ABV811012.Zll</t>
  </si>
  <si>
    <t>HS811013IO_FB0</t>
  </si>
  <si>
    <t>A_ABV811013.Zll</t>
  </si>
  <si>
    <t>HS811105IO_FB0</t>
  </si>
  <si>
    <t>A_ABV811105.Zll</t>
  </si>
  <si>
    <t>HS811112IO_FB0</t>
  </si>
  <si>
    <t>A_ABV811112.Zll</t>
  </si>
  <si>
    <t>HS811113IO_FB0</t>
  </si>
  <si>
    <t>A_ABV811113.Zll</t>
  </si>
  <si>
    <t>HS812006IO_FB0</t>
  </si>
  <si>
    <t>A_ABV812006.Zll</t>
  </si>
  <si>
    <t>HS812006IO_FB1</t>
  </si>
  <si>
    <t>A_ABV812006.Zhl</t>
  </si>
  <si>
    <t>HS812014IO_FB0</t>
  </si>
  <si>
    <t>A_ABV812014.Zll</t>
  </si>
  <si>
    <t>HS812014IO_FB1</t>
  </si>
  <si>
    <t>A_ABV812014.Zhl</t>
  </si>
  <si>
    <t>HS812020IO_FB0</t>
  </si>
  <si>
    <t>A_ABV812020.Zll</t>
  </si>
  <si>
    <t>HS812020IO_FB1</t>
  </si>
  <si>
    <t>A_ABV812020.Zhl</t>
  </si>
  <si>
    <t>HS812021IO_FB0</t>
  </si>
  <si>
    <t>A_ABV812021.Zll</t>
  </si>
  <si>
    <t>HS812021IO_FB1</t>
  </si>
  <si>
    <t>A_ABV812021.Zhl</t>
  </si>
  <si>
    <t>HS812114IO_FB0</t>
  </si>
  <si>
    <t>A_ABV812114.Zll</t>
  </si>
  <si>
    <t>HS812201IO_FB0</t>
  </si>
  <si>
    <t>A_ABV812201.Zll</t>
  </si>
  <si>
    <t>HS812201IO_FB1</t>
  </si>
  <si>
    <t>A_ABV812201.Zhl</t>
  </si>
  <si>
    <t>HS812206IO_FB0</t>
  </si>
  <si>
    <t>A_ABV812206.Zll</t>
  </si>
  <si>
    <t>HS812206IO_FB1</t>
  </si>
  <si>
    <t>A_ABV812206.Zhl</t>
  </si>
  <si>
    <t>HS812210IO_FB0</t>
  </si>
  <si>
    <t>A_ABV812210.Zll</t>
  </si>
  <si>
    <t>HS812210IO_FB1</t>
  </si>
  <si>
    <t>A_ABV812210.Zhl</t>
  </si>
  <si>
    <t>HS820004FBCloseIO</t>
  </si>
  <si>
    <t>A_EBV820004.Zll</t>
  </si>
  <si>
    <t>HS820005IO_FB0</t>
  </si>
  <si>
    <t>A_ABV820005.Zll</t>
  </si>
  <si>
    <t>HS820005IO_FB1</t>
  </si>
  <si>
    <t>A_ABV820005.Zhl</t>
  </si>
  <si>
    <t>HS820005IO_XGH</t>
  </si>
  <si>
    <t>HS820005IO_XGL</t>
  </si>
  <si>
    <t>HS820007FBCloseIO</t>
  </si>
  <si>
    <t>A_ABV820007.Zll</t>
  </si>
  <si>
    <t>HS820014FBCloseIO</t>
  </si>
  <si>
    <t>A_EBV820014.Zll</t>
  </si>
  <si>
    <t>HS820015IO_FB0</t>
  </si>
  <si>
    <t>A_ABV820015.Zll</t>
  </si>
  <si>
    <t>HS820015IO_FB1</t>
  </si>
  <si>
    <t>A_ABV820015.Zhl</t>
  </si>
  <si>
    <t>HS820015IO_XGH</t>
  </si>
  <si>
    <t>HS820015IO_XGL</t>
  </si>
  <si>
    <t>HS820017FBCloseIO</t>
  </si>
  <si>
    <t>A_ABV820017.Zll</t>
  </si>
  <si>
    <t>HS820103IO_FB0</t>
  </si>
  <si>
    <t>A_ABV820103.Zll</t>
  </si>
  <si>
    <t>HS820104IO_FB0</t>
  </si>
  <si>
    <t>A_ABV820104.Zll</t>
  </si>
  <si>
    <t>HS820106IO_FB0</t>
  </si>
  <si>
    <t>A_HV820106.Zll</t>
  </si>
  <si>
    <t>HS820107IO_FB0</t>
  </si>
  <si>
    <t>A_ABV820107.Zll</t>
  </si>
  <si>
    <t>HS820409IO_FB0</t>
  </si>
  <si>
    <t>A_ABV820409.Zll</t>
  </si>
  <si>
    <t>HS820409IO_FB1</t>
  </si>
  <si>
    <t>A_ABV820409.Zhl</t>
  </si>
  <si>
    <t>HS820413IO_FB0</t>
  </si>
  <si>
    <t>A_PV820413.Zll</t>
  </si>
  <si>
    <t>HS820494IO_FB0</t>
  </si>
  <si>
    <t>A_ABV820494.Zll</t>
  </si>
  <si>
    <t>HS820495IO_FB0</t>
  </si>
  <si>
    <t>A_HV820495.Zll</t>
  </si>
  <si>
    <t>HS820496IO_FB0</t>
  </si>
  <si>
    <t>A_HV820496.Zll</t>
  </si>
  <si>
    <t>HS820497IO_FB0</t>
  </si>
  <si>
    <t>A_ABV820497.Zll</t>
  </si>
  <si>
    <t>HS820498IO_FB0</t>
  </si>
  <si>
    <t>A_ABV820498.Zll</t>
  </si>
  <si>
    <t>HS820499IO_FB0</t>
  </si>
  <si>
    <t>A_ABV820499.Zll</t>
  </si>
  <si>
    <t>HS820501IO_FB0</t>
  </si>
  <si>
    <t>A_EBV820501.Zll</t>
  </si>
  <si>
    <t>HS820501IO_FB1</t>
  </si>
  <si>
    <t>A_EBV820501.Zhl</t>
  </si>
  <si>
    <t>HS820502IO_FB0</t>
  </si>
  <si>
    <t>A_ABV820502.Zll</t>
  </si>
  <si>
    <t>HS820504IO_XGL</t>
  </si>
  <si>
    <t>A_ABV820504.Zll</t>
  </si>
  <si>
    <t>HS820519IO_XGL</t>
  </si>
  <si>
    <t>A_ABV820519.Zll</t>
  </si>
  <si>
    <t>HS820521IO_FB0</t>
  </si>
  <si>
    <t>A_ABV820521.Zll</t>
  </si>
  <si>
    <t>HS820521IO_FB1</t>
  </si>
  <si>
    <t>A_ABV820521.Zhl</t>
  </si>
  <si>
    <t>HS820522IO_FB0</t>
  </si>
  <si>
    <t>A_ABV820522.Zll</t>
  </si>
  <si>
    <t>HS820560IO</t>
  </si>
  <si>
    <t>XA820560.CIN</t>
  </si>
  <si>
    <t>HS820602IO_FB0</t>
  </si>
  <si>
    <t>A_ABV820602.Zll</t>
  </si>
  <si>
    <t>HS820602IO_FB1</t>
  </si>
  <si>
    <t>A_ABV820602.Zhl</t>
  </si>
  <si>
    <t>HS820611IO_FB0</t>
  </si>
  <si>
    <t>A_ABV820611.Zll</t>
  </si>
  <si>
    <t>HS820641IO_FB0</t>
  </si>
  <si>
    <t>A_ABV820641.Zll</t>
  </si>
  <si>
    <t>HS820655IO_FB0</t>
  </si>
  <si>
    <t>A_ABV820655.Zll</t>
  </si>
  <si>
    <t>HS820716IO_FB0</t>
  </si>
  <si>
    <t>A_HV820716.Zll</t>
  </si>
  <si>
    <t>HS820718IO_FB0</t>
  </si>
  <si>
    <t>A_HV820718.Zll</t>
  </si>
  <si>
    <t>HS820801IO_FB0</t>
  </si>
  <si>
    <t>A_ABV820801.Zll</t>
  </si>
  <si>
    <t>HS820801IO_FB1</t>
  </si>
  <si>
    <t>A_ABV820801.Zhl</t>
  </si>
  <si>
    <t>HS820802IO_FB0</t>
  </si>
  <si>
    <t>A_ABV820802.Zll</t>
  </si>
  <si>
    <t>HS820803IO_FB0</t>
  </si>
  <si>
    <t>A_ABV820803.Zll</t>
  </si>
  <si>
    <t>HS820806IO_FB0</t>
  </si>
  <si>
    <t>A_ABV820806.Zll</t>
  </si>
  <si>
    <t>HS820826IO_FB0</t>
  </si>
  <si>
    <t>A_ABV820826.Zll</t>
  </si>
  <si>
    <t>HS820827IO_FB0</t>
  </si>
  <si>
    <t>A_ABV820827.Zll</t>
  </si>
  <si>
    <t>HS820832IO_FB0</t>
  </si>
  <si>
    <t>A_ABV820832.Zll</t>
  </si>
  <si>
    <t>HS820840IO_FB0</t>
  </si>
  <si>
    <t>A_ABV820840.Zll</t>
  </si>
  <si>
    <t>HS820841IO_FB0</t>
  </si>
  <si>
    <t>A_ABV820841.Zll</t>
  </si>
  <si>
    <t>HS820902IO_FB0</t>
  </si>
  <si>
    <t>A_ABV820902.Zll</t>
  </si>
  <si>
    <t>HS820907IO_FB0</t>
  </si>
  <si>
    <t>A_ABV820907.Zll</t>
  </si>
  <si>
    <t>HS821001IO_FB0</t>
  </si>
  <si>
    <t>A_ABV821001.Zll</t>
  </si>
  <si>
    <t>HS821002IO_FB0</t>
  </si>
  <si>
    <t>A_ABV821002.Zll</t>
  </si>
  <si>
    <t>HS821004IO_FB0</t>
  </si>
  <si>
    <t>A_ABV821004.Zll</t>
  </si>
  <si>
    <t>HS821005IO_FB0</t>
  </si>
  <si>
    <t>A_ABV821005.Zll</t>
  </si>
  <si>
    <t>HS821008IO_FB0</t>
  </si>
  <si>
    <t>A_ABV821008.Zll</t>
  </si>
  <si>
    <t>HS821010IO_FB0</t>
  </si>
  <si>
    <t>A_ABV821010.Zll</t>
  </si>
  <si>
    <t>HS821011IO_FB0</t>
  </si>
  <si>
    <t>A_ABV821011.Zll</t>
  </si>
  <si>
    <t>HS821012IO_FB0</t>
  </si>
  <si>
    <t>A_ABV821012.Zll</t>
  </si>
  <si>
    <t>HS821013IO_FB0</t>
  </si>
  <si>
    <t>A_ABV821013.Zll</t>
  </si>
  <si>
    <t>HS821014IO_FB0</t>
  </si>
  <si>
    <t>A_ABV821014.Zll</t>
  </si>
  <si>
    <t>HS821015IO_FB0</t>
  </si>
  <si>
    <t>A_ABV821015.Zll</t>
  </si>
  <si>
    <t>HS821103IO_FB0</t>
  </si>
  <si>
    <t>A_ABV821103.Zll</t>
  </si>
  <si>
    <t>HS821104IO_FB0</t>
  </si>
  <si>
    <t>A_ABV821104.Zll</t>
  </si>
  <si>
    <t>HS821105IO_FB0</t>
  </si>
  <si>
    <t>A_ABV821105.Zll</t>
  </si>
  <si>
    <t>HS821107IO_FB0</t>
  </si>
  <si>
    <t>A_ABV821107.Zll</t>
  </si>
  <si>
    <t>HS821205IO_FB0</t>
  </si>
  <si>
    <t>A_ABV821205.Zll</t>
  </si>
  <si>
    <t>HS821206IO_FB0</t>
  </si>
  <si>
    <t>A_ABV821206.Zll</t>
  </si>
  <si>
    <t>HS821401IO_FB0</t>
  </si>
  <si>
    <t>A_ABV821401.Zll</t>
  </si>
  <si>
    <t>HS821402IO_FB0</t>
  </si>
  <si>
    <t>A_ABV821402.Zll</t>
  </si>
  <si>
    <t>HS821403IO_FB0</t>
  </si>
  <si>
    <t>A_ABV821403.Zll</t>
  </si>
  <si>
    <t>HS821415IO_FB0</t>
  </si>
  <si>
    <t>A_ABV821415.Zll</t>
  </si>
  <si>
    <t>HS821418IO_FB0</t>
  </si>
  <si>
    <t>A_ABV821418.Zll</t>
  </si>
  <si>
    <t>HS821507IO_FB0</t>
  </si>
  <si>
    <t>A_ABV821507.Zll</t>
  </si>
  <si>
    <t>HS821508IO_FB0</t>
  </si>
  <si>
    <t>A_ABV821508.Zll</t>
  </si>
  <si>
    <t>HS821515IO_FB0</t>
  </si>
  <si>
    <t>A_ABV821515.Zll</t>
  </si>
  <si>
    <t>HS821516IO_FB0</t>
  </si>
  <si>
    <t>A_ABV821516.Zll</t>
  </si>
  <si>
    <t>HS821517IO_FB0</t>
  </si>
  <si>
    <t>A_ABV821517.Zll</t>
  </si>
  <si>
    <t>HS821518IO_FB0</t>
  </si>
  <si>
    <t>A_ABV821518.Zll</t>
  </si>
  <si>
    <t>HS821603IO_FB0</t>
  </si>
  <si>
    <t>A_ABV821603.Zll</t>
  </si>
  <si>
    <t>HS821604IO_FB0</t>
  </si>
  <si>
    <t>A_ABV821604.Zll</t>
  </si>
  <si>
    <t>HS821605IO_FB0</t>
  </si>
  <si>
    <t>A_ABV821605.Zll</t>
  </si>
  <si>
    <t>HS821621IO_FB0</t>
  </si>
  <si>
    <t>A_ABV821621.Zll</t>
  </si>
  <si>
    <t>HS821631IO_FB0</t>
  </si>
  <si>
    <t>A_ABV821631.Zll</t>
  </si>
  <si>
    <t>HS821631IO_FB1</t>
  </si>
  <si>
    <t>A_ABV821631.Zhl</t>
  </si>
  <si>
    <t>HS821641IO_FB0</t>
  </si>
  <si>
    <t>A_ABV821641.Zll</t>
  </si>
  <si>
    <t>HS821806IO_FB0</t>
  </si>
  <si>
    <t>A_ABV821806.Zll</t>
  </si>
  <si>
    <t>HS821819IO_FB0</t>
  </si>
  <si>
    <t>A_ABV821819.Zll</t>
  </si>
  <si>
    <t>HS821821IO_FB0</t>
  </si>
  <si>
    <t>A_ABV821821.Zll</t>
  </si>
  <si>
    <t>HS821823IO_FB0</t>
  </si>
  <si>
    <t>A_ABV821823.Zll</t>
  </si>
  <si>
    <t>HS821824IO_FB0</t>
  </si>
  <si>
    <t>A_ABV821824.Zll</t>
  </si>
  <si>
    <t>HS821825IO_FB0</t>
  </si>
  <si>
    <t>A_ABV821825.Zll</t>
  </si>
  <si>
    <t>HS821832IO_FB0</t>
  </si>
  <si>
    <t>A_ABV821832.Zll</t>
  </si>
  <si>
    <t>HS821833IO_FB0</t>
  </si>
  <si>
    <t>A_ABV821833.Zll</t>
  </si>
  <si>
    <t>HS821834IO_FB0</t>
  </si>
  <si>
    <t>A_ABV821834.Zll</t>
  </si>
  <si>
    <t>HS821835IO_FB0</t>
  </si>
  <si>
    <t>A_ABV821835.Zll</t>
  </si>
  <si>
    <t>HS821836IO_FB0</t>
  </si>
  <si>
    <t>A_ABV821836.Zll</t>
  </si>
  <si>
    <t>HS821837IO_FB0</t>
  </si>
  <si>
    <t>A_ABV821837.Zll</t>
  </si>
  <si>
    <t>HS821841IO_FB0</t>
  </si>
  <si>
    <t>A_ABV821841.Zll</t>
  </si>
  <si>
    <t>HS821861IO_FB0</t>
  </si>
  <si>
    <t>A_ABV821861.Zll</t>
  </si>
  <si>
    <t>HS821901IO_FB0</t>
  </si>
  <si>
    <t>A_ABV821901.Zll</t>
  </si>
  <si>
    <t>HS821904IO_FB0</t>
  </si>
  <si>
    <t>A_ABV821904.Zll</t>
  </si>
  <si>
    <t>HS821911IO_FB0</t>
  </si>
  <si>
    <t>A_ABV821911.Zll</t>
  </si>
  <si>
    <t>HS821912IO_FB0</t>
  </si>
  <si>
    <t>A_ABV821912.Zll</t>
  </si>
  <si>
    <t>HS822001IO_FB0</t>
  </si>
  <si>
    <t>A_ABV822001.Zll</t>
  </si>
  <si>
    <t>HS822002IO_FB0</t>
  </si>
  <si>
    <t>A_ABV822002.Zll</t>
  </si>
  <si>
    <t>HS822003IO_FB0</t>
  </si>
  <si>
    <t>A_ABV822003.Zll</t>
  </si>
  <si>
    <t>HS822004IO_FB0</t>
  </si>
  <si>
    <t>A_ABV822004.Zll</t>
  </si>
  <si>
    <t>HS822006IO_FB0</t>
  </si>
  <si>
    <t>A_ABV822006.Zll</t>
  </si>
  <si>
    <t>HS822009IO_FB0</t>
  </si>
  <si>
    <t>A_ABV822009.Zll</t>
  </si>
  <si>
    <t>HS822013IO_FB0</t>
  </si>
  <si>
    <t>A_ABV822013.Zll</t>
  </si>
  <si>
    <t>HS822126IO_FB0</t>
  </si>
  <si>
    <t>A_ABV822126.Zll</t>
  </si>
  <si>
    <t>HS822127IO_FB0</t>
  </si>
  <si>
    <t>A_ABV822127.Zll</t>
  </si>
  <si>
    <t>HS822128IO_FB0</t>
  </si>
  <si>
    <t>A_ABV822128.Zll</t>
  </si>
  <si>
    <t>HS822129IO_FB0</t>
  </si>
  <si>
    <t>A_ABV822129.Zll</t>
  </si>
  <si>
    <t>HS822130IO_FB0</t>
  </si>
  <si>
    <t>A_ABV822130.Zll</t>
  </si>
  <si>
    <t>HS822133IO_FB0</t>
  </si>
  <si>
    <t>A_ABV822133.Zll</t>
  </si>
  <si>
    <t>HS822141IO_FB0</t>
  </si>
  <si>
    <t>A_ABV822141.Zll</t>
  </si>
  <si>
    <t>HS822201IO_FB0</t>
  </si>
  <si>
    <t>A_ABV822201.Zll</t>
  </si>
  <si>
    <t>HS822202IO_FB0</t>
  </si>
  <si>
    <t>A_ABV822202.Zll</t>
  </si>
  <si>
    <t>HS822209IO_FB0</t>
  </si>
  <si>
    <t>A_ABV822209.Zll</t>
  </si>
  <si>
    <t>HS822210IO_FB0</t>
  </si>
  <si>
    <t>A_ABV822210.Zll</t>
  </si>
  <si>
    <t>HS822211IO_FB0</t>
  </si>
  <si>
    <t>A_ABV822211.Zll</t>
  </si>
  <si>
    <t>HS822212IO_FB0</t>
  </si>
  <si>
    <t>A_ABV822212.Zll</t>
  </si>
  <si>
    <t>HS822213IO_FB0</t>
  </si>
  <si>
    <t>A_ABV822213.Zll</t>
  </si>
  <si>
    <t>HS822214IO_FB0</t>
  </si>
  <si>
    <t>A_ABV822214.Zll</t>
  </si>
  <si>
    <t>HS822215IO_FB0</t>
  </si>
  <si>
    <t>A_ABV822215.Zll</t>
  </si>
  <si>
    <t>HS822261IO_FB0</t>
  </si>
  <si>
    <t>A_ABV822261.Zll</t>
  </si>
  <si>
    <t>HS822307IO_FB0</t>
  </si>
  <si>
    <t>A_ABV822307.Zll</t>
  </si>
  <si>
    <t>HS822309IO_FB0</t>
  </si>
  <si>
    <t>A_ABV822309.Zll</t>
  </si>
  <si>
    <t>HS822313IO_FB0</t>
  </si>
  <si>
    <t>A_ABV822313.Zll</t>
  </si>
  <si>
    <t>HS822313IO_FB1</t>
  </si>
  <si>
    <t>A_ABV822313.Zhl</t>
  </si>
  <si>
    <t>HS822314IO_FB0</t>
  </si>
  <si>
    <t>A_ABV822314.Zll</t>
  </si>
  <si>
    <t>HS822318IO_FB0</t>
  </si>
  <si>
    <t>A_ABV822318.Zll</t>
  </si>
  <si>
    <t>HS822322IO_FB0</t>
  </si>
  <si>
    <t>A_ABV822322.Zll</t>
  </si>
  <si>
    <t>HS822407IO_FB0</t>
  </si>
  <si>
    <t>A_ABV822407.Zll</t>
  </si>
  <si>
    <t>HS822409IO_FB0</t>
  </si>
  <si>
    <t>A_ABV822409.Zll</t>
  </si>
  <si>
    <t>HS822413IO_FB0</t>
  </si>
  <si>
    <t>A_ABV822413.Zll</t>
  </si>
  <si>
    <t>HS822413IO_FB1</t>
  </si>
  <si>
    <t>A_ABV822413.Zhl</t>
  </si>
  <si>
    <t>HS822414IO_FB0</t>
  </si>
  <si>
    <t>A_ABV822414.Zll</t>
  </si>
  <si>
    <t>HS822418IO_FB0</t>
  </si>
  <si>
    <t>A_ABV822418.Zll</t>
  </si>
  <si>
    <t>HS822424IO_FB0</t>
  </si>
  <si>
    <t>A_ABV822424.Zll</t>
  </si>
  <si>
    <t>HS822905IO_FB0</t>
  </si>
  <si>
    <t>A_ABV822905.Zll</t>
  </si>
  <si>
    <t>HS822913IO_FB0</t>
  </si>
  <si>
    <t>A_ABV822913.Zll</t>
  </si>
  <si>
    <t>HS822913IO_FB1</t>
  </si>
  <si>
    <t>A_ABV822913.Zhl</t>
  </si>
  <si>
    <t>HS823011IO_FB0</t>
  </si>
  <si>
    <t>A_ABV823011.Zll</t>
  </si>
  <si>
    <t>HS823013IO_FB0</t>
  </si>
  <si>
    <t>A_ABV823013.Zll</t>
  </si>
  <si>
    <t>HS823014IO_FB0</t>
  </si>
  <si>
    <t>A_ABV823014.Zll</t>
  </si>
  <si>
    <t>HS823106IO_FB0</t>
  </si>
  <si>
    <t>A_ABV823106.Zll</t>
  </si>
  <si>
    <t>HS823106IO_FB1</t>
  </si>
  <si>
    <t>A_ABV823106.Zhl</t>
  </si>
  <si>
    <t>HS823202IO_FB0</t>
  </si>
  <si>
    <t>A_ABV823202.Zll</t>
  </si>
  <si>
    <t>HS823214IO_FB0</t>
  </si>
  <si>
    <t>A_ABV823214.Zll</t>
  </si>
  <si>
    <t>HS823235IO_FB0</t>
  </si>
  <si>
    <t>A_HS823235.Zll</t>
  </si>
  <si>
    <t>HS823235IO_FB1</t>
  </si>
  <si>
    <t>A_HS823235.Zhl</t>
  </si>
  <si>
    <t>HS823255IO_FB0</t>
  </si>
  <si>
    <t>A_ABV823255.Zll</t>
  </si>
  <si>
    <t>HS823255IO_FB1</t>
  </si>
  <si>
    <t>A_ABV823255.Zhl</t>
  </si>
  <si>
    <t>HS823301IO_FB0</t>
  </si>
  <si>
    <t>A_ABV823301.Zll</t>
  </si>
  <si>
    <t>HS823301IO_FB1</t>
  </si>
  <si>
    <t>A_ABV823301.Zhl</t>
  </si>
  <si>
    <t>HS823305IO_FB0</t>
  </si>
  <si>
    <t>A_ABV823305.Zll</t>
  </si>
  <si>
    <t>HS823305IO_FB1</t>
  </si>
  <si>
    <t>A_ABV823305.Zhl</t>
  </si>
  <si>
    <t>HS823306IO_FB0</t>
  </si>
  <si>
    <t>A_ABV823306.Zll</t>
  </si>
  <si>
    <t>HS823306IO_FB1</t>
  </si>
  <si>
    <t>A_ABV823306.Zhl</t>
  </si>
  <si>
    <t>HS823310IO_FB0</t>
  </si>
  <si>
    <t>A_ABV823310.Zll</t>
  </si>
  <si>
    <t>HS823310IO_FB1</t>
  </si>
  <si>
    <t>A_ABV823310.Zhl</t>
  </si>
  <si>
    <t>HS823328IO_FB0</t>
  </si>
  <si>
    <t>A_ABV823328.Zll</t>
  </si>
  <si>
    <t>HS823328IO_FB1</t>
  </si>
  <si>
    <t>A_ABV823328.Zhl</t>
  </si>
  <si>
    <t>HS823329IO_FB0</t>
  </si>
  <si>
    <t>A_ABV823329.Zll</t>
  </si>
  <si>
    <t>HS823329IO_FB1</t>
  </si>
  <si>
    <t>A_ABV823329.Zhl</t>
  </si>
  <si>
    <t>HS823333IO_FB0</t>
  </si>
  <si>
    <t>A_ABV823333.Zll</t>
  </si>
  <si>
    <t>HS823333IO_FB1</t>
  </si>
  <si>
    <t>A_ABV823333.Zhl</t>
  </si>
  <si>
    <t>HS823334IO_FB0</t>
  </si>
  <si>
    <t>A_ABV823334.Zll</t>
  </si>
  <si>
    <t>HS823334IO_FB1</t>
  </si>
  <si>
    <t>A_ABV823334.Zhl</t>
  </si>
  <si>
    <t>HS823338IO_FB0</t>
  </si>
  <si>
    <t>A_ABV823338.Zll</t>
  </si>
  <si>
    <t>HS823338IO_FB1</t>
  </si>
  <si>
    <t>A_ABV823338.Zhl</t>
  </si>
  <si>
    <t>HS825001IO_FB0</t>
  </si>
  <si>
    <t>A_EBV825001.Zll</t>
  </si>
  <si>
    <t>HS825003IO_FB0</t>
  </si>
  <si>
    <t>A_ABV825003.Zll</t>
  </si>
  <si>
    <t>HS825005IO_FB0</t>
  </si>
  <si>
    <t>A_ABV825005.Zll</t>
  </si>
  <si>
    <t>HS825005IO_FB1</t>
  </si>
  <si>
    <t>A_ABV825005.Zhl</t>
  </si>
  <si>
    <t>HS825006IO_FB0</t>
  </si>
  <si>
    <t>A_ABV825006.Zll</t>
  </si>
  <si>
    <t>HS825010IO_FB0</t>
  </si>
  <si>
    <t>A_ABV825010.Zll</t>
  </si>
  <si>
    <t>HS830106IO_FB0</t>
  </si>
  <si>
    <t>A_ABV830106.Zll</t>
  </si>
  <si>
    <t>HS830107IO_FB0</t>
  </si>
  <si>
    <t>A_ABV830107.Zll</t>
  </si>
  <si>
    <t>HS830108IO_FB0</t>
  </si>
  <si>
    <t>A_ABV830108.Zll</t>
  </si>
  <si>
    <t>HS830109IO_FB0</t>
  </si>
  <si>
    <t>A_ABV830109.Zll</t>
  </si>
  <si>
    <t>HS830110IO_FB0</t>
  </si>
  <si>
    <t>A_ABV830110.Zll</t>
  </si>
  <si>
    <t>HS830111IO_FB0</t>
  </si>
  <si>
    <t>A_ABV830111.Zll</t>
  </si>
  <si>
    <t>HS830212IO_FB0</t>
  </si>
  <si>
    <t>A_ABV830212.Zll</t>
  </si>
  <si>
    <t>HS830212IO_FB1</t>
  </si>
  <si>
    <t>A_ABV830212.Zhl</t>
  </si>
  <si>
    <t>HS830306FBCIO</t>
  </si>
  <si>
    <t>A_EBV830306.Zll</t>
  </si>
  <si>
    <t>HS830308FBCIO</t>
  </si>
  <si>
    <t>A_ABV830308.Zll</t>
  </si>
  <si>
    <t>HS830309IO_XGH</t>
  </si>
  <si>
    <t>A_ABV830309.Zhl</t>
  </si>
  <si>
    <t>HS830309IO_XGL</t>
  </si>
  <si>
    <t>A_ABV830309.Zll</t>
  </si>
  <si>
    <t>HS830317FBCIO</t>
  </si>
  <si>
    <t>A_EBV830317.Zll</t>
  </si>
  <si>
    <t>HS830319FBCIO</t>
  </si>
  <si>
    <t>A_ABV830319.Zll</t>
  </si>
  <si>
    <t>HS830320IO_XGH</t>
  </si>
  <si>
    <t>A_ABV830320.Zhl</t>
  </si>
  <si>
    <t>HS830320IO_XGL</t>
  </si>
  <si>
    <t>A_ABV830320.Zll</t>
  </si>
  <si>
    <t>HS830325IO_FB0</t>
  </si>
  <si>
    <t>A_ABV830325.Zll</t>
  </si>
  <si>
    <t>HS830404IO_FB0</t>
  </si>
  <si>
    <t>A_ABV830404.Zll</t>
  </si>
  <si>
    <t>HS830408IO_FB0</t>
  </si>
  <si>
    <t>A_ABV830408.Zll</t>
  </si>
  <si>
    <t>HS830410IO_FB0</t>
  </si>
  <si>
    <t>A_ABV830410.Zll</t>
  </si>
  <si>
    <t>HS830412IO_FB0</t>
  </si>
  <si>
    <t>A_ABV830412.Zll</t>
  </si>
  <si>
    <t>HS830413IO_FB0</t>
  </si>
  <si>
    <t>A_ABV830413.Zll</t>
  </si>
  <si>
    <t>HS830419IO_FB0</t>
  </si>
  <si>
    <t>A_ABV830419.Zll</t>
  </si>
  <si>
    <t>HS830420IO_FB0</t>
  </si>
  <si>
    <t>A_ABV830420.Zll</t>
  </si>
  <si>
    <t>HS830516IO_FB0</t>
  </si>
  <si>
    <t>A_ABV830516.Zll</t>
  </si>
  <si>
    <t>HS830519IO_FB0</t>
  </si>
  <si>
    <t>A_ABV830519.Zll</t>
  </si>
  <si>
    <t>HS830523IO_XGL</t>
  </si>
  <si>
    <t>A_ABV830523.Zll</t>
  </si>
  <si>
    <t>HS830530IO_XGL</t>
  </si>
  <si>
    <t>A_ABV830530.Zll</t>
  </si>
  <si>
    <t>HS830601IO_FB0</t>
  </si>
  <si>
    <t>A_EBV830601.Zll</t>
  </si>
  <si>
    <t>HS830601IO_FB1</t>
  </si>
  <si>
    <t>A_EBV830601.Zhl</t>
  </si>
  <si>
    <t>HS830602IO_FB0</t>
  </si>
  <si>
    <t>A_ABV830602.Zll</t>
  </si>
  <si>
    <t>HS830603IO_FB0</t>
  </si>
  <si>
    <t>A_ABV830603.Zll</t>
  </si>
  <si>
    <t>HS830603IO_FB1</t>
  </si>
  <si>
    <t>A_ABV830603.Zhl</t>
  </si>
  <si>
    <t>HS830605IO_FB0</t>
  </si>
  <si>
    <t>A_ABV830605.Zll</t>
  </si>
  <si>
    <t>HS830606IO_FB0</t>
  </si>
  <si>
    <t>A_ABV830606.Zll</t>
  </si>
  <si>
    <t>HS830802IO_FB0</t>
  </si>
  <si>
    <t>A_ABV830802.Zll</t>
  </si>
  <si>
    <t>HS830802IO_FB1</t>
  </si>
  <si>
    <t>A_ABV830802.Zhl</t>
  </si>
  <si>
    <t>HS830811IO_FB0</t>
  </si>
  <si>
    <t>A_ABV830811.Zll</t>
  </si>
  <si>
    <t>HS830841IO_FB0</t>
  </si>
  <si>
    <t>A_ABV830841.Zll</t>
  </si>
  <si>
    <t>HS830855IO_FB0</t>
  </si>
  <si>
    <t>A_ABV830855.Zll</t>
  </si>
  <si>
    <t>HS830903IO_XGL</t>
  </si>
  <si>
    <t>A_ABV830903.Zll</t>
  </si>
  <si>
    <t>HS830906IO_FB0</t>
  </si>
  <si>
    <t>A_ABV830906.Zll</t>
  </si>
  <si>
    <t>HS830910IO_FB0</t>
  </si>
  <si>
    <t>A_ABV830910.Zll</t>
  </si>
  <si>
    <t>HS830913IO_FB0</t>
  </si>
  <si>
    <t>A_ABV830913.Zll</t>
  </si>
  <si>
    <t>HS830928IO_FB0</t>
  </si>
  <si>
    <t>A_ABV830928.Zll</t>
  </si>
  <si>
    <t>HS830929IO_FB0</t>
  </si>
  <si>
    <t>A_ABV830929.Zll</t>
  </si>
  <si>
    <t>HS830935IO_FB0</t>
  </si>
  <si>
    <t>A_ABV830935.Zll</t>
  </si>
  <si>
    <t>HS830936IO_FB0</t>
  </si>
  <si>
    <t>A_ABV830936.Zll</t>
  </si>
  <si>
    <t>HS830945IO_FB0</t>
  </si>
  <si>
    <t>A_ABV830945.Zll</t>
  </si>
  <si>
    <t>HS831001IO_FB0</t>
  </si>
  <si>
    <t>A_ABV831001.Zll</t>
  </si>
  <si>
    <t>HS831002IO_FB0</t>
  </si>
  <si>
    <t>A_ABV831002.Zll</t>
  </si>
  <si>
    <t>HS831003IO_FB0</t>
  </si>
  <si>
    <t>A_ABV831003.Zll</t>
  </si>
  <si>
    <t>HS831005IO_FB0</t>
  </si>
  <si>
    <t>A_ABV831005.Zll</t>
  </si>
  <si>
    <t>HS831010IO_FB0</t>
  </si>
  <si>
    <t>A_ABV831010.Zll</t>
  </si>
  <si>
    <t>HS831012IO_FB0</t>
  </si>
  <si>
    <t>A_ABV831012.Zll</t>
  </si>
  <si>
    <t>HS831013IO_FB0</t>
  </si>
  <si>
    <t>A_ABV831013.Zll</t>
  </si>
  <si>
    <t>HS831014IO_FB0</t>
  </si>
  <si>
    <t>A_ABV831014.Zll</t>
  </si>
  <si>
    <t>HS831015IO_FB0</t>
  </si>
  <si>
    <t>A_ABV831015.Zll</t>
  </si>
  <si>
    <t>HS831105IO_FB0</t>
  </si>
  <si>
    <t>A_ABV831105.Zll</t>
  </si>
  <si>
    <t>HS831111IO_FB0</t>
  </si>
  <si>
    <t>A_ABV831111.Zll</t>
  </si>
  <si>
    <t>HS831115IO_FB0</t>
  </si>
  <si>
    <t>A_ABV831115.Zll</t>
  </si>
  <si>
    <t>HS831116IO_FB0</t>
  </si>
  <si>
    <t>A_ABV831116.Zll</t>
  </si>
  <si>
    <t>HS831116IO_FB1</t>
  </si>
  <si>
    <t>A_ABV831116.Zhl</t>
  </si>
  <si>
    <t>HS831117IO_FB0</t>
  </si>
  <si>
    <t>A_ABV831117.Zll</t>
  </si>
  <si>
    <t>HS831127IO_FB0</t>
  </si>
  <si>
    <t>A_ABV831127.Zll</t>
  </si>
  <si>
    <t>HS831205IO_FB0</t>
  </si>
  <si>
    <t>A_ABV831205.Zll</t>
  </si>
  <si>
    <t>HS831211IO_FB0</t>
  </si>
  <si>
    <t>A_ABV831211.Zll</t>
  </si>
  <si>
    <t>HS831215IO_FB0</t>
  </si>
  <si>
    <t>A_ABV831215.Zll</t>
  </si>
  <si>
    <t>HS831217IO_FB0</t>
  </si>
  <si>
    <t>A_ABV831217.Zll</t>
  </si>
  <si>
    <t>HS831218IO_FB0</t>
  </si>
  <si>
    <t>A_ABV831218.Zll</t>
  </si>
  <si>
    <t>HS831218IO_FB1</t>
  </si>
  <si>
    <t>A_ABV831218.Zhl</t>
  </si>
  <si>
    <t>HS831224IO_FB0</t>
  </si>
  <si>
    <t>A_ABV831224.Zll</t>
  </si>
  <si>
    <t>HS831401IO_FB0</t>
  </si>
  <si>
    <t>A_ABV831401.Zll</t>
  </si>
  <si>
    <t>HS831406IO_FB0</t>
  </si>
  <si>
    <t>A_ABV831406.Zll</t>
  </si>
  <si>
    <t>HS831407IO_FB0</t>
  </si>
  <si>
    <t>A_ABV831407.Zll</t>
  </si>
  <si>
    <t>HS832111IO_FB0</t>
  </si>
  <si>
    <t>A_ABV832111.Zll</t>
  </si>
  <si>
    <t>HS832112IO_FB0</t>
  </si>
  <si>
    <t>A_ABV832112.Zll</t>
  </si>
  <si>
    <t>HS832208IO_FB0</t>
  </si>
  <si>
    <t>A_HS832208.Zll</t>
  </si>
  <si>
    <t>HS832208IO_FB1</t>
  </si>
  <si>
    <t>A_HS832208.Zhl</t>
  </si>
  <si>
    <t>HS832209IO_FB0</t>
  </si>
  <si>
    <t>A_ABV832209.Zll</t>
  </si>
  <si>
    <t>HS832209IO_FB1</t>
  </si>
  <si>
    <t>A_ABV832209.Zhl</t>
  </si>
  <si>
    <t>HS832213IO_FB0</t>
  </si>
  <si>
    <t>A_ABV832213.Zll</t>
  </si>
  <si>
    <t>HS832213IO_FB1</t>
  </si>
  <si>
    <t>A_ABV832213.Zhl</t>
  </si>
  <si>
    <t>HS832314IO_FB0</t>
  </si>
  <si>
    <t>A_ABV832314.Zll</t>
  </si>
  <si>
    <t>HS832329IO_FB0</t>
  </si>
  <si>
    <t>A_HS832329.Zll</t>
  </si>
  <si>
    <t>HS832329IO_FB1</t>
  </si>
  <si>
    <t>A_HS832329.Zhl</t>
  </si>
  <si>
    <t>HS832339IO_FB0</t>
  </si>
  <si>
    <t>A_HS832339.Zll</t>
  </si>
  <si>
    <t>HS832339IO_FB1</t>
  </si>
  <si>
    <t>A_HS832339.Zhl</t>
  </si>
  <si>
    <t>HS832401IO_FB0</t>
  </si>
  <si>
    <t>A_ABV832401.Zll</t>
  </si>
  <si>
    <t>HS832401IO_FB1</t>
  </si>
  <si>
    <t>A_ABV832401.Zhl</t>
  </si>
  <si>
    <t>HS832406IO_FB0</t>
  </si>
  <si>
    <t>A_ABV832406.Zll</t>
  </si>
  <si>
    <t>HS832406IO_FB1</t>
  </si>
  <si>
    <t>A_ABV832406.Zhl</t>
  </si>
  <si>
    <t>HS832410IO_FB0</t>
  </si>
  <si>
    <t>A_ABV832410.Zll</t>
  </si>
  <si>
    <t>HS832410IO_FB1</t>
  </si>
  <si>
    <t>A_ABV832410.Zhl</t>
  </si>
  <si>
    <t>HS832431IO_FB0</t>
  </si>
  <si>
    <t>A_ABV832431.Zll</t>
  </si>
  <si>
    <t>HS832431IO_FB1</t>
  </si>
  <si>
    <t>A_ABV832431.Zhl</t>
  </si>
  <si>
    <t>HS832501IO_FB0</t>
  </si>
  <si>
    <t>A_ABV832501.Zll</t>
  </si>
  <si>
    <t>HS832501IO_FB1</t>
  </si>
  <si>
    <t>A_ABV832501.Zhl</t>
  </si>
  <si>
    <t>HS832506IO_FB0</t>
  </si>
  <si>
    <t>A_ABV832506.Zll</t>
  </si>
  <si>
    <t>HS832506IO_FB1</t>
  </si>
  <si>
    <t>A_ABV832506.Zhl</t>
  </si>
  <si>
    <t>HS832510IO_FB0</t>
  </si>
  <si>
    <t>A_ABV832510.Zll</t>
  </si>
  <si>
    <t>HS832510IO_FB1</t>
  </si>
  <si>
    <t>A_ABV832510.Zhl</t>
  </si>
  <si>
    <t>HS832531IO_FB0</t>
  </si>
  <si>
    <t>A_ABV832531.Zll</t>
  </si>
  <si>
    <t>HS832531IO_FB1</t>
  </si>
  <si>
    <t>A_ABV832531.Zhl</t>
  </si>
  <si>
    <t>HS835001IO_FB0</t>
  </si>
  <si>
    <t>A_EBV835001.Zll</t>
  </si>
  <si>
    <t>HS835003IO_FB0</t>
  </si>
  <si>
    <t>A_ABV835003.Zll</t>
  </si>
  <si>
    <t>HS835005IO_FB0</t>
  </si>
  <si>
    <t>A_ABV835005.Zll</t>
  </si>
  <si>
    <t>HS835005IO_FB1</t>
  </si>
  <si>
    <t>A_ABV835005.Zhl</t>
  </si>
  <si>
    <t>HS835006IO_FB0</t>
  </si>
  <si>
    <t>A_ABV835006.Zll</t>
  </si>
  <si>
    <t>HS835010IO_FB0</t>
  </si>
  <si>
    <t>A_ABV835010.Zll</t>
  </si>
  <si>
    <t>HS841102IO_FB0</t>
  </si>
  <si>
    <t>A_ABV841102.Zll</t>
  </si>
  <si>
    <t>HS841403IO_FB0</t>
  </si>
  <si>
    <t>A_ABV841403.Zll</t>
  </si>
  <si>
    <t>HS843103IO_FB0</t>
  </si>
  <si>
    <t>A_ABV843103.Zll</t>
  </si>
  <si>
    <t>HS844106IO_FB0</t>
  </si>
  <si>
    <t>A_ABV844106.Zll</t>
  </si>
  <si>
    <t>HS844110IO_FB0</t>
  </si>
  <si>
    <t>A_ABV844110.Zll</t>
  </si>
  <si>
    <t>HS844111IO_FB0</t>
  </si>
  <si>
    <t>A_ABV844111.Zll</t>
  </si>
  <si>
    <t>HS845005IO_FB0</t>
  </si>
  <si>
    <t>A_ABV845005.Zll</t>
  </si>
  <si>
    <t>HS850005IO_FB0</t>
  </si>
  <si>
    <t>A_ABV850005.Zll</t>
  </si>
  <si>
    <t>HS850010IO_FB0</t>
  </si>
  <si>
    <t>A_ABV850010.Zll</t>
  </si>
  <si>
    <t>HS850012IO_FB0</t>
  </si>
  <si>
    <t>A_ABV850012.Zll</t>
  </si>
  <si>
    <t>HS850014IO_FB0</t>
  </si>
  <si>
    <t>A_ABV850014.Zll</t>
  </si>
  <si>
    <t>HS850016IO_FB0</t>
  </si>
  <si>
    <t>A_ABV850016.Zll</t>
  </si>
  <si>
    <t>HS850105IO_FB0</t>
  </si>
  <si>
    <t>A_ABV850105.Zll</t>
  </si>
  <si>
    <t>HS850119IO_FB0</t>
  </si>
  <si>
    <t>A_ABV850119.Zll</t>
  </si>
  <si>
    <t>HS850122IO_FB0</t>
  </si>
  <si>
    <t>A_ABV850122.Zll</t>
  </si>
  <si>
    <t>HS850205IO_FB0</t>
  </si>
  <si>
    <t>A_ABV850205.Zll</t>
  </si>
  <si>
    <t>HS850209IO_FB0</t>
  </si>
  <si>
    <t>A_ABV850209.Zll</t>
  </si>
  <si>
    <t>HS850211IO_FB0</t>
  </si>
  <si>
    <t>A_ABV850211.Zll</t>
  </si>
  <si>
    <t>HS850214IO_FB0</t>
  </si>
  <si>
    <t>A_ABV850214.Zll</t>
  </si>
  <si>
    <t>HS852014IO_FB0</t>
  </si>
  <si>
    <t>A_ABV852014.Zll</t>
  </si>
  <si>
    <t>HS852015IO_FB0</t>
  </si>
  <si>
    <t>A_ABV852015.Zll</t>
  </si>
  <si>
    <t>HS853006IO_FB0</t>
  </si>
  <si>
    <t>A_ABV853006.Zll</t>
  </si>
  <si>
    <t>HS856007IO_FB0</t>
  </si>
  <si>
    <t>A_ABV856007.Zll</t>
  </si>
  <si>
    <t>HS856011IO_FB0</t>
  </si>
  <si>
    <t>A_ABV856011.Zll</t>
  </si>
  <si>
    <t>HS856011IO_FB1</t>
  </si>
  <si>
    <t>A_ABV856011.Zhl</t>
  </si>
  <si>
    <t>HS856012IO_FB0</t>
  </si>
  <si>
    <t>A_ABV856012.Zll</t>
  </si>
  <si>
    <t>HS856012IO_FB1</t>
  </si>
  <si>
    <t>A_ABV856012.Zhl</t>
  </si>
  <si>
    <t>HS859013IO_FB0</t>
  </si>
  <si>
    <t>A_ABV859013.Zll</t>
  </si>
  <si>
    <t>HS859014IO_FB0</t>
  </si>
  <si>
    <t>A_ABV859014.Zll</t>
  </si>
  <si>
    <t>HS896006IO_FB0</t>
  </si>
  <si>
    <t>A_ABV896006.Zll</t>
  </si>
  <si>
    <t>HS896012IO_FB0</t>
  </si>
  <si>
    <t>A_ABV896012.Zll</t>
  </si>
  <si>
    <t>HS896106IO_FB0</t>
  </si>
  <si>
    <t>A_ABV896106.Zll</t>
  </si>
  <si>
    <t>HS896110IO_FB0</t>
  </si>
  <si>
    <t>A_ABV896110.Zll</t>
  </si>
  <si>
    <t>HS896111IO_FB0</t>
  </si>
  <si>
    <t>A_ABV896111.Zll</t>
  </si>
  <si>
    <t>HS897984AIO</t>
  </si>
  <si>
    <t>HS897984A.CIN</t>
  </si>
  <si>
    <t>HS897984AIO_2oo2_MB1</t>
  </si>
  <si>
    <t>HS897984AIO_2oo2_MB2</t>
  </si>
  <si>
    <t>HS897984B.CIN</t>
  </si>
  <si>
    <t>HS897984BIO</t>
  </si>
  <si>
    <t>HS897985IO</t>
  </si>
  <si>
    <t>HS897985.CIN</t>
  </si>
  <si>
    <t>HS899001IO_FB1</t>
  </si>
  <si>
    <t>A_ABV899001.Zhl</t>
  </si>
  <si>
    <t>HS899127IO</t>
  </si>
  <si>
    <t>ZSC899127.CIN</t>
  </si>
  <si>
    <t>HS899128IO</t>
  </si>
  <si>
    <t>LAL812025IO</t>
  </si>
  <si>
    <t>LAL812025.CIN</t>
  </si>
  <si>
    <t>LAL823118IO</t>
  </si>
  <si>
    <t>LAL823118.CIN</t>
  </si>
  <si>
    <t>LAL823234IO</t>
  </si>
  <si>
    <t>LAL823234.CIN</t>
  </si>
  <si>
    <t>LAL832236IO</t>
  </si>
  <si>
    <t>LAL832236.CIN</t>
  </si>
  <si>
    <t>LAL832356IO</t>
  </si>
  <si>
    <t>LAL832356.CIN</t>
  </si>
  <si>
    <t>LAL832357IO</t>
  </si>
  <si>
    <t>LAL832357.CIN</t>
  </si>
  <si>
    <t>PAL843642IO</t>
  </si>
  <si>
    <t>PAL843642.CIN</t>
  </si>
  <si>
    <t>XA800001IO</t>
  </si>
  <si>
    <t>XA800001.CIN</t>
  </si>
  <si>
    <t>XA800101IO</t>
  </si>
  <si>
    <t>XA800101.CIN</t>
  </si>
  <si>
    <t>XA802002IO</t>
  </si>
  <si>
    <t>XS802002.CIN</t>
  </si>
  <si>
    <t>XA802005IO</t>
  </si>
  <si>
    <t>XS802005.CIN</t>
  </si>
  <si>
    <t>XA802008IO</t>
  </si>
  <si>
    <t>XS802008.CIN</t>
  </si>
  <si>
    <t>XA821818IO</t>
  </si>
  <si>
    <t>HS821818.CIN</t>
  </si>
  <si>
    <t>XA821820IO</t>
  </si>
  <si>
    <t>HS821820.CIN</t>
  </si>
  <si>
    <t>XA821917IO</t>
  </si>
  <si>
    <t>HS821917.CIN</t>
  </si>
  <si>
    <t>XA830001IO</t>
  </si>
  <si>
    <t>HS830001.CIN</t>
  </si>
  <si>
    <t>XA830645IO</t>
  </si>
  <si>
    <t>XA830645.CIN</t>
  </si>
  <si>
    <t>XA843007IO</t>
  </si>
  <si>
    <t>XS843007.CIN</t>
  </si>
  <si>
    <t>XA843008IO</t>
  </si>
  <si>
    <t>XS843008.CIN</t>
  </si>
  <si>
    <t>XA843010IO</t>
  </si>
  <si>
    <t>XS843010.CIN</t>
  </si>
  <si>
    <t>XA859001IO</t>
  </si>
  <si>
    <t>XS859001.CIN</t>
  </si>
  <si>
    <t>XA896210IO</t>
  </si>
  <si>
    <t>XS896210.CIN</t>
  </si>
  <si>
    <t>XA896211IO</t>
  </si>
  <si>
    <t>XS896211.CIN</t>
  </si>
  <si>
    <t>XA897920IO</t>
  </si>
  <si>
    <t>XS897920.CIN</t>
  </si>
  <si>
    <t>XA897921IO</t>
  </si>
  <si>
    <t>XS897921.CIN</t>
  </si>
  <si>
    <t>XA897922IO</t>
  </si>
  <si>
    <t>XS897922.CIN</t>
  </si>
  <si>
    <t>XA897923IO</t>
  </si>
  <si>
    <t>XS897923.CIN</t>
  </si>
  <si>
    <t>XA897924IO</t>
  </si>
  <si>
    <t>XS897924.CIN</t>
  </si>
  <si>
    <t>XA897925IO</t>
  </si>
  <si>
    <t>XS897925.CIN</t>
  </si>
  <si>
    <t>XA897930IO</t>
  </si>
  <si>
    <t>XS897930.CIN</t>
  </si>
  <si>
    <t>XA897931IO</t>
  </si>
  <si>
    <t>XS897931.CIN</t>
  </si>
  <si>
    <t>XA897934IO</t>
  </si>
  <si>
    <t>XS897934.CIN</t>
  </si>
  <si>
    <t>XA897938IO</t>
  </si>
  <si>
    <t>XS897938.CIN</t>
  </si>
  <si>
    <t>XA897941IO</t>
  </si>
  <si>
    <t>XS897941.CIN</t>
  </si>
  <si>
    <t>XA897947IO</t>
  </si>
  <si>
    <t>XS897947.CIN</t>
  </si>
  <si>
    <t>XA897948IO</t>
  </si>
  <si>
    <t>XS897948.CIN</t>
  </si>
  <si>
    <t>XA897949IO</t>
  </si>
  <si>
    <t>XS897949.CIN</t>
  </si>
  <si>
    <t>XA897950IO</t>
  </si>
  <si>
    <t>XS897950.CIN</t>
  </si>
  <si>
    <t>XA897951IO</t>
  </si>
  <si>
    <t>XS897951.CIN</t>
  </si>
  <si>
    <t>XA897955IO</t>
  </si>
  <si>
    <t>XS897955.CIN</t>
  </si>
  <si>
    <t>XA897956IO</t>
  </si>
  <si>
    <t>XS897956.CIN</t>
  </si>
  <si>
    <t>XA897957IO</t>
  </si>
  <si>
    <t>XS897957.CIN</t>
  </si>
  <si>
    <t>XA897958IO</t>
  </si>
  <si>
    <t>XS897958.CIN</t>
  </si>
  <si>
    <t>XA897959IO</t>
  </si>
  <si>
    <t>XS897959.CIN</t>
  </si>
  <si>
    <t>XA897960IO</t>
  </si>
  <si>
    <t>XS897960.CIN</t>
  </si>
  <si>
    <t>XA897961IO</t>
  </si>
  <si>
    <t>XS897961.CIN</t>
  </si>
  <si>
    <t>XA897962IO</t>
  </si>
  <si>
    <t>XS897962.CIN</t>
  </si>
  <si>
    <t>XA897963IO</t>
  </si>
  <si>
    <t>XS897963.CIN</t>
  </si>
  <si>
    <t>XA897964IO</t>
  </si>
  <si>
    <t>XS897964.CIN</t>
  </si>
  <si>
    <t>XA897970IO</t>
  </si>
  <si>
    <t>XS897970.CIN</t>
  </si>
  <si>
    <t>XA897973IO</t>
  </si>
  <si>
    <t>XS897973.CIN</t>
  </si>
  <si>
    <t>XA897975IO</t>
  </si>
  <si>
    <t>XS897975.CIN</t>
  </si>
  <si>
    <t>XA897978IO</t>
  </si>
  <si>
    <t>XS897978.CIN</t>
  </si>
  <si>
    <t>XA897980IO</t>
  </si>
  <si>
    <t>XS897980.CIN</t>
  </si>
  <si>
    <t>XA897981IO</t>
  </si>
  <si>
    <t>XS897981.CIN</t>
  </si>
  <si>
    <t>XA897983IO</t>
  </si>
  <si>
    <t>XS897983.CIN</t>
  </si>
  <si>
    <t>XA897995IO</t>
  </si>
  <si>
    <t>XS897995.CIN</t>
  </si>
  <si>
    <t>XA897996IO</t>
  </si>
  <si>
    <t>XS897996.CIN</t>
  </si>
  <si>
    <t>XA897997IO</t>
  </si>
  <si>
    <t>XS897997.CIN</t>
  </si>
  <si>
    <t>XA897998IO</t>
  </si>
  <si>
    <t>XS897998.CIN</t>
  </si>
  <si>
    <t>XA897999IO</t>
  </si>
  <si>
    <t>XS897999.CIN</t>
  </si>
  <si>
    <t>XA899013IO</t>
  </si>
  <si>
    <t>XS899013.CIN</t>
  </si>
  <si>
    <t>XA899205IO</t>
  </si>
  <si>
    <t>XS899205.CIN</t>
  </si>
  <si>
    <t>ZA897945IO</t>
  </si>
  <si>
    <t>ZS897945.CIN</t>
  </si>
  <si>
    <t>ZA897946IO</t>
  </si>
  <si>
    <t>ZS897946.CIN</t>
  </si>
  <si>
    <t>ZA897981IO</t>
  </si>
  <si>
    <t>ZS897981.CIN</t>
  </si>
  <si>
    <t>ZA897982IO</t>
  </si>
  <si>
    <t>ZS897982.CIN</t>
  </si>
  <si>
    <t>ZI802001IO_FB0</t>
  </si>
  <si>
    <t>ZSC802001.CIN</t>
  </si>
  <si>
    <t>ZI802004IO_FB0</t>
  </si>
  <si>
    <t>A_HV802004.Zll</t>
  </si>
  <si>
    <t>ZI802007IO_FB0</t>
  </si>
  <si>
    <t>A_HV802007.Zll</t>
  </si>
  <si>
    <t>ZI808112IO_FB0</t>
  </si>
  <si>
    <t>A_HV808112.Zll</t>
  </si>
  <si>
    <t>ZI808113IO_FB0</t>
  </si>
  <si>
    <t>A_HV808113.Zll</t>
  </si>
  <si>
    <t>ZI808317IO_FB0</t>
  </si>
  <si>
    <t>A_FOD3808083B03.Zll</t>
  </si>
  <si>
    <t>ZI808318IO_FB0</t>
  </si>
  <si>
    <t>A_FOD3808083B02.Zll</t>
  </si>
  <si>
    <t>ZI808319IO_FB0</t>
  </si>
  <si>
    <t>A_FOD3808083B01.Zll</t>
  </si>
  <si>
    <t>ZI808321IO_FB0</t>
  </si>
  <si>
    <t>A_FOD3808083B04.Zll</t>
  </si>
  <si>
    <t>ZI809014IO_FB0</t>
  </si>
  <si>
    <t>A_HV809014.Zll</t>
  </si>
  <si>
    <t>ZI809015IO_FB0</t>
  </si>
  <si>
    <t>A_HV809015.Zll</t>
  </si>
  <si>
    <t>ZI809016IO_FB0</t>
  </si>
  <si>
    <t>A_HV809016.Zll</t>
  </si>
  <si>
    <t>ZI821828IO_FB0</t>
  </si>
  <si>
    <t>A_EBV821828.Zll</t>
  </si>
  <si>
    <t>ZI821838IO_FB0</t>
  </si>
  <si>
    <t>A_FOD3808218B01.Zll</t>
  </si>
  <si>
    <t>ZI821862IO_FB0</t>
  </si>
  <si>
    <t>A_FOD3808218A01.Zll</t>
  </si>
  <si>
    <t>ZI821916IO_FB0</t>
  </si>
  <si>
    <t>ZSC821916.CIN</t>
  </si>
  <si>
    <t>ZI822315IO_FB0</t>
  </si>
  <si>
    <t>A_FOD3808223B01.Zll</t>
  </si>
  <si>
    <t>ZI822316IO_FB0</t>
  </si>
  <si>
    <t>A_FOD3808223B02.Zll</t>
  </si>
  <si>
    <t>ZI822415IO_FB0</t>
  </si>
  <si>
    <t>A_FOD3808224B02.Zll</t>
  </si>
  <si>
    <t>ZI822416IO_FB0</t>
  </si>
  <si>
    <t>A_FOD3808224B01.Zll</t>
  </si>
  <si>
    <t>ZI825007IO</t>
  </si>
  <si>
    <t>ZS825007.CIN</t>
  </si>
  <si>
    <t>ZI825009IO</t>
  </si>
  <si>
    <t>ZS825009.CIN</t>
  </si>
  <si>
    <t>ZI830005IO_FB1</t>
  </si>
  <si>
    <t>ZSO830005.CIN</t>
  </si>
  <si>
    <t>ZI830017IO</t>
  </si>
  <si>
    <t>ZS830017.CIN</t>
  </si>
  <si>
    <t>ZI830121IO_FB0</t>
  </si>
  <si>
    <t>A_HV830121.Zll</t>
  </si>
  <si>
    <t>ZI830415IO_FB0</t>
  </si>
  <si>
    <t>A_HV830415.Zll</t>
  </si>
  <si>
    <t>ZI830526IO_FB0</t>
  </si>
  <si>
    <t>A_HV830526.Zll</t>
  </si>
  <si>
    <t>ZI830527IO_FB0</t>
  </si>
  <si>
    <t>A_HV830527.Zll</t>
  </si>
  <si>
    <t>ZI831112IO_FB0</t>
  </si>
  <si>
    <t>A_HV831112.Zll</t>
  </si>
  <si>
    <t>ZI831113IO_FB0</t>
  </si>
  <si>
    <t>A_HV831113.Zll</t>
  </si>
  <si>
    <t>ZI831212IO_FB0</t>
  </si>
  <si>
    <t>A_HV831212.Zll</t>
  </si>
  <si>
    <t>ZI831213IO_FB0</t>
  </si>
  <si>
    <t>A_HV831213.Zll</t>
  </si>
  <si>
    <t>ZI835007IO</t>
  </si>
  <si>
    <t>ZS835007.CIN</t>
  </si>
  <si>
    <t>ZI835009IO</t>
  </si>
  <si>
    <t>ZS835009.CIN</t>
  </si>
  <si>
    <t>ZI850019IO_FB0</t>
  </si>
  <si>
    <t>A_HV850019.Zll</t>
  </si>
  <si>
    <t>ZI850020IO_FB0</t>
  </si>
  <si>
    <t>A_HV850020.Zll</t>
  </si>
  <si>
    <t>ZI850132IO_FB0</t>
  </si>
  <si>
    <t>A_HV850132.Zll</t>
  </si>
  <si>
    <t>ZI850216IO_FB0</t>
  </si>
  <si>
    <t>A_HV850216.Zll</t>
  </si>
  <si>
    <t>ZI897932IO</t>
  </si>
  <si>
    <t>ZS897932.CIN</t>
  </si>
  <si>
    <t>ZI897939IO</t>
  </si>
  <si>
    <t>ZS897939.CIN</t>
  </si>
  <si>
    <t>ZI897944IO</t>
  </si>
  <si>
    <t>ZS897944.CIN</t>
  </si>
  <si>
    <t>ZI897971IO</t>
  </si>
  <si>
    <t>ZS897971.CIN</t>
  </si>
  <si>
    <t>ZI897976IO</t>
  </si>
  <si>
    <t>ZS897976.CIN</t>
  </si>
  <si>
    <t>ZI897980IO</t>
  </si>
  <si>
    <t>ZS897980.CIN</t>
  </si>
  <si>
    <t>ZI899101AIO</t>
  </si>
  <si>
    <t>ZSC899101.CIN</t>
  </si>
  <si>
    <t>ZI899101IO</t>
  </si>
  <si>
    <t>ZS899101.CIN</t>
  </si>
  <si>
    <t>ZI899102AIO</t>
  </si>
  <si>
    <t>ZSC899102.CIN</t>
  </si>
  <si>
    <t>ZI899102IO</t>
  </si>
  <si>
    <t>ZS899102.CIN</t>
  </si>
  <si>
    <t>ZI899103AIO</t>
  </si>
  <si>
    <t>ZSC899103.CIN</t>
  </si>
  <si>
    <t>ZI899103IO</t>
  </si>
  <si>
    <t>ZS899103.CIN</t>
  </si>
  <si>
    <t>ZI899104AIO</t>
  </si>
  <si>
    <t>ZSC899104.CIN</t>
  </si>
  <si>
    <t>ZI899104IO</t>
  </si>
  <si>
    <t>ZS899104.CIN</t>
  </si>
  <si>
    <t>ZI899105AIO</t>
  </si>
  <si>
    <t>ZSC899105.CIN</t>
  </si>
  <si>
    <t>ZI899105IO</t>
  </si>
  <si>
    <t>ZS899105.CIN</t>
  </si>
  <si>
    <t>ZI899106AIO</t>
  </si>
  <si>
    <t>ZSC899106.CIN</t>
  </si>
  <si>
    <t>ZI899106IO</t>
  </si>
  <si>
    <t>ZS899106.CIN</t>
  </si>
  <si>
    <t>ZI899108AIO</t>
  </si>
  <si>
    <t>ZSC899108.CIN</t>
  </si>
  <si>
    <t>ZI899108IO</t>
  </si>
  <si>
    <t>ZS899108.CIN</t>
  </si>
  <si>
    <t>ZI899109AIO</t>
  </si>
  <si>
    <t>ZSC899109.CIN</t>
  </si>
  <si>
    <t>ZI899109IO</t>
  </si>
  <si>
    <t>ZS899109.CIN</t>
  </si>
  <si>
    <t>ZI899110AIO</t>
  </si>
  <si>
    <t>ZSC899110.CIN</t>
  </si>
  <si>
    <t>ZI899110IO</t>
  </si>
  <si>
    <t>ZS899110.CIN</t>
  </si>
  <si>
    <t>ZI899111AIO</t>
  </si>
  <si>
    <t>ZSC899111.CIN</t>
  </si>
  <si>
    <t>ZI899111IO</t>
  </si>
  <si>
    <t>ZS899111.CIN</t>
  </si>
  <si>
    <t>ZI899112AIO</t>
  </si>
  <si>
    <t>ZSC899112.CIN</t>
  </si>
  <si>
    <t>ZI899112IO</t>
  </si>
  <si>
    <t>ZS899112.CIN</t>
  </si>
  <si>
    <t>ZI899113AIO</t>
  </si>
  <si>
    <t>ZSC899113.CIN</t>
  </si>
  <si>
    <t>ZI899113IO</t>
  </si>
  <si>
    <t>ZS899113.CIN</t>
  </si>
  <si>
    <t>ZI899114AIO</t>
  </si>
  <si>
    <t>ZSC899114.CIN</t>
  </si>
  <si>
    <t>ZI899114IO</t>
  </si>
  <si>
    <t>ZS899114.CIN</t>
  </si>
  <si>
    <t>ZI899116AIO</t>
  </si>
  <si>
    <t>ZSC899116.CIN</t>
  </si>
  <si>
    <t>ZI899116IO</t>
  </si>
  <si>
    <t>ZS899116.CIN</t>
  </si>
  <si>
    <t>ZI899117AIO</t>
  </si>
  <si>
    <t>ZSC899117.CIN</t>
  </si>
  <si>
    <t>ZI899117IO</t>
  </si>
  <si>
    <t>ZS899117.CIN</t>
  </si>
  <si>
    <t>ZI899118AIO</t>
  </si>
  <si>
    <t>ZSC899118.CIN</t>
  </si>
  <si>
    <t>ZI899118IO</t>
  </si>
  <si>
    <t>ZS899118.CIN</t>
  </si>
  <si>
    <t>ZI899119AIO</t>
  </si>
  <si>
    <t>ZSC899119.CIN</t>
  </si>
  <si>
    <t>ZI899119IO</t>
  </si>
  <si>
    <t>ZS899119.CIN</t>
  </si>
  <si>
    <t>ZI899120AIO</t>
  </si>
  <si>
    <t>ZSC899120.CIN</t>
  </si>
  <si>
    <t>ZI899120IO</t>
  </si>
  <si>
    <t>ZS899120.CIN</t>
  </si>
  <si>
    <t>ZI899121AIO</t>
  </si>
  <si>
    <t>ZSC899121.CIN</t>
  </si>
  <si>
    <t>ZI899121IO</t>
  </si>
  <si>
    <t>ZS899121.CIN</t>
  </si>
  <si>
    <t>ZI899122AIO</t>
  </si>
  <si>
    <t>ZSC899122.CIN</t>
  </si>
  <si>
    <t>ZI899122IO</t>
  </si>
  <si>
    <t>ZS899122.CIN</t>
  </si>
  <si>
    <t>ZI899123AIO</t>
  </si>
  <si>
    <t>ZSC899123.CIN</t>
  </si>
  <si>
    <t>ZI899123IO</t>
  </si>
  <si>
    <t>ZS899123.CIN</t>
  </si>
  <si>
    <t>ZI899124AIO</t>
  </si>
  <si>
    <t>ZSC899124.CIN</t>
  </si>
  <si>
    <t>ZI899124IO</t>
  </si>
  <si>
    <t>ZS899124.CIN</t>
  </si>
  <si>
    <t>ZI899125AIO</t>
  </si>
  <si>
    <t>ZSC899125.CIN</t>
  </si>
  <si>
    <t>ZI899125IO</t>
  </si>
  <si>
    <t>ZS899125.CIN</t>
  </si>
  <si>
    <t>ZI899126AIO</t>
  </si>
  <si>
    <t>ZSC899126.CIN</t>
  </si>
  <si>
    <t>ZI899126IO</t>
  </si>
  <si>
    <t>ZS899126.CIN</t>
  </si>
  <si>
    <t>ZI899127AIO</t>
  </si>
  <si>
    <t>ZI899127IO</t>
  </si>
  <si>
    <t>ZS899127.CIN</t>
  </si>
  <si>
    <t>AA821420AIO.Mode</t>
  </si>
  <si>
    <t>AA821420BIO.Mode</t>
  </si>
  <si>
    <t>AA821519AIO.Mode</t>
  </si>
  <si>
    <t>AA830613IO.Mode</t>
  </si>
  <si>
    <t>AA850128IO.Mode</t>
  </si>
  <si>
    <t>AA856016AIO.Mode</t>
  </si>
  <si>
    <t>AA856016BIO.Mode</t>
  </si>
  <si>
    <t>AA856016CIO.Mode</t>
  </si>
  <si>
    <t>AA881201AIO.Mode</t>
  </si>
  <si>
    <t>AA881201BIO.Mode</t>
  </si>
  <si>
    <t>AA881301AIO.Mode</t>
  </si>
  <si>
    <t>AA881301BIO.Mode</t>
  </si>
  <si>
    <t>AS830613IO.Mode</t>
  </si>
  <si>
    <t>EA897933IO.Mode</t>
  </si>
  <si>
    <t>EA897940IO.Mode</t>
  </si>
  <si>
    <t>EA897972IO.Mode</t>
  </si>
  <si>
    <t>EA897977IO.Mode</t>
  </si>
  <si>
    <t>EHS810509A_1oo2IO_MB1.Mode</t>
  </si>
  <si>
    <t>EHS810509A_1oo2IO_MB2.Mode</t>
  </si>
  <si>
    <t>EHS810509AIO.Mode</t>
  </si>
  <si>
    <t>EHS810509BIO.Mode</t>
  </si>
  <si>
    <t>EHS820509A_1oo2IO_MB1.Mode</t>
  </si>
  <si>
    <t>EHS820509A_1oo2IO_MB2.Mode</t>
  </si>
  <si>
    <t>EHS820509AIO.Mode</t>
  </si>
  <si>
    <t>EHS820509BIO.Mode</t>
  </si>
  <si>
    <t>EHS830616A_1oo2IO_MB1.Mode</t>
  </si>
  <si>
    <t>EHS830616A_1oo2IO_MB2.Mode</t>
  </si>
  <si>
    <t>EHS830616AIO.Mode</t>
  </si>
  <si>
    <t>EHS830616BIO.Mode</t>
  </si>
  <si>
    <t>ES810509AIO.Mode</t>
  </si>
  <si>
    <t>ES810509BIO.Mode</t>
  </si>
  <si>
    <t>ES820414AIO.Mode</t>
  </si>
  <si>
    <t>ES820414BIO.Mode</t>
  </si>
  <si>
    <t>ES820509AIO.Mode</t>
  </si>
  <si>
    <t>ES820509CIO.Mode</t>
  </si>
  <si>
    <t>ES820509DIO.Mode</t>
  </si>
  <si>
    <t>ES822322IO.Mode</t>
  </si>
  <si>
    <t>ES822332IO.Mode</t>
  </si>
  <si>
    <t>ES830510AIO.Mode</t>
  </si>
  <si>
    <t>ES830613BIO.Mode</t>
  </si>
  <si>
    <t>ES830616AIO.Mode</t>
  </si>
  <si>
    <t>ES830832AIO.Mode</t>
  </si>
  <si>
    <t>ES843030AIO.Mode</t>
  </si>
  <si>
    <t>ES843030BIO.Mode</t>
  </si>
  <si>
    <t>ES843030CIO.Mode</t>
  </si>
  <si>
    <t>ES850206IO.Mode</t>
  </si>
  <si>
    <t>FAL850134IO.Mode</t>
  </si>
  <si>
    <t>HS810533IO.MA</t>
  </si>
  <si>
    <t>HS820560IO.Mode</t>
  </si>
  <si>
    <t>HS897984AIO.Mode</t>
  </si>
  <si>
    <t>HS897984AIO_2oo2_MB1.Mode</t>
  </si>
  <si>
    <t>HS897984AIO_2oo2_MB2.Mode</t>
  </si>
  <si>
    <t>HS897984BIO.Mode</t>
  </si>
  <si>
    <t>HS897985IO.Mode</t>
  </si>
  <si>
    <t>HS899127IO.Mode</t>
  </si>
  <si>
    <t>HS899128IO.Mode</t>
  </si>
  <si>
    <t>LAL812025IO.Mode</t>
  </si>
  <si>
    <t>LAL823118IO.Mode</t>
  </si>
  <si>
    <t>LAL823234IO.Mode</t>
  </si>
  <si>
    <t>LAL832236IO.MA</t>
  </si>
  <si>
    <t>LAL832356IO.Mode</t>
  </si>
  <si>
    <t>LAL832357IO.Mode</t>
  </si>
  <si>
    <t>PAL843642IO.MA</t>
  </si>
  <si>
    <t>XA800001IO.Mode</t>
  </si>
  <si>
    <t>XA800101IO.Mode</t>
  </si>
  <si>
    <t>XA821818IO.Mode</t>
  </si>
  <si>
    <t>XA821820IO.Mode</t>
  </si>
  <si>
    <t>XA830645IO.Mode</t>
  </si>
  <si>
    <t>XA843007IO.Mode</t>
  </si>
  <si>
    <t>XA843008IO.Mode</t>
  </si>
  <si>
    <t>XA843010IO.MA</t>
  </si>
  <si>
    <t>XA859001IO.Mode</t>
  </si>
  <si>
    <t>XA896210IO.Mode</t>
  </si>
  <si>
    <t>XA896211IO.MA</t>
  </si>
  <si>
    <t>XA897920IO.Mode</t>
  </si>
  <si>
    <t>XA897921IO.Mode</t>
  </si>
  <si>
    <t>XA897922IO.MA</t>
  </si>
  <si>
    <t>XA897923IO.Mode</t>
  </si>
  <si>
    <t>XA897924IO.Mode</t>
  </si>
  <si>
    <t>XA897925IO.Mode</t>
  </si>
  <si>
    <t>XA897930IO.Mode</t>
  </si>
  <si>
    <t>XA897931IO.Mode</t>
  </si>
  <si>
    <t>XA897934IO.Mode</t>
  </si>
  <si>
    <t>XA897938IO.Mode</t>
  </si>
  <si>
    <t>XA897941IO.Mode</t>
  </si>
  <si>
    <t>XA897947IO.MA</t>
  </si>
  <si>
    <t>XA897948IO.Mode</t>
  </si>
  <si>
    <t>XA897949IO.Mode</t>
  </si>
  <si>
    <t>XA897950IO.MA</t>
  </si>
  <si>
    <t>XA897951IO.Mode</t>
  </si>
  <si>
    <t>XA897955IO.Mode</t>
  </si>
  <si>
    <t>XA897956IO.MA</t>
  </si>
  <si>
    <t>XA897957IO.Mode</t>
  </si>
  <si>
    <t>XA897958IO.Mode</t>
  </si>
  <si>
    <t>XA897959IO.Mode</t>
  </si>
  <si>
    <t>XA897960IO.Mode</t>
  </si>
  <si>
    <t>XA897961IO.MA</t>
  </si>
  <si>
    <t>XA897962IO.MA</t>
  </si>
  <si>
    <t>XA897963IO.Mode</t>
  </si>
  <si>
    <t>XA897964IO.Mode</t>
  </si>
  <si>
    <t>XA897970IO.Mode</t>
  </si>
  <si>
    <t>XA897973IO.Mode</t>
  </si>
  <si>
    <t>XA897975IO.MA</t>
  </si>
  <si>
    <t>XA897978IO.Mode</t>
  </si>
  <si>
    <t>XA897980IO.Mode</t>
  </si>
  <si>
    <t>XA897981IO.MA</t>
  </si>
  <si>
    <t>XA897983IO.Mode</t>
  </si>
  <si>
    <t>XA897995IO.Mode</t>
  </si>
  <si>
    <t>XA897996IO.Mode</t>
  </si>
  <si>
    <t>XA897997IO.Mode</t>
  </si>
  <si>
    <t>XA897998IO.Mode</t>
  </si>
  <si>
    <t>XA897999IO.Mode</t>
  </si>
  <si>
    <t>XA899205IO.Mode</t>
  </si>
  <si>
    <t>ZA897945IO.Mode</t>
  </si>
  <si>
    <t>ZA897946IO.Mode</t>
  </si>
  <si>
    <t>ZA897981IO.Mode</t>
  </si>
  <si>
    <t>ZA897982IO.Mode</t>
  </si>
  <si>
    <t>ZI897932IO.MA</t>
  </si>
  <si>
    <t>ZI897939IO.MA</t>
  </si>
  <si>
    <t>ZI897944IO.Mode</t>
  </si>
  <si>
    <t>ZI897971IO.Mode</t>
  </si>
  <si>
    <t>ZI897976IO.Mode</t>
  </si>
  <si>
    <t>ZI897980IO.Mode</t>
  </si>
  <si>
    <t>ZI899101AIO.Mode</t>
  </si>
  <si>
    <t>ZI899101IO.Mode</t>
  </si>
  <si>
    <t>ZI899102AIO.Mode</t>
  </si>
  <si>
    <t>ZI899102IO.Mode</t>
  </si>
  <si>
    <t>ZI899103AIO.Mode</t>
  </si>
  <si>
    <t>ZI899103IO.Mode</t>
  </si>
  <si>
    <t>ZI899104AIO.Mode</t>
  </si>
  <si>
    <t>ZI899104IO.Mode</t>
  </si>
  <si>
    <t>ZI899105AIO.Mode</t>
  </si>
  <si>
    <t>ZI899105IO.Mode</t>
  </si>
  <si>
    <t>ZI899106AIO.Mode</t>
  </si>
  <si>
    <t>ZI899106IO.Mode</t>
  </si>
  <si>
    <t>ZI899108AIO.Mode</t>
  </si>
  <si>
    <t>ZI899108IO.Mode</t>
  </si>
  <si>
    <t>ZI899109AIO.Mode</t>
  </si>
  <si>
    <t>ZI899109IO.Mode</t>
  </si>
  <si>
    <t>ZI899110AIO.Mode</t>
  </si>
  <si>
    <t>ZI899110IO.MA</t>
  </si>
  <si>
    <t>ZI899111AIO.Mode</t>
  </si>
  <si>
    <t>ZI899111IO.MA</t>
  </si>
  <si>
    <t>ZI899112AIO.MA</t>
  </si>
  <si>
    <t>ZI899112IO.Mode</t>
  </si>
  <si>
    <t>ZI899113AIO.Mode</t>
  </si>
  <si>
    <t>ZI899113IO.MA</t>
  </si>
  <si>
    <t>ZI899114AIO.Mode</t>
  </si>
  <si>
    <t>ZI899114IO.Mode</t>
  </si>
  <si>
    <t>ZI899116AIO.Mode</t>
  </si>
  <si>
    <t>ZI899116IO.MA</t>
  </si>
  <si>
    <t>ZI899117AIO.Mode</t>
  </si>
  <si>
    <t>ZI899117IO.Mode</t>
  </si>
  <si>
    <t>ZI899118AIO.Mode</t>
  </si>
  <si>
    <t>ZI899118IO.Mode</t>
  </si>
  <si>
    <t>ZI899119AIO.Mode</t>
  </si>
  <si>
    <t>ZI899119IO.Mode</t>
  </si>
  <si>
    <t>ZI899120AIO.Mode</t>
  </si>
  <si>
    <t>ZI899120IO.Mode</t>
  </si>
  <si>
    <t>ZI899121AIO.Mode</t>
  </si>
  <si>
    <t>ZI899121IO.Mode</t>
  </si>
  <si>
    <t>ZI899122AIO.Mode</t>
  </si>
  <si>
    <t>ZI899122IO.Mode</t>
  </si>
  <si>
    <t>ZI899123AIO.Mode</t>
  </si>
  <si>
    <t>ZI899123IO.Mode</t>
  </si>
  <si>
    <t>ZI899124AIO.Mode</t>
  </si>
  <si>
    <t>ZI899124IO.Mode</t>
  </si>
  <si>
    <t>ZI899125AIO.Mode</t>
  </si>
  <si>
    <t>ZI899125IO.Mode</t>
  </si>
  <si>
    <t>ZI899126AIO.Mode</t>
  </si>
  <si>
    <t>ZI899126IO.Mode</t>
  </si>
  <si>
    <t>ZI899127AIO.Mode</t>
  </si>
  <si>
    <t>ZI899127IO.Mode</t>
  </si>
  <si>
    <t>C:\Users\claudi.marti\Desktop\OnlyGraphicDisplay_380</t>
  </si>
  <si>
    <t>Evaluation 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</si>
</sst>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"/>
    <numFmt numFmtId="166" formatCode="[$-C0A]d\-mmm\-yy;@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14"/>
      <name val="Arial"/>
      <family val="2"/>
    </font>
    <font>
      <i/>
      <sz val="10"/>
      <color indexed="12"/>
      <name val="Arial"/>
      <family val="2"/>
    </font>
    <font>
      <i/>
      <sz val="10"/>
      <color indexed="14"/>
      <name val="Arial"/>
      <family val="2"/>
    </font>
    <font>
      <b/>
      <i/>
      <sz val="10"/>
      <color indexed="10"/>
      <name val="Arial"/>
      <family val="2"/>
    </font>
    <font>
      <b/>
      <i/>
      <sz val="10"/>
      <name val="Arial"/>
      <family val="2"/>
    </font>
    <font>
      <i/>
      <sz val="14"/>
      <color theme="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2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10" fontId="2" fillId="0" borderId="4" xfId="0" applyNumberFormat="1" applyFont="1" applyFill="1" applyBorder="1" applyAlignment="1">
      <alignment horizontal="center"/>
    </xf>
    <xf numFmtId="0" fontId="6" fillId="0" borderId="7" xfId="0" applyNumberFormat="1" applyFont="1" applyFill="1" applyBorder="1" applyAlignment="1">
      <alignment horizontal="right"/>
    </xf>
    <xf numFmtId="0" fontId="7" fillId="0" borderId="7" xfId="0" applyNumberFormat="1" applyFont="1" applyFill="1" applyBorder="1" applyAlignment="1">
      <alignment horizontal="right"/>
    </xf>
    <xf numFmtId="10" fontId="8" fillId="0" borderId="8" xfId="1" applyNumberFormat="1" applyFont="1" applyFill="1" applyBorder="1"/>
    <xf numFmtId="165" fontId="3" fillId="0" borderId="7" xfId="0" applyNumberFormat="1" applyFont="1" applyFill="1" applyBorder="1"/>
    <xf numFmtId="1" fontId="2" fillId="0" borderId="2" xfId="0" applyNumberFormat="1" applyFont="1" applyFill="1" applyBorder="1" applyAlignment="1">
      <alignment horizontal="center"/>
    </xf>
    <xf numFmtId="0" fontId="2" fillId="0" borderId="2" xfId="0" applyNumberFormat="1" applyFont="1" applyFill="1" applyBorder="1" applyAlignment="1">
      <alignment horizontal="center"/>
    </xf>
    <xf numFmtId="0" fontId="3" fillId="0" borderId="9" xfId="0" applyFont="1" applyBorder="1" applyAlignment="1">
      <alignment horizontal="left"/>
    </xf>
    <xf numFmtId="0" fontId="2" fillId="0" borderId="1" xfId="0" applyFont="1" applyFill="1" applyBorder="1" applyAlignment="1">
      <alignment horizontal="center" wrapText="1"/>
    </xf>
    <xf numFmtId="0" fontId="3" fillId="0" borderId="18" xfId="0" applyFont="1" applyFill="1" applyBorder="1"/>
    <xf numFmtId="11" fontId="3" fillId="0" borderId="18" xfId="0" applyNumberFormat="1" applyFont="1" applyFill="1" applyBorder="1"/>
    <xf numFmtId="0" fontId="3" fillId="0" borderId="15" xfId="0" applyFont="1" applyFill="1" applyBorder="1"/>
    <xf numFmtId="0" fontId="0" fillId="0" borderId="7" xfId="0" applyBorder="1" applyAlignment="1">
      <alignment horizontal="left" vertical="center" wrapText="1"/>
    </xf>
    <xf numFmtId="14" fontId="3" fillId="0" borderId="8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0" fontId="3" fillId="0" borderId="7" xfId="0" applyFont="1" applyFill="1" applyBorder="1" applyAlignment="1">
      <alignment vertical="center"/>
    </xf>
    <xf numFmtId="14" fontId="3" fillId="0" borderId="7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Font="1"/>
    <xf numFmtId="0" fontId="10" fillId="0" borderId="0" xfId="0" applyFont="1"/>
    <xf numFmtId="0" fontId="11" fillId="0" borderId="0" xfId="0" applyFont="1" applyAlignment="1">
      <alignment vertical="center" wrapText="1"/>
    </xf>
    <xf numFmtId="0" fontId="11" fillId="0" borderId="0" xfId="0" applyFont="1"/>
    <xf numFmtId="0" fontId="0" fillId="0" borderId="0" xfId="0" applyNumberFormat="1" applyFont="1"/>
    <xf numFmtId="0" fontId="2" fillId="0" borderId="19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2" fontId="9" fillId="0" borderId="5" xfId="0" applyNumberFormat="1" applyFont="1" applyFill="1" applyBorder="1" applyAlignment="1">
      <alignment horizontal="center" vertical="center"/>
    </xf>
    <xf numFmtId="2" fontId="9" fillId="0" borderId="12" xfId="0" applyNumberFormat="1" applyFont="1" applyFill="1" applyBorder="1" applyAlignment="1">
      <alignment horizontal="center" vertical="center"/>
    </xf>
    <xf numFmtId="2" fontId="9" fillId="0" borderId="14" xfId="0" applyNumberFormat="1" applyFont="1" applyFill="1" applyBorder="1" applyAlignment="1">
      <alignment horizontal="center" vertical="center"/>
    </xf>
    <xf numFmtId="2" fontId="9" fillId="0" borderId="11" xfId="0" applyNumberFormat="1" applyFont="1" applyFill="1" applyBorder="1" applyAlignment="1">
      <alignment horizontal="center" vertical="center"/>
    </xf>
    <xf numFmtId="164" fontId="4" fillId="0" borderId="10" xfId="0" applyNumberFormat="1" applyFont="1" applyFill="1" applyBorder="1" applyAlignment="1">
      <alignment horizontal="center" vertical="center"/>
    </xf>
    <xf numFmtId="164" fontId="4" fillId="0" borderId="13" xfId="0" applyNumberFormat="1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wrapText="1"/>
    </xf>
    <xf numFmtId="0" fontId="2" fillId="0" borderId="11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13">
    <dxf>
      <font>
        <b val="0"/>
        <i val="0"/>
      </font>
    </dxf>
    <dxf>
      <font>
        <b val="0"/>
        <i val="0"/>
      </font>
      <numFmt numFmtId="0" formatCode="General"/>
    </dxf>
    <dxf>
      <font>
        <i/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i/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i/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alignment horizontal="general" vertical="center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alignment horizontal="general" vertical="center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alignment horizontal="general" vertical="center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alignment horizontal="general" vertical="center" textRotation="0" wrapText="1" indent="0" justifyLastLine="0" shrinkToFit="0" readingOrder="0"/>
    </dxf>
    <dxf>
      <numFmt numFmtId="0" formatCode="General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condense val="0"/>
        <extend val="0"/>
        <color indexed="17"/>
      </font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2.0.0.0, Culture=neutral, PublicKeyToken=b77a5c561934e089"/>
  <ax:ocxPr ax:name="RawObjectAssemblyPath" ax:value=""/>
  <ax:ocxPr ax:name="Cookie" ax:value="1BB991E4C1BB6E148EC180FD16D965D553D3F1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2672"/>
  <ax:ocxPr ax:name="Sizel_cy" ax:value="1032"/>
  <ax:ocxPr ax:name="IsDynamic" ax:value="0"/>
</ax:ocx>
</file>

<file path=xl/activeX/activeX2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2.0.0.0, Culture=neutral, PublicKeyToken=b77a5c561934e089"/>
  <ax:ocxPr ax:name="RawObjectAssemblyPath" ax:value=""/>
  <ax:ocxPr ax:name="Cookie" ax:value="2912FBE762B0662469B2942A2843D911B590D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2699"/>
  <ax:ocxPr ax:name="Sizel_cy" ax:value="1005"/>
  <ax:ocxPr ax:name="IsDynamic" ax:value="0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9525</xdr:rowOff>
        </xdr:from>
        <xdr:to>
          <xdr:col>0</xdr:col>
          <xdr:colOff>1104900</xdr:colOff>
          <xdr:row>5</xdr:row>
          <xdr:rowOff>123825</xdr:rowOff>
        </xdr:to>
        <xdr:sp macro="" textlink="">
          <xdr:nvSpPr>
            <xdr:cNvPr id="1025" name="_ActiveXWrapp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19050</xdr:rowOff>
        </xdr:from>
        <xdr:to>
          <xdr:col>1</xdr:col>
          <xdr:colOff>971550</xdr:colOff>
          <xdr:row>5</xdr:row>
          <xdr:rowOff>123825</xdr:rowOff>
        </xdr:to>
        <xdr:sp macro="" textlink="">
          <xdr:nvSpPr>
            <xdr:cNvPr id="1026" name="_ActiveXWrapper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B1:D1462" totalsRowShown="0">
  <autoFilter ref="B1:D1462"/>
  <tableColumns count="3">
    <tableColumn id="1" name="Sheet Location" dataDxfId="10"/>
    <tableColumn id="2" name="TAG" dataDxfId="9"/>
    <tableColumn id="3" name="IO Only or Not" dataDxfId="8">
      <calculatedColumnFormula>+IF(OR(IFERROR(FIND(".IO",Table2[[#This Row],[Sheet Location]],1)&gt;0,FALSE),B2="DI"),"IO","no")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B1:I1742" totalsRowShown="0">
  <autoFilter ref="B1:I1742">
    <filterColumn colId="7">
      <filters>
        <filter val="2"/>
      </filters>
    </filterColumn>
  </autoFilter>
  <tableColumns count="8">
    <tableColumn id="1" name="Sheet Location" dataDxfId="7"/>
    <tableColumn id="2" name="TAG" dataDxfId="6"/>
    <tableColumn id="3" name="Mode" dataDxfId="5"/>
    <tableColumn id="4" name="Indiss Variable TAG" dataDxfId="4"/>
    <tableColumn id="5" name="Transmitter TAG" dataDxfId="3">
      <calculatedColumnFormula>+LEFT(E2,FIND(".",E2,1)-1)</calculatedColumnFormula>
    </tableColumn>
    <tableColumn id="6" name="Required Status" dataDxfId="2">
      <calculatedColumnFormula>+IFERROR(IF(VLOOKUP(F2,DI,2,FALSE)="IO",2,0),"N/A")</calculatedColumnFormula>
    </tableColumn>
    <tableColumn id="7" name="IO Variable to change" dataDxfId="1">
      <calculatedColumnFormula>+CONCATENATE(C2,".Mode")</calculatedColumnFormula>
    </tableColumn>
    <tableColumn id="8" name="Status" dataDxfId="0">
      <calculatedColumnFormula>+G2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M490"/>
  <sheetViews>
    <sheetView tabSelected="1" zoomScaleNormal="100" workbookViewId="0">
      <pane xSplit="4" ySplit="6" topLeftCell="H7" activePane="bottomRight" state="frozen"/>
      <selection pane="topRight" activeCell="E1" sqref="E1"/>
      <selection pane="bottomLeft" activeCell="A7" sqref="A7"/>
      <selection pane="bottomRight" activeCell="D22" sqref="D22"/>
    </sheetView>
  </sheetViews>
  <sheetFormatPr defaultColWidth="9.140625" defaultRowHeight="15" x14ac:dyDescent="0.25"/>
  <cols>
    <col min="1" max="1" width="16.85546875" customWidth="1"/>
    <col min="2" max="2" width="16.7109375" customWidth="1"/>
    <col min="3" max="3" width="21.140625" customWidth="1"/>
    <col min="4" max="4" width="74.7109375" bestFit="1" customWidth="1"/>
    <col min="5" max="6" width="8.85546875" customWidth="1"/>
    <col min="9" max="9" width="25.28515625" bestFit="1" customWidth="1"/>
    <col min="10" max="10" width="63.85546875" customWidth="1"/>
    <col min="11" max="11" width="21.85546875" bestFit="1" customWidth="1"/>
    <col min="12" max="12" width="28.7109375" bestFit="1" customWidth="1"/>
    <col min="13" max="13" width="11.5703125" bestFit="1" customWidth="1"/>
  </cols>
  <sheetData>
    <row r="1" spans="1:13" ht="30" customHeight="1" x14ac:dyDescent="0.25">
      <c r="A1" s="11" t="s">
        <v>0</v>
      </c>
      <c r="B1" s="11" t="s">
        <v>1</v>
      </c>
      <c r="C1" s="11" t="s">
        <v>2</v>
      </c>
      <c r="D1" s="11" t="s">
        <v>3</v>
      </c>
    </row>
    <row r="2" spans="1:13" ht="15.75" thickBot="1" x14ac:dyDescent="0.3">
      <c r="A2" s="1" t="s">
        <v>4</v>
      </c>
      <c r="B2" s="8">
        <v>8732</v>
      </c>
      <c r="C2" s="8">
        <v>7</v>
      </c>
      <c r="D2" s="9">
        <v>4</v>
      </c>
    </row>
    <row r="3" spans="1:13" x14ac:dyDescent="0.25">
      <c r="J3" t="s">
        <v>5418</v>
      </c>
    </row>
    <row r="4" spans="1:13" ht="15.75" thickBot="1" x14ac:dyDescent="0.3"/>
    <row r="5" spans="1:13" ht="20.25" customHeight="1" thickBot="1" x14ac:dyDescent="0.3">
      <c r="C5" s="36" t="s">
        <v>9</v>
      </c>
      <c r="D5" s="34" t="s">
        <v>10</v>
      </c>
      <c r="E5" s="38" t="s">
        <v>5</v>
      </c>
      <c r="F5" s="40" t="s">
        <v>6</v>
      </c>
      <c r="G5" s="32" t="s">
        <v>7</v>
      </c>
      <c r="H5" s="33"/>
      <c r="I5" s="44" t="s">
        <v>1646</v>
      </c>
      <c r="J5" s="42" t="s">
        <v>11</v>
      </c>
      <c r="K5" s="28" t="s">
        <v>12</v>
      </c>
      <c r="L5" s="28" t="s">
        <v>14</v>
      </c>
      <c r="M5" s="30" t="s">
        <v>13</v>
      </c>
    </row>
    <row r="6" spans="1:13" ht="20.25" customHeight="1" thickBot="1" x14ac:dyDescent="0.3">
      <c r="C6" s="37"/>
      <c r="D6" s="35"/>
      <c r="E6" s="39"/>
      <c r="F6" s="41"/>
      <c r="G6" s="2"/>
      <c r="H6" s="3" t="s">
        <v>8</v>
      </c>
      <c r="I6" s="45"/>
      <c r="J6" s="43"/>
      <c r="K6" s="29"/>
      <c r="L6" s="29"/>
      <c r="M6" s="31"/>
    </row>
    <row r="7" spans="1:13" ht="20.25" hidden="1" customHeight="1" x14ac:dyDescent="0.25">
      <c r="C7" s="10" t="s">
        <v>2138</v>
      </c>
      <c r="D7" s="12" t="str">
        <f>+VLOOKUP(C7,IO_Block_to_be_Inactive!$F$10:$H$1742,3,FALSE)</f>
        <v>ES843030AIO.Mode</v>
      </c>
      <c r="E7" s="4">
        <v>2</v>
      </c>
      <c r="F7" s="5">
        <v>2</v>
      </c>
      <c r="G7" s="7">
        <f t="shared" ref="G7:G26" si="0">(E7-F7)</f>
        <v>0</v>
      </c>
      <c r="H7" s="6">
        <f t="shared" ref="H7:H26" si="1">IF(F7&lt;&gt;0,(E7-F7)/F7,"")</f>
        <v>0</v>
      </c>
      <c r="I7" s="10" t="s">
        <v>2138</v>
      </c>
      <c r="J7" s="19" t="str">
        <f>+LEFT(D7,FIND("IO",D7,1)-1)</f>
        <v>ES843030A</v>
      </c>
      <c r="K7" s="19" t="str">
        <f>+findinfile($J$3,$J7,"Name")</f>
        <v>Not Found</v>
      </c>
      <c r="L7" s="19"/>
      <c r="M7" s="16"/>
    </row>
    <row r="8" spans="1:13" ht="20.25" hidden="1" customHeight="1" x14ac:dyDescent="0.25">
      <c r="C8" s="10" t="s">
        <v>2139</v>
      </c>
      <c r="D8" s="12" t="str">
        <f>+VLOOKUP(C8,IO_Block_to_be_Inactive!$F$10:$H$1742,3,FALSE)</f>
        <v>ES843030BIO.Mode</v>
      </c>
      <c r="E8" s="4">
        <v>2</v>
      </c>
      <c r="F8" s="5">
        <v>2</v>
      </c>
      <c r="G8" s="7">
        <f t="shared" si="0"/>
        <v>0</v>
      </c>
      <c r="H8" s="6">
        <f t="shared" si="1"/>
        <v>0</v>
      </c>
      <c r="I8" s="10" t="s">
        <v>2139</v>
      </c>
      <c r="J8" s="19" t="str">
        <f t="shared" ref="J8:J71" si="2">+LEFT(D8,FIND("IO",D8,1)-1)</f>
        <v>ES843030B</v>
      </c>
      <c r="K8" s="19" t="str">
        <f t="shared" ref="K8:K71" si="3">+findinfile($J$3,$J8,"Name")</f>
        <v>Not Found</v>
      </c>
      <c r="L8" s="19"/>
      <c r="M8" s="16"/>
    </row>
    <row r="9" spans="1:13" ht="20.25" hidden="1" customHeight="1" x14ac:dyDescent="0.25">
      <c r="C9" s="10" t="s">
        <v>2140</v>
      </c>
      <c r="D9" s="12" t="str">
        <f>+VLOOKUP(C9,IO_Block_to_be_Inactive!$F$10:$H$1742,3,FALSE)</f>
        <v>ES843030CIO.Mode</v>
      </c>
      <c r="E9" s="4">
        <v>2</v>
      </c>
      <c r="F9" s="5">
        <v>2</v>
      </c>
      <c r="G9" s="7">
        <f t="shared" si="0"/>
        <v>0</v>
      </c>
      <c r="H9" s="6">
        <f t="shared" si="1"/>
        <v>0</v>
      </c>
      <c r="I9" s="10" t="s">
        <v>2140</v>
      </c>
      <c r="J9" s="19" t="str">
        <f t="shared" si="2"/>
        <v>ES843030C</v>
      </c>
      <c r="K9" s="19" t="str">
        <f t="shared" si="3"/>
        <v>Not Found</v>
      </c>
      <c r="L9" s="19"/>
      <c r="M9" s="16"/>
    </row>
    <row r="10" spans="1:13" ht="20.25" hidden="1" customHeight="1" x14ac:dyDescent="0.25">
      <c r="C10" s="10" t="s">
        <v>2264</v>
      </c>
      <c r="D10" s="12" t="str">
        <f>+VLOOKUP(C10,IO_Block_to_be_Inactive!$F$10:$H$1742,3,FALSE)</f>
        <v>HS800001AIO.Mode</v>
      </c>
      <c r="E10" s="4">
        <v>2</v>
      </c>
      <c r="F10" s="5">
        <v>2</v>
      </c>
      <c r="G10" s="7">
        <f t="shared" si="0"/>
        <v>0</v>
      </c>
      <c r="H10" s="6">
        <f t="shared" si="1"/>
        <v>0</v>
      </c>
      <c r="I10" s="10" t="s">
        <v>2264</v>
      </c>
      <c r="J10" s="19" t="str">
        <f t="shared" si="2"/>
        <v>HS800001A</v>
      </c>
      <c r="K10" s="19" t="str">
        <f t="shared" si="3"/>
        <v>Not Found</v>
      </c>
      <c r="L10" s="19"/>
      <c r="M10" s="16"/>
    </row>
    <row r="11" spans="1:13" ht="20.25" hidden="1" customHeight="1" x14ac:dyDescent="0.25">
      <c r="C11" s="10" t="s">
        <v>2265</v>
      </c>
      <c r="D11" s="12" t="str">
        <f>+VLOOKUP(C11,IO_Block_to_be_Inactive!$F$10:$H$1742,3,FALSE)</f>
        <v>HS800101AIO.Mode</v>
      </c>
      <c r="E11" s="4">
        <v>2</v>
      </c>
      <c r="F11" s="5">
        <v>2</v>
      </c>
      <c r="G11" s="7">
        <f t="shared" si="0"/>
        <v>0</v>
      </c>
      <c r="H11" s="6">
        <f t="shared" si="1"/>
        <v>0</v>
      </c>
      <c r="I11" s="10" t="s">
        <v>2265</v>
      </c>
      <c r="J11" s="19" t="str">
        <f t="shared" si="2"/>
        <v>HS800101A</v>
      </c>
      <c r="K11" s="19" t="str">
        <f t="shared" si="3"/>
        <v>Not Found</v>
      </c>
      <c r="L11" s="19"/>
      <c r="M11" s="16"/>
    </row>
    <row r="12" spans="1:13" ht="20.25" customHeight="1" x14ac:dyDescent="0.25">
      <c r="C12" s="10" t="s">
        <v>2401</v>
      </c>
      <c r="D12" s="12" t="str">
        <f>+VLOOKUP(C12,IO_Block_to_be_Inactive!$F$10:$H$1742,3,FALSE)</f>
        <v>AI821519IO.Mode</v>
      </c>
      <c r="E12" s="4">
        <v>2</v>
      </c>
      <c r="F12" s="5">
        <v>2</v>
      </c>
      <c r="G12" s="7">
        <f t="shared" si="0"/>
        <v>0</v>
      </c>
      <c r="H12" s="6">
        <f t="shared" si="1"/>
        <v>0</v>
      </c>
      <c r="I12" s="10" t="s">
        <v>2401</v>
      </c>
      <c r="J12" s="19" t="str">
        <f>+LEFT(D12,FIND("IO",D12,1)-1)</f>
        <v>AI821519</v>
      </c>
      <c r="K12" s="19" t="str">
        <f>+findinfile($J$3,$J12,"Name")</f>
        <v>KOH_FINISHING_BACK_END_Graphic_Display_Translated.xaml</v>
      </c>
      <c r="L12" s="19"/>
      <c r="M12" s="16"/>
    </row>
    <row r="13" spans="1:13" ht="20.25" hidden="1" customHeight="1" x14ac:dyDescent="0.25">
      <c r="C13" s="10" t="s">
        <v>2268</v>
      </c>
      <c r="D13" s="12" t="str">
        <f>+VLOOKUP(C13,IO_Block_to_be_Inactive!$F$10:$H$1742,3,FALSE)</f>
        <v>ZI825009IO.Mode</v>
      </c>
      <c r="E13" s="4">
        <v>2</v>
      </c>
      <c r="F13" s="5">
        <v>2</v>
      </c>
      <c r="G13" s="7">
        <f t="shared" si="0"/>
        <v>0</v>
      </c>
      <c r="H13" s="6">
        <f t="shared" si="1"/>
        <v>0</v>
      </c>
      <c r="I13" s="10" t="s">
        <v>2268</v>
      </c>
      <c r="J13" s="19" t="str">
        <f t="shared" si="2"/>
        <v>ZI825009</v>
      </c>
      <c r="K13" s="19" t="str">
        <f t="shared" si="3"/>
        <v>Not Found</v>
      </c>
      <c r="L13" s="19"/>
      <c r="M13" s="16"/>
    </row>
    <row r="14" spans="1:13" ht="20.25" hidden="1" customHeight="1" x14ac:dyDescent="0.25">
      <c r="C14" s="10" t="s">
        <v>2271</v>
      </c>
      <c r="D14" s="12" t="str">
        <f>+VLOOKUP(C14,IO_Block_to_be_Inactive!$F$10:$H$1742,3,FALSE)</f>
        <v>ZI835009IO.Mode</v>
      </c>
      <c r="E14" s="4">
        <v>2</v>
      </c>
      <c r="F14" s="5">
        <v>2</v>
      </c>
      <c r="G14" s="7">
        <f t="shared" si="0"/>
        <v>0</v>
      </c>
      <c r="H14" s="6">
        <f t="shared" si="1"/>
        <v>0</v>
      </c>
      <c r="I14" s="10" t="s">
        <v>2271</v>
      </c>
      <c r="J14" s="19" t="str">
        <f t="shared" si="2"/>
        <v>ZI835009</v>
      </c>
      <c r="K14" s="19" t="str">
        <f t="shared" si="3"/>
        <v>Not Found</v>
      </c>
      <c r="L14" s="19"/>
      <c r="M14" s="16"/>
    </row>
    <row r="15" spans="1:13" ht="20.25" hidden="1" customHeight="1" x14ac:dyDescent="0.25">
      <c r="C15" s="10" t="s">
        <v>2749</v>
      </c>
      <c r="D15" s="12" t="str">
        <f>+VLOOKUP(C15,IO_Block_to_be_Inactive!$F$10:$H$1742,3,FALSE)</f>
        <v>VI800004IO.Mode</v>
      </c>
      <c r="E15" s="4">
        <v>2</v>
      </c>
      <c r="F15" s="5">
        <v>2</v>
      </c>
      <c r="G15" s="7">
        <f t="shared" si="0"/>
        <v>0</v>
      </c>
      <c r="H15" s="6">
        <f t="shared" si="1"/>
        <v>0</v>
      </c>
      <c r="I15" s="10" t="s">
        <v>2749</v>
      </c>
      <c r="J15" s="19" t="str">
        <f t="shared" si="2"/>
        <v>VI800004</v>
      </c>
      <c r="K15" s="19" t="str">
        <f t="shared" si="3"/>
        <v>Not Found</v>
      </c>
      <c r="L15" s="19"/>
      <c r="M15" s="16"/>
    </row>
    <row r="16" spans="1:13" ht="20.25" hidden="1" customHeight="1" x14ac:dyDescent="0.25">
      <c r="C16" s="10" t="s">
        <v>2748</v>
      </c>
      <c r="D16" s="12" t="str">
        <f>+VLOOKUP(C16,IO_Block_to_be_Inactive!$F$10:$H$1742,3,FALSE)</f>
        <v>VI800002IO.Mode</v>
      </c>
      <c r="E16" s="4">
        <v>2</v>
      </c>
      <c r="F16" s="5">
        <v>2</v>
      </c>
      <c r="G16" s="7">
        <f t="shared" si="0"/>
        <v>0</v>
      </c>
      <c r="H16" s="6">
        <f t="shared" si="1"/>
        <v>0</v>
      </c>
      <c r="I16" s="10" t="s">
        <v>2748</v>
      </c>
      <c r="J16" s="19" t="str">
        <f t="shared" si="2"/>
        <v>VI800002</v>
      </c>
      <c r="K16" s="19" t="str">
        <f t="shared" si="3"/>
        <v>Not Found</v>
      </c>
      <c r="L16" s="19"/>
      <c r="M16" s="16"/>
    </row>
    <row r="17" spans="3:13" ht="20.25" customHeight="1" x14ac:dyDescent="0.25">
      <c r="C17" s="10" t="s">
        <v>2753</v>
      </c>
      <c r="D17" s="12" t="str">
        <f>+VLOOKUP(C17,IO_Block_to_be_Inactive!$F$10:$H$1742,3,FALSE)</f>
        <v>VI800104IO.Mode</v>
      </c>
      <c r="E17" s="4">
        <v>2</v>
      </c>
      <c r="F17" s="5">
        <v>2</v>
      </c>
      <c r="G17" s="7">
        <f t="shared" si="0"/>
        <v>0</v>
      </c>
      <c r="H17" s="6">
        <f t="shared" si="1"/>
        <v>0</v>
      </c>
      <c r="I17" s="10" t="s">
        <v>2753</v>
      </c>
      <c r="J17" s="19" t="str">
        <f t="shared" si="2"/>
        <v>VI800104</v>
      </c>
      <c r="K17" s="19" t="str">
        <f t="shared" si="3"/>
        <v>P8001_HS800101_Detail_Display_Translated.xaml</v>
      </c>
      <c r="L17" s="19"/>
      <c r="M17" s="16"/>
    </row>
    <row r="18" spans="3:13" ht="20.25" hidden="1" customHeight="1" x14ac:dyDescent="0.25">
      <c r="C18" s="10" t="s">
        <v>2752</v>
      </c>
      <c r="D18" s="12" t="str">
        <f>+VLOOKUP(C18,IO_Block_to_be_Inactive!$F$10:$H$1742,3,FALSE)</f>
        <v>VI800102IO.Mode</v>
      </c>
      <c r="E18" s="4">
        <v>2</v>
      </c>
      <c r="F18" s="5">
        <v>2</v>
      </c>
      <c r="G18" s="7">
        <f t="shared" si="0"/>
        <v>0</v>
      </c>
      <c r="H18" s="6">
        <f t="shared" si="1"/>
        <v>0</v>
      </c>
      <c r="I18" s="10" t="s">
        <v>2752</v>
      </c>
      <c r="J18" s="19" t="str">
        <f t="shared" si="2"/>
        <v>VI800102</v>
      </c>
      <c r="K18" s="19" t="str">
        <f t="shared" si="3"/>
        <v>Not Found</v>
      </c>
      <c r="L18" s="19"/>
      <c r="M18" s="16"/>
    </row>
    <row r="19" spans="3:13" ht="20.25" customHeight="1" x14ac:dyDescent="0.25">
      <c r="C19" s="10" t="s">
        <v>2801</v>
      </c>
      <c r="D19" s="12" t="str">
        <f>+VLOOKUP(C19,IO_Block_to_be_Inactive!$F$10:$H$1742,3,FALSE)</f>
        <v>VI810541IO.Mode</v>
      </c>
      <c r="E19" s="4">
        <v>2</v>
      </c>
      <c r="F19" s="5">
        <v>2</v>
      </c>
      <c r="G19" s="7">
        <f t="shared" si="0"/>
        <v>0</v>
      </c>
      <c r="H19" s="6">
        <f t="shared" si="1"/>
        <v>0</v>
      </c>
      <c r="I19" s="10" t="s">
        <v>2801</v>
      </c>
      <c r="J19" s="19" t="str">
        <f t="shared" si="2"/>
        <v>VI810541</v>
      </c>
      <c r="K19" s="19" t="str">
        <f t="shared" si="3"/>
        <v>R8103_Recycle_Pump_Graphic_Display_Translated.xaml</v>
      </c>
      <c r="L19" s="19"/>
      <c r="M19" s="16"/>
    </row>
    <row r="20" spans="3:13" ht="20.25" customHeight="1" x14ac:dyDescent="0.25">
      <c r="C20" s="10" t="s">
        <v>2804</v>
      </c>
      <c r="D20" s="12" t="str">
        <f>+VLOOKUP(C20,IO_Block_to_be_Inactive!$F$10:$H$1742,3,FALSE)</f>
        <v>VI810508IO.Mode</v>
      </c>
      <c r="E20" s="4">
        <v>2</v>
      </c>
      <c r="F20" s="5">
        <v>2</v>
      </c>
      <c r="G20" s="7">
        <f t="shared" si="0"/>
        <v>0</v>
      </c>
      <c r="H20" s="6">
        <f t="shared" si="1"/>
        <v>0</v>
      </c>
      <c r="I20" s="10" t="s">
        <v>2804</v>
      </c>
      <c r="J20" s="19" t="str">
        <f t="shared" si="2"/>
        <v>VI810508</v>
      </c>
      <c r="K20" s="19" t="str">
        <f t="shared" si="3"/>
        <v>R8103_Recycle_Pump_Graphic_Display_Translated.xaml</v>
      </c>
      <c r="L20" s="19"/>
      <c r="M20" s="16"/>
    </row>
    <row r="21" spans="3:13" ht="20.25" customHeight="1" x14ac:dyDescent="0.25">
      <c r="C21" s="10" t="s">
        <v>2896</v>
      </c>
      <c r="D21" s="12" t="str">
        <f>+VLOOKUP(C21,IO_Block_to_be_Inactive!$F$10:$H$1742,3,FALSE)</f>
        <v>VI820508IO.Mode</v>
      </c>
      <c r="E21" s="4">
        <v>2</v>
      </c>
      <c r="F21" s="5">
        <v>2</v>
      </c>
      <c r="G21" s="7">
        <f t="shared" si="0"/>
        <v>0</v>
      </c>
      <c r="H21" s="6">
        <f t="shared" si="1"/>
        <v>0</v>
      </c>
      <c r="I21" s="10" t="s">
        <v>2896</v>
      </c>
      <c r="J21" s="19" t="str">
        <f t="shared" si="2"/>
        <v>VI820508</v>
      </c>
      <c r="K21" s="19" t="str">
        <f t="shared" si="3"/>
        <v>R8203_Recycle_Pump_Graphic_Display_Translated.xaml</v>
      </c>
      <c r="L21" s="19"/>
      <c r="M21" s="16"/>
    </row>
    <row r="22" spans="3:13" ht="20.25" customHeight="1" x14ac:dyDescent="0.25">
      <c r="C22" s="10" t="s">
        <v>2886</v>
      </c>
      <c r="D22" s="12" t="str">
        <f>+VLOOKUP(C22,IO_Block_to_be_Inactive!$F$10:$H$1742,3,FALSE)</f>
        <v>VI820509IO.Mode</v>
      </c>
      <c r="E22" s="4">
        <v>2</v>
      </c>
      <c r="F22" s="5">
        <v>2</v>
      </c>
      <c r="G22" s="7">
        <f t="shared" si="0"/>
        <v>0</v>
      </c>
      <c r="H22" s="6">
        <f t="shared" si="1"/>
        <v>0</v>
      </c>
      <c r="I22" s="10" t="s">
        <v>2886</v>
      </c>
      <c r="J22" s="19" t="str">
        <f t="shared" si="2"/>
        <v>VI820509</v>
      </c>
      <c r="K22" s="19" t="str">
        <f t="shared" si="3"/>
        <v>R8203_Recycle_Pump_Graphic_Display_Translated.xaml</v>
      </c>
      <c r="L22" s="19"/>
      <c r="M22" s="16"/>
    </row>
    <row r="23" spans="3:13" ht="20.25" customHeight="1" x14ac:dyDescent="0.25">
      <c r="C23" s="10" t="s">
        <v>2912</v>
      </c>
      <c r="D23" s="12" t="str">
        <f>+VLOOKUP(C23,IO_Block_to_be_Inactive!$F$10:$H$1742,3,FALSE)</f>
        <v>VI820661IO.Mode</v>
      </c>
      <c r="E23" s="4">
        <v>2</v>
      </c>
      <c r="F23" s="5">
        <v>2</v>
      </c>
      <c r="G23" s="7">
        <f t="shared" si="0"/>
        <v>0</v>
      </c>
      <c r="H23" s="6">
        <f t="shared" si="1"/>
        <v>0</v>
      </c>
      <c r="I23" s="10" t="s">
        <v>2912</v>
      </c>
      <c r="J23" s="19" t="str">
        <f t="shared" si="2"/>
        <v>VI820661</v>
      </c>
      <c r="K23" s="19" t="str">
        <f t="shared" si="3"/>
        <v>R8203_TW_Loop_Graphic_Display_Translated.xaml</v>
      </c>
      <c r="L23" s="19"/>
      <c r="M23" s="16"/>
    </row>
    <row r="24" spans="3:13" ht="20.25" customHeight="1" x14ac:dyDescent="0.25">
      <c r="C24" s="10" t="s">
        <v>2918</v>
      </c>
      <c r="D24" s="12" t="str">
        <f>+VLOOKUP(C24,IO_Block_to_be_Inactive!$F$10:$H$1742,3,FALSE)</f>
        <v>VI820662IO.Mode</v>
      </c>
      <c r="E24" s="4">
        <v>2</v>
      </c>
      <c r="F24" s="5">
        <v>2</v>
      </c>
      <c r="G24" s="7">
        <f t="shared" si="0"/>
        <v>0</v>
      </c>
      <c r="H24" s="6">
        <f t="shared" si="1"/>
        <v>0</v>
      </c>
      <c r="I24" s="10" t="s">
        <v>2918</v>
      </c>
      <c r="J24" s="19" t="str">
        <f t="shared" si="2"/>
        <v>VI820662</v>
      </c>
      <c r="K24" s="19" t="str">
        <f t="shared" si="3"/>
        <v>R8203_TW_Loop_Graphic_Display_Translated.xaml</v>
      </c>
      <c r="L24" s="19"/>
      <c r="M24" s="16"/>
    </row>
    <row r="25" spans="3:13" ht="20.25" customHeight="1" x14ac:dyDescent="0.25">
      <c r="C25" s="10" t="s">
        <v>2825</v>
      </c>
      <c r="D25" s="12" t="str">
        <f>+VLOOKUP(C25,IO_Block_to_be_Inactive!$F$10:$H$1742,3,FALSE)</f>
        <v>VI810661IO.Mode</v>
      </c>
      <c r="E25" s="4">
        <v>2</v>
      </c>
      <c r="F25" s="5">
        <v>2</v>
      </c>
      <c r="G25" s="7">
        <f t="shared" si="0"/>
        <v>0</v>
      </c>
      <c r="H25" s="6">
        <f t="shared" si="1"/>
        <v>0</v>
      </c>
      <c r="I25" s="10" t="s">
        <v>2825</v>
      </c>
      <c r="J25" s="19" t="str">
        <f t="shared" si="2"/>
        <v>VI810661</v>
      </c>
      <c r="K25" s="19" t="str">
        <f t="shared" si="3"/>
        <v>R8103_TW_Loop_Graphic_Display_Translated.xaml</v>
      </c>
      <c r="L25" s="19"/>
      <c r="M25" s="16"/>
    </row>
    <row r="26" spans="3:13" ht="20.25" hidden="1" customHeight="1" x14ac:dyDescent="0.25">
      <c r="C26" s="10" t="s">
        <v>2831</v>
      </c>
      <c r="D26" s="12" t="str">
        <f>+VLOOKUP(C26,IO_Block_to_be_Inactive!$F$10:$H$1742,3,FALSE)</f>
        <v>VI810662IO.Mode</v>
      </c>
      <c r="E26" s="4">
        <v>2</v>
      </c>
      <c r="F26" s="5">
        <v>2</v>
      </c>
      <c r="G26" s="7">
        <f t="shared" si="0"/>
        <v>0</v>
      </c>
      <c r="H26" s="6">
        <f t="shared" si="1"/>
        <v>0</v>
      </c>
      <c r="I26" s="10" t="s">
        <v>2831</v>
      </c>
      <c r="J26" s="19" t="str">
        <f t="shared" si="2"/>
        <v>VI810662</v>
      </c>
      <c r="K26" s="19" t="str">
        <f t="shared" si="3"/>
        <v>Not Found</v>
      </c>
      <c r="L26" s="19"/>
      <c r="M26" s="16"/>
    </row>
    <row r="27" spans="3:13" x14ac:dyDescent="0.25">
      <c r="C27" s="10"/>
      <c r="D27" s="12" t="s">
        <v>3638</v>
      </c>
      <c r="E27" s="4">
        <v>2</v>
      </c>
      <c r="F27" s="5">
        <v>2</v>
      </c>
      <c r="G27" s="7">
        <f>(E27-F27)</f>
        <v>0</v>
      </c>
      <c r="H27" s="6">
        <f>IF(F27&lt;&gt;0,(E27-F27)/F27,"")</f>
        <v>0</v>
      </c>
      <c r="I27" s="4" t="s">
        <v>1652</v>
      </c>
      <c r="J27" s="19" t="str">
        <f t="shared" si="2"/>
        <v>AI800005</v>
      </c>
      <c r="K27" s="19" t="str">
        <f t="shared" si="3"/>
        <v>P8000_Overview_Display_Translated.xaml</v>
      </c>
      <c r="L27" s="19"/>
      <c r="M27" s="16"/>
    </row>
    <row r="28" spans="3:13" x14ac:dyDescent="0.25">
      <c r="C28" s="10"/>
      <c r="D28" s="12" t="s">
        <v>3639</v>
      </c>
      <c r="E28" s="4">
        <v>2</v>
      </c>
      <c r="F28" s="5">
        <v>2</v>
      </c>
      <c r="G28" s="7">
        <f>(E28-F28)</f>
        <v>0</v>
      </c>
      <c r="H28" s="6">
        <f t="shared" ref="H28:H91" si="4">IF(F28&lt;&gt;0,(E28-F28)/F28,"")</f>
        <v>0</v>
      </c>
      <c r="I28" s="4" t="s">
        <v>1654</v>
      </c>
      <c r="J28" s="19" t="str">
        <f t="shared" si="2"/>
        <v>AI800105</v>
      </c>
      <c r="K28" s="19" t="str">
        <f t="shared" si="3"/>
        <v>P8001_Overview_Display_Translated.xaml</v>
      </c>
      <c r="L28" s="19"/>
      <c r="M28" s="16"/>
    </row>
    <row r="29" spans="3:13" x14ac:dyDescent="0.25">
      <c r="C29" s="10"/>
      <c r="D29" s="12" t="s">
        <v>3640</v>
      </c>
      <c r="E29" s="4">
        <v>2</v>
      </c>
      <c r="F29" s="5">
        <v>2</v>
      </c>
      <c r="G29" s="7">
        <f>(E29-F29)</f>
        <v>0</v>
      </c>
      <c r="H29" s="6">
        <f t="shared" si="4"/>
        <v>0</v>
      </c>
      <c r="I29" s="4" t="s">
        <v>1656</v>
      </c>
      <c r="J29" s="19" t="str">
        <f t="shared" si="2"/>
        <v>AI810012</v>
      </c>
      <c r="K29" s="19" t="str">
        <f t="shared" si="3"/>
        <v>R8103_Overview_Display_Translated.xaml</v>
      </c>
      <c r="L29" s="19"/>
      <c r="M29" s="16"/>
    </row>
    <row r="30" spans="3:13" x14ac:dyDescent="0.25">
      <c r="C30" s="10"/>
      <c r="D30" s="12" t="s">
        <v>3641</v>
      </c>
      <c r="E30" s="4">
        <v>2</v>
      </c>
      <c r="F30" s="5">
        <v>2</v>
      </c>
      <c r="G30" s="7">
        <f t="shared" ref="G30:G93" si="5">(E30-F30)</f>
        <v>0</v>
      </c>
      <c r="H30" s="6">
        <f t="shared" si="4"/>
        <v>0</v>
      </c>
      <c r="I30" s="4" t="s">
        <v>1658</v>
      </c>
      <c r="J30" s="19" t="str">
        <f t="shared" si="2"/>
        <v>AI810402</v>
      </c>
      <c r="K30" s="19" t="str">
        <f t="shared" si="3"/>
        <v>R8103_Overview_Display_Translated.xaml</v>
      </c>
      <c r="L30" s="19"/>
      <c r="M30" s="16"/>
    </row>
    <row r="31" spans="3:13" x14ac:dyDescent="0.25">
      <c r="C31" s="10"/>
      <c r="D31" s="12" t="s">
        <v>3642</v>
      </c>
      <c r="E31" s="4">
        <v>2</v>
      </c>
      <c r="F31" s="5">
        <v>2</v>
      </c>
      <c r="G31" s="7">
        <f t="shared" si="5"/>
        <v>0</v>
      </c>
      <c r="H31" s="6">
        <f t="shared" si="4"/>
        <v>0</v>
      </c>
      <c r="I31" s="4" t="s">
        <v>1660</v>
      </c>
      <c r="J31" s="19" t="str">
        <f t="shared" si="2"/>
        <v>AI810523</v>
      </c>
      <c r="K31" s="19" t="str">
        <f t="shared" si="3"/>
        <v>R8103_Recycle_Pump_Graphic_Display_Translated.xaml</v>
      </c>
      <c r="L31" s="19"/>
      <c r="M31" s="16"/>
    </row>
    <row r="32" spans="3:13" x14ac:dyDescent="0.25">
      <c r="C32" s="10"/>
      <c r="D32" s="12" t="s">
        <v>3643</v>
      </c>
      <c r="E32" s="4">
        <v>2</v>
      </c>
      <c r="F32" s="5">
        <v>2</v>
      </c>
      <c r="G32" s="7">
        <f t="shared" si="5"/>
        <v>0</v>
      </c>
      <c r="H32" s="6">
        <f t="shared" si="4"/>
        <v>0</v>
      </c>
      <c r="I32" s="4" t="s">
        <v>1662</v>
      </c>
      <c r="J32" s="19" t="str">
        <f t="shared" si="2"/>
        <v>AI820023</v>
      </c>
      <c r="K32" s="19" t="str">
        <f t="shared" si="3"/>
        <v>R8203_Overview_Display_Translated.xaml</v>
      </c>
      <c r="L32" s="19"/>
      <c r="M32" s="16"/>
    </row>
    <row r="33" spans="3:13" x14ac:dyDescent="0.25">
      <c r="C33" s="10"/>
      <c r="D33" s="12" t="s">
        <v>3644</v>
      </c>
      <c r="E33" s="4">
        <v>2</v>
      </c>
      <c r="F33" s="5">
        <v>2</v>
      </c>
      <c r="G33" s="7">
        <f t="shared" si="5"/>
        <v>0</v>
      </c>
      <c r="H33" s="6">
        <f t="shared" si="4"/>
        <v>0</v>
      </c>
      <c r="I33" s="4" t="s">
        <v>1664</v>
      </c>
      <c r="J33" s="19" t="str">
        <f t="shared" si="2"/>
        <v>AI820024</v>
      </c>
      <c r="K33" s="19" t="str">
        <f t="shared" si="3"/>
        <v>R8203_Overview_Display_Translated.xaml</v>
      </c>
      <c r="L33" s="19"/>
      <c r="M33" s="16"/>
    </row>
    <row r="34" spans="3:13" x14ac:dyDescent="0.25">
      <c r="C34" s="10"/>
      <c r="D34" s="12" t="s">
        <v>3645</v>
      </c>
      <c r="E34" s="4">
        <v>2</v>
      </c>
      <c r="F34" s="5">
        <v>2</v>
      </c>
      <c r="G34" s="7">
        <f t="shared" si="5"/>
        <v>0</v>
      </c>
      <c r="H34" s="6">
        <f t="shared" si="4"/>
        <v>0</v>
      </c>
      <c r="I34" s="4" t="s">
        <v>1666</v>
      </c>
      <c r="J34" s="19" t="str">
        <f t="shared" si="2"/>
        <v>AI820491</v>
      </c>
      <c r="K34" s="19" t="str">
        <f t="shared" si="3"/>
        <v>R8203_Overview_Display_Translated.xaml</v>
      </c>
      <c r="L34" s="19"/>
      <c r="M34" s="16"/>
    </row>
    <row r="35" spans="3:13" x14ac:dyDescent="0.25">
      <c r="C35" s="10"/>
      <c r="D35" s="12" t="s">
        <v>3646</v>
      </c>
      <c r="E35" s="4">
        <v>2</v>
      </c>
      <c r="F35" s="5">
        <v>2</v>
      </c>
      <c r="G35" s="7">
        <f t="shared" si="5"/>
        <v>0</v>
      </c>
      <c r="H35" s="6">
        <f t="shared" si="4"/>
        <v>0</v>
      </c>
      <c r="I35" s="4" t="s">
        <v>1668</v>
      </c>
      <c r="J35" s="19" t="str">
        <f t="shared" si="2"/>
        <v>AI820523</v>
      </c>
      <c r="K35" s="19" t="str">
        <f t="shared" si="3"/>
        <v>R8203_Recycle_Pump_Graphic_Display_Translated.xaml</v>
      </c>
      <c r="L35" s="19"/>
      <c r="M35" s="16"/>
    </row>
    <row r="36" spans="3:13" hidden="1" x14ac:dyDescent="0.25">
      <c r="C36" s="10"/>
      <c r="D36" s="12" t="s">
        <v>3647</v>
      </c>
      <c r="E36" s="4">
        <v>2</v>
      </c>
      <c r="F36" s="5">
        <v>2</v>
      </c>
      <c r="G36" s="7">
        <f t="shared" si="5"/>
        <v>0</v>
      </c>
      <c r="H36" s="6">
        <f t="shared" si="4"/>
        <v>0</v>
      </c>
      <c r="I36" s="4" t="s">
        <v>1670</v>
      </c>
      <c r="J36" s="19" t="str">
        <f t="shared" si="2"/>
        <v>AI821420</v>
      </c>
      <c r="K36" s="19" t="str">
        <f t="shared" si="3"/>
        <v>Not Found</v>
      </c>
      <c r="L36" s="19"/>
      <c r="M36" s="16"/>
    </row>
    <row r="37" spans="3:13" x14ac:dyDescent="0.25">
      <c r="C37" s="10"/>
      <c r="D37" s="12" t="s">
        <v>3648</v>
      </c>
      <c r="E37" s="4">
        <v>2</v>
      </c>
      <c r="F37" s="5">
        <v>2</v>
      </c>
      <c r="G37" s="7">
        <f t="shared" si="5"/>
        <v>0</v>
      </c>
      <c r="H37" s="6">
        <f t="shared" si="4"/>
        <v>0</v>
      </c>
      <c r="I37" s="4" t="s">
        <v>1672</v>
      </c>
      <c r="J37" s="19" t="str">
        <f t="shared" si="2"/>
        <v>AI821519</v>
      </c>
      <c r="K37" s="19" t="str">
        <f t="shared" si="3"/>
        <v>KOH_FINISHING_BACK_END_Graphic_Display_Translated.xaml</v>
      </c>
      <c r="L37" s="19"/>
      <c r="M37" s="16"/>
    </row>
    <row r="38" spans="3:13" x14ac:dyDescent="0.25">
      <c r="C38" s="10"/>
      <c r="D38" s="12" t="s">
        <v>3649</v>
      </c>
      <c r="E38" s="4">
        <v>2</v>
      </c>
      <c r="F38" s="5">
        <v>2</v>
      </c>
      <c r="G38" s="7">
        <f t="shared" si="5"/>
        <v>0</v>
      </c>
      <c r="H38" s="6">
        <f t="shared" si="4"/>
        <v>0</v>
      </c>
      <c r="I38" s="4" t="s">
        <v>1672</v>
      </c>
      <c r="J38" s="19" t="str">
        <f t="shared" si="2"/>
        <v>AI821519</v>
      </c>
      <c r="K38" s="19" t="str">
        <f t="shared" si="3"/>
        <v>KOH_FINISHING_BACK_END_Graphic_Display_Translated.xaml</v>
      </c>
      <c r="L38" s="19"/>
      <c r="M38" s="16"/>
    </row>
    <row r="39" spans="3:13" x14ac:dyDescent="0.25">
      <c r="C39" s="10"/>
      <c r="D39" s="12" t="s">
        <v>3650</v>
      </c>
      <c r="E39" s="4">
        <v>2</v>
      </c>
      <c r="F39" s="5">
        <v>2</v>
      </c>
      <c r="G39" s="7">
        <f t="shared" si="5"/>
        <v>0</v>
      </c>
      <c r="H39" s="6">
        <f t="shared" si="4"/>
        <v>0</v>
      </c>
      <c r="I39" s="4" t="s">
        <v>1675</v>
      </c>
      <c r="J39" s="19" t="str">
        <f>+LEFT(D39,FIND("IO",D39,1)-1)</f>
        <v>AI830322</v>
      </c>
      <c r="K39" s="19" t="str">
        <f t="shared" si="3"/>
        <v>F___G_Graphic_Display_Translated.xaml</v>
      </c>
      <c r="L39" s="19"/>
      <c r="M39" s="16"/>
    </row>
    <row r="40" spans="3:13" x14ac:dyDescent="0.25">
      <c r="C40" s="10"/>
      <c r="D40" s="12" t="s">
        <v>3651</v>
      </c>
      <c r="E40" s="4">
        <v>2</v>
      </c>
      <c r="F40" s="5">
        <v>2</v>
      </c>
      <c r="G40" s="7">
        <f t="shared" si="5"/>
        <v>0</v>
      </c>
      <c r="H40" s="6">
        <f t="shared" si="4"/>
        <v>0</v>
      </c>
      <c r="I40" s="4" t="s">
        <v>1677</v>
      </c>
      <c r="J40" s="19" t="str">
        <f t="shared" si="2"/>
        <v>AI830323</v>
      </c>
      <c r="K40" s="19" t="str">
        <f t="shared" si="3"/>
        <v>F___G_Graphic_Display_Translated.xaml</v>
      </c>
      <c r="L40" s="19"/>
      <c r="M40" s="16"/>
    </row>
    <row r="41" spans="3:13" x14ac:dyDescent="0.25">
      <c r="C41" s="10"/>
      <c r="D41" s="12" t="s">
        <v>3652</v>
      </c>
      <c r="E41" s="4">
        <v>2</v>
      </c>
      <c r="F41" s="5">
        <v>2</v>
      </c>
      <c r="G41" s="7">
        <f t="shared" si="5"/>
        <v>0</v>
      </c>
      <c r="H41" s="6">
        <f t="shared" si="4"/>
        <v>0</v>
      </c>
      <c r="I41" s="4" t="s">
        <v>1679</v>
      </c>
      <c r="J41" s="19" t="str">
        <f t="shared" si="2"/>
        <v>AI830502</v>
      </c>
      <c r="K41" s="19" t="str">
        <f t="shared" si="3"/>
        <v>R302_Agitator_Equipment_Module_Graphic_Display_Translated.xaml</v>
      </c>
      <c r="L41" s="19"/>
      <c r="M41" s="16"/>
    </row>
    <row r="42" spans="3:13" hidden="1" x14ac:dyDescent="0.25">
      <c r="C42" s="10"/>
      <c r="D42" s="12" t="s">
        <v>3653</v>
      </c>
      <c r="E42" s="4">
        <v>2</v>
      </c>
      <c r="F42" s="5">
        <v>2</v>
      </c>
      <c r="G42" s="7">
        <f t="shared" si="5"/>
        <v>0</v>
      </c>
      <c r="H42" s="6">
        <f t="shared" si="4"/>
        <v>0</v>
      </c>
      <c r="I42" s="4" t="s">
        <v>1682</v>
      </c>
      <c r="J42" s="19" t="str">
        <f t="shared" si="2"/>
        <v>AI830618</v>
      </c>
      <c r="K42" s="19" t="str">
        <f t="shared" si="3"/>
        <v>Not Found</v>
      </c>
      <c r="L42" s="19"/>
      <c r="M42" s="16"/>
    </row>
    <row r="43" spans="3:13" hidden="1" x14ac:dyDescent="0.25">
      <c r="C43" s="10"/>
      <c r="D43" s="12" t="s">
        <v>3654</v>
      </c>
      <c r="E43" s="4">
        <v>2</v>
      </c>
      <c r="F43" s="5">
        <v>2</v>
      </c>
      <c r="G43" s="7">
        <f t="shared" si="5"/>
        <v>0</v>
      </c>
      <c r="H43" s="6">
        <f t="shared" si="4"/>
        <v>0</v>
      </c>
      <c r="I43" s="4" t="s">
        <v>1684</v>
      </c>
      <c r="J43" s="19" t="str">
        <f t="shared" si="2"/>
        <v>AI841906</v>
      </c>
      <c r="K43" s="19" t="str">
        <f t="shared" si="3"/>
        <v>Not Found</v>
      </c>
      <c r="L43" s="19"/>
      <c r="M43" s="16"/>
    </row>
    <row r="44" spans="3:13" hidden="1" x14ac:dyDescent="0.25">
      <c r="C44" s="10"/>
      <c r="D44" s="13" t="s">
        <v>3655</v>
      </c>
      <c r="E44" s="4">
        <v>2</v>
      </c>
      <c r="F44" s="5">
        <v>2</v>
      </c>
      <c r="G44" s="7">
        <f t="shared" si="5"/>
        <v>0</v>
      </c>
      <c r="H44" s="6">
        <f t="shared" si="4"/>
        <v>0</v>
      </c>
      <c r="I44" s="4" t="s">
        <v>1684</v>
      </c>
      <c r="J44" s="19" t="str">
        <f t="shared" si="2"/>
        <v>AI841906</v>
      </c>
      <c r="K44" s="19" t="str">
        <f t="shared" si="3"/>
        <v>Not Found</v>
      </c>
      <c r="L44" s="19"/>
      <c r="M44" s="16"/>
    </row>
    <row r="45" spans="3:13" x14ac:dyDescent="0.25">
      <c r="C45" s="10"/>
      <c r="D45" s="12" t="s">
        <v>3656</v>
      </c>
      <c r="E45" s="4">
        <v>2</v>
      </c>
      <c r="F45" s="5">
        <v>2</v>
      </c>
      <c r="G45" s="7">
        <f t="shared" si="5"/>
        <v>0</v>
      </c>
      <c r="H45" s="6">
        <f t="shared" si="4"/>
        <v>0</v>
      </c>
      <c r="I45" s="4" t="s">
        <v>1687</v>
      </c>
      <c r="J45" s="19" t="str">
        <f t="shared" si="2"/>
        <v>AI856016</v>
      </c>
      <c r="K45" s="19" t="str">
        <f t="shared" si="3"/>
        <v>D8520_Graphic_Display_Translated.xaml</v>
      </c>
      <c r="L45" s="19"/>
      <c r="M45" s="20"/>
    </row>
    <row r="46" spans="3:13" x14ac:dyDescent="0.25">
      <c r="C46" s="10"/>
      <c r="D46" s="13" t="s">
        <v>3657</v>
      </c>
      <c r="E46" s="4">
        <v>2</v>
      </c>
      <c r="F46" s="5">
        <v>2</v>
      </c>
      <c r="G46" s="7">
        <f t="shared" si="5"/>
        <v>0</v>
      </c>
      <c r="H46" s="6">
        <f t="shared" si="4"/>
        <v>0</v>
      </c>
      <c r="I46" s="4" t="s">
        <v>1689</v>
      </c>
      <c r="J46" s="19" t="str">
        <f t="shared" si="2"/>
        <v>AI899801</v>
      </c>
      <c r="K46" s="19" t="str">
        <f t="shared" si="3"/>
        <v>F___G_Graphic_Display_Translated.xaml</v>
      </c>
      <c r="L46" s="19"/>
      <c r="M46" s="20"/>
    </row>
    <row r="47" spans="3:13" x14ac:dyDescent="0.25">
      <c r="C47" s="10"/>
      <c r="D47" s="13" t="s">
        <v>3658</v>
      </c>
      <c r="E47" s="4">
        <v>2</v>
      </c>
      <c r="F47" s="5">
        <v>2</v>
      </c>
      <c r="G47" s="7">
        <f t="shared" si="5"/>
        <v>0</v>
      </c>
      <c r="H47" s="6">
        <f t="shared" si="4"/>
        <v>0</v>
      </c>
      <c r="I47" s="4" t="s">
        <v>1691</v>
      </c>
      <c r="J47" s="19" t="str">
        <f t="shared" si="2"/>
        <v>AI899802</v>
      </c>
      <c r="K47" s="19" t="str">
        <f t="shared" si="3"/>
        <v>F___G_Graphic_Display_Translated.xaml</v>
      </c>
      <c r="L47" s="19"/>
      <c r="M47" s="20"/>
    </row>
    <row r="48" spans="3:13" x14ac:dyDescent="0.25">
      <c r="C48" s="10"/>
      <c r="D48" s="12" t="s">
        <v>3659</v>
      </c>
      <c r="E48" s="4">
        <v>2</v>
      </c>
      <c r="F48" s="5">
        <v>2</v>
      </c>
      <c r="G48" s="7">
        <f t="shared" si="5"/>
        <v>0</v>
      </c>
      <c r="H48" s="6">
        <f t="shared" si="4"/>
        <v>0</v>
      </c>
      <c r="I48" s="4" t="s">
        <v>1693</v>
      </c>
      <c r="J48" s="19" t="str">
        <f t="shared" si="2"/>
        <v>AI899803</v>
      </c>
      <c r="K48" s="19" t="str">
        <f t="shared" si="3"/>
        <v>F___G_Graphic_Display_Translated.xaml</v>
      </c>
      <c r="L48" s="19"/>
      <c r="M48" s="20"/>
    </row>
    <row r="49" spans="3:13" x14ac:dyDescent="0.25">
      <c r="C49" s="10"/>
      <c r="D49" s="14" t="s">
        <v>3660</v>
      </c>
      <c r="E49" s="4">
        <v>2</v>
      </c>
      <c r="F49" s="5">
        <v>2</v>
      </c>
      <c r="G49" s="7">
        <f t="shared" si="5"/>
        <v>0</v>
      </c>
      <c r="H49" s="6">
        <f t="shared" si="4"/>
        <v>0</v>
      </c>
      <c r="I49" s="4" t="s">
        <v>1695</v>
      </c>
      <c r="J49" s="19" t="str">
        <f t="shared" si="2"/>
        <v>AI899804</v>
      </c>
      <c r="K49" s="19" t="str">
        <f t="shared" si="3"/>
        <v>F___G_Graphic_Display_Translated.xaml</v>
      </c>
      <c r="L49" s="21"/>
      <c r="M49" s="21"/>
    </row>
    <row r="50" spans="3:13" x14ac:dyDescent="0.25">
      <c r="C50" s="10"/>
      <c r="D50" s="14" t="s">
        <v>3661</v>
      </c>
      <c r="E50" s="4">
        <v>2</v>
      </c>
      <c r="F50" s="5">
        <v>2</v>
      </c>
      <c r="G50" s="7">
        <f t="shared" si="5"/>
        <v>0</v>
      </c>
      <c r="H50" s="6">
        <f t="shared" si="4"/>
        <v>0</v>
      </c>
      <c r="I50" s="4" t="s">
        <v>1697</v>
      </c>
      <c r="J50" s="19" t="str">
        <f t="shared" si="2"/>
        <v>AI899810</v>
      </c>
      <c r="K50" s="19" t="str">
        <f t="shared" si="3"/>
        <v>F___G_Graphic_Display_Translated.xaml</v>
      </c>
      <c r="L50" s="21"/>
      <c r="M50" s="21"/>
    </row>
    <row r="51" spans="3:13" x14ac:dyDescent="0.25">
      <c r="C51" s="10"/>
      <c r="D51" s="14" t="s">
        <v>3662</v>
      </c>
      <c r="E51" s="4">
        <v>2</v>
      </c>
      <c r="F51" s="5">
        <v>2</v>
      </c>
      <c r="G51" s="7">
        <f t="shared" si="5"/>
        <v>0</v>
      </c>
      <c r="H51" s="6">
        <f t="shared" si="4"/>
        <v>0</v>
      </c>
      <c r="I51" s="4" t="s">
        <v>1699</v>
      </c>
      <c r="J51" s="19" t="str">
        <f t="shared" si="2"/>
        <v>AI899811</v>
      </c>
      <c r="K51" s="19" t="str">
        <f t="shared" si="3"/>
        <v>F___G_Graphic_Display_Translated.xaml</v>
      </c>
      <c r="L51" s="21"/>
      <c r="M51" s="21"/>
    </row>
    <row r="52" spans="3:13" hidden="1" x14ac:dyDescent="0.25">
      <c r="C52" s="10"/>
      <c r="D52" s="14" t="s">
        <v>3663</v>
      </c>
      <c r="E52" s="4">
        <v>2</v>
      </c>
      <c r="F52" s="5">
        <v>2</v>
      </c>
      <c r="G52" s="7">
        <f t="shared" si="5"/>
        <v>0</v>
      </c>
      <c r="H52" s="6">
        <f t="shared" si="4"/>
        <v>0</v>
      </c>
      <c r="I52" s="4" t="s">
        <v>1670</v>
      </c>
      <c r="J52" s="19" t="str">
        <f t="shared" si="2"/>
        <v>AX821420A</v>
      </c>
      <c r="K52" s="19" t="str">
        <f t="shared" si="3"/>
        <v>Not Found</v>
      </c>
      <c r="L52" s="21"/>
      <c r="M52" s="21"/>
    </row>
    <row r="53" spans="3:13" hidden="1" x14ac:dyDescent="0.25">
      <c r="C53" s="10"/>
      <c r="D53" s="14" t="s">
        <v>3664</v>
      </c>
      <c r="E53" s="4">
        <v>2</v>
      </c>
      <c r="F53" s="5">
        <v>2</v>
      </c>
      <c r="G53" s="7">
        <f t="shared" si="5"/>
        <v>0</v>
      </c>
      <c r="H53" s="6">
        <f t="shared" si="4"/>
        <v>0</v>
      </c>
      <c r="I53" s="4" t="s">
        <v>1702</v>
      </c>
      <c r="J53" s="19" t="str">
        <f t="shared" si="2"/>
        <v>DI830301A_1oo2</v>
      </c>
      <c r="K53" s="19" t="str">
        <f t="shared" si="3"/>
        <v>Not Found</v>
      </c>
      <c r="L53" s="21"/>
      <c r="M53" s="21"/>
    </row>
    <row r="54" spans="3:13" hidden="1" x14ac:dyDescent="0.25">
      <c r="C54" s="10"/>
      <c r="D54" s="14" t="s">
        <v>3665</v>
      </c>
      <c r="E54" s="4">
        <v>2</v>
      </c>
      <c r="F54" s="5">
        <v>2</v>
      </c>
      <c r="G54" s="7">
        <f t="shared" si="5"/>
        <v>0</v>
      </c>
      <c r="H54" s="6">
        <f t="shared" si="4"/>
        <v>0</v>
      </c>
      <c r="I54" s="4" t="s">
        <v>1704</v>
      </c>
      <c r="J54" s="19" t="str">
        <f t="shared" si="2"/>
        <v>DI830301A_1oo2</v>
      </c>
      <c r="K54" s="19" t="str">
        <f t="shared" si="3"/>
        <v>Not Found</v>
      </c>
      <c r="L54" s="21"/>
      <c r="M54" s="21"/>
    </row>
    <row r="55" spans="3:13" hidden="1" x14ac:dyDescent="0.25">
      <c r="C55" s="10"/>
      <c r="D55" s="14" t="s">
        <v>3666</v>
      </c>
      <c r="E55" s="4">
        <v>2</v>
      </c>
      <c r="F55" s="5">
        <v>2</v>
      </c>
      <c r="G55" s="7">
        <f t="shared" si="5"/>
        <v>0</v>
      </c>
      <c r="H55" s="6">
        <f t="shared" si="4"/>
        <v>0</v>
      </c>
      <c r="I55" s="4" t="s">
        <v>1706</v>
      </c>
      <c r="J55" s="19" t="str">
        <f t="shared" si="2"/>
        <v>DI830312A_1oo2</v>
      </c>
      <c r="K55" s="19" t="str">
        <f t="shared" si="3"/>
        <v>Not Found</v>
      </c>
      <c r="L55" s="21"/>
      <c r="M55" s="21"/>
    </row>
    <row r="56" spans="3:13" hidden="1" x14ac:dyDescent="0.25">
      <c r="C56" s="10"/>
      <c r="D56" s="14" t="s">
        <v>3667</v>
      </c>
      <c r="E56" s="4">
        <v>2</v>
      </c>
      <c r="F56" s="5">
        <v>2</v>
      </c>
      <c r="G56" s="7">
        <f t="shared" si="5"/>
        <v>0</v>
      </c>
      <c r="H56" s="6">
        <f t="shared" si="4"/>
        <v>0</v>
      </c>
      <c r="I56" s="4" t="s">
        <v>1708</v>
      </c>
      <c r="J56" s="19" t="str">
        <f t="shared" si="2"/>
        <v>DI830312A_1oo2</v>
      </c>
      <c r="K56" s="19" t="str">
        <f t="shared" si="3"/>
        <v>Not Found</v>
      </c>
      <c r="L56" s="21"/>
      <c r="M56" s="21"/>
    </row>
    <row r="57" spans="3:13" hidden="1" x14ac:dyDescent="0.25">
      <c r="C57" s="10"/>
      <c r="D57" s="14" t="s">
        <v>3668</v>
      </c>
      <c r="E57" s="4">
        <v>2</v>
      </c>
      <c r="F57" s="5">
        <v>2</v>
      </c>
      <c r="G57" s="7">
        <f t="shared" si="5"/>
        <v>0</v>
      </c>
      <c r="H57" s="6">
        <f t="shared" si="4"/>
        <v>0</v>
      </c>
      <c r="I57" s="4" t="s">
        <v>1710</v>
      </c>
      <c r="J57" s="19" t="str">
        <f t="shared" si="2"/>
        <v>DI830401A</v>
      </c>
      <c r="K57" s="19" t="str">
        <f t="shared" si="3"/>
        <v>Not Found</v>
      </c>
      <c r="L57" s="21"/>
      <c r="M57" s="21"/>
    </row>
    <row r="58" spans="3:13" hidden="1" x14ac:dyDescent="0.25">
      <c r="C58" s="10"/>
      <c r="D58" s="14" t="s">
        <v>3669</v>
      </c>
      <c r="E58" s="4">
        <v>2</v>
      </c>
      <c r="F58" s="5">
        <v>2</v>
      </c>
      <c r="G58" s="7">
        <f t="shared" si="5"/>
        <v>0</v>
      </c>
      <c r="H58" s="6">
        <f t="shared" si="4"/>
        <v>0</v>
      </c>
      <c r="I58" s="4" t="s">
        <v>1712</v>
      </c>
      <c r="J58" s="19" t="str">
        <f t="shared" si="2"/>
        <v>DI830401B</v>
      </c>
      <c r="K58" s="19" t="str">
        <f t="shared" si="3"/>
        <v>Not Found</v>
      </c>
      <c r="L58" s="21"/>
      <c r="M58" s="21"/>
    </row>
    <row r="59" spans="3:13" ht="15" hidden="1" customHeight="1" x14ac:dyDescent="0.25">
      <c r="C59" s="10"/>
      <c r="D59" s="14" t="s">
        <v>3670</v>
      </c>
      <c r="E59" s="4">
        <v>2</v>
      </c>
      <c r="F59" s="5">
        <v>2</v>
      </c>
      <c r="G59" s="7">
        <f t="shared" si="5"/>
        <v>0</v>
      </c>
      <c r="H59" s="6">
        <f t="shared" si="4"/>
        <v>0</v>
      </c>
      <c r="I59" s="4" t="s">
        <v>1714</v>
      </c>
      <c r="J59" s="19" t="str">
        <f t="shared" si="2"/>
        <v>DI830402A</v>
      </c>
      <c r="K59" s="19" t="str">
        <f t="shared" si="3"/>
        <v>Not Found</v>
      </c>
      <c r="L59" s="17"/>
      <c r="M59" s="18"/>
    </row>
    <row r="60" spans="3:13" hidden="1" x14ac:dyDescent="0.25">
      <c r="C60" s="10"/>
      <c r="D60" s="14" t="s">
        <v>3671</v>
      </c>
      <c r="E60" s="4">
        <v>2</v>
      </c>
      <c r="F60" s="5">
        <v>2</v>
      </c>
      <c r="G60" s="7">
        <f t="shared" si="5"/>
        <v>0</v>
      </c>
      <c r="H60" s="6">
        <f t="shared" si="4"/>
        <v>0</v>
      </c>
      <c r="I60" s="4" t="s">
        <v>1716</v>
      </c>
      <c r="J60" s="19" t="str">
        <f t="shared" si="2"/>
        <v>DI830402B</v>
      </c>
      <c r="K60" s="19" t="str">
        <f t="shared" si="3"/>
        <v>Not Found</v>
      </c>
      <c r="L60" s="17"/>
      <c r="M60" s="18"/>
    </row>
    <row r="61" spans="3:13" hidden="1" x14ac:dyDescent="0.25">
      <c r="C61" s="10"/>
      <c r="D61" s="14" t="s">
        <v>3672</v>
      </c>
      <c r="E61" s="4">
        <v>2</v>
      </c>
      <c r="F61" s="5">
        <v>2</v>
      </c>
      <c r="G61" s="7">
        <f t="shared" si="5"/>
        <v>0</v>
      </c>
      <c r="H61" s="6">
        <f t="shared" si="4"/>
        <v>0</v>
      </c>
      <c r="I61" s="4" t="s">
        <v>1718</v>
      </c>
      <c r="J61" s="19" t="str">
        <f t="shared" si="2"/>
        <v>DI830416A_1oo2</v>
      </c>
      <c r="K61" s="19" t="str">
        <f t="shared" si="3"/>
        <v>Not Found</v>
      </c>
      <c r="L61" s="17"/>
      <c r="M61" s="18"/>
    </row>
    <row r="62" spans="3:13" hidden="1" x14ac:dyDescent="0.25">
      <c r="C62" s="10"/>
      <c r="D62" s="14" t="s">
        <v>3673</v>
      </c>
      <c r="E62" s="4">
        <v>2</v>
      </c>
      <c r="F62" s="5">
        <v>2</v>
      </c>
      <c r="G62" s="7">
        <f t="shared" si="5"/>
        <v>0</v>
      </c>
      <c r="H62" s="6">
        <f t="shared" si="4"/>
        <v>0</v>
      </c>
      <c r="I62" s="4" t="s">
        <v>1720</v>
      </c>
      <c r="J62" s="19" t="str">
        <f t="shared" si="2"/>
        <v>DI830416A_1oo2</v>
      </c>
      <c r="K62" s="19" t="str">
        <f t="shared" si="3"/>
        <v>Not Found</v>
      </c>
      <c r="L62" s="17"/>
      <c r="M62" s="18"/>
    </row>
    <row r="63" spans="3:13" hidden="1" x14ac:dyDescent="0.25">
      <c r="C63" s="10"/>
      <c r="D63" s="14" t="s">
        <v>3674</v>
      </c>
      <c r="E63" s="4">
        <v>2</v>
      </c>
      <c r="F63" s="5">
        <v>2</v>
      </c>
      <c r="G63" s="7">
        <f t="shared" si="5"/>
        <v>0</v>
      </c>
      <c r="H63" s="6">
        <f t="shared" si="4"/>
        <v>0</v>
      </c>
      <c r="I63" s="4" t="s">
        <v>1722</v>
      </c>
      <c r="J63" s="19" t="str">
        <f t="shared" si="2"/>
        <v>EI897989</v>
      </c>
      <c r="K63" s="19" t="str">
        <f t="shared" si="3"/>
        <v>Not Found</v>
      </c>
      <c r="L63" s="17"/>
      <c r="M63" s="18"/>
    </row>
    <row r="64" spans="3:13" hidden="1" x14ac:dyDescent="0.25">
      <c r="C64" s="10"/>
      <c r="D64" s="14" t="s">
        <v>3675</v>
      </c>
      <c r="E64" s="4">
        <v>2</v>
      </c>
      <c r="F64" s="5">
        <v>2</v>
      </c>
      <c r="G64" s="7">
        <f t="shared" si="5"/>
        <v>0</v>
      </c>
      <c r="H64" s="6">
        <f t="shared" si="4"/>
        <v>0</v>
      </c>
      <c r="I64" s="4" t="s">
        <v>1724</v>
      </c>
      <c r="J64" s="19" t="str">
        <f t="shared" si="2"/>
        <v>EI897990</v>
      </c>
      <c r="K64" s="19" t="str">
        <f t="shared" si="3"/>
        <v>Not Found</v>
      </c>
      <c r="L64" s="17"/>
      <c r="M64" s="18"/>
    </row>
    <row r="65" spans="3:13" hidden="1" x14ac:dyDescent="0.25">
      <c r="C65" s="10"/>
      <c r="D65" s="14" t="s">
        <v>3676</v>
      </c>
      <c r="E65" s="4">
        <v>2</v>
      </c>
      <c r="F65" s="5">
        <v>2</v>
      </c>
      <c r="G65" s="7">
        <f t="shared" si="5"/>
        <v>0</v>
      </c>
      <c r="H65" s="6">
        <f t="shared" si="4"/>
        <v>0</v>
      </c>
      <c r="I65" s="4" t="s">
        <v>1726</v>
      </c>
      <c r="J65" s="19" t="str">
        <f t="shared" si="2"/>
        <v>EI897993</v>
      </c>
      <c r="K65" s="19" t="str">
        <f t="shared" si="3"/>
        <v>Not Found</v>
      </c>
      <c r="L65" s="17"/>
      <c r="M65" s="18"/>
    </row>
    <row r="66" spans="3:13" hidden="1" x14ac:dyDescent="0.25">
      <c r="C66" s="10"/>
      <c r="D66" s="14" t="s">
        <v>3677</v>
      </c>
      <c r="E66" s="4">
        <v>2</v>
      </c>
      <c r="F66" s="5">
        <v>2</v>
      </c>
      <c r="G66" s="7">
        <f t="shared" si="5"/>
        <v>0</v>
      </c>
      <c r="H66" s="6">
        <f t="shared" si="4"/>
        <v>0</v>
      </c>
      <c r="I66" s="4" t="s">
        <v>1728</v>
      </c>
      <c r="J66" s="19" t="str">
        <f t="shared" si="2"/>
        <v>EI897994</v>
      </c>
      <c r="K66" s="19" t="str">
        <f t="shared" si="3"/>
        <v>Not Found</v>
      </c>
      <c r="L66" s="17"/>
      <c r="M66" s="18"/>
    </row>
    <row r="67" spans="3:13" x14ac:dyDescent="0.25">
      <c r="C67" s="10"/>
      <c r="D67" s="14" t="s">
        <v>3678</v>
      </c>
      <c r="E67" s="4">
        <v>2</v>
      </c>
      <c r="F67" s="5">
        <v>2</v>
      </c>
      <c r="G67" s="7">
        <f t="shared" si="5"/>
        <v>0</v>
      </c>
      <c r="H67" s="6">
        <f t="shared" si="4"/>
        <v>0</v>
      </c>
      <c r="I67" s="4" t="s">
        <v>1730</v>
      </c>
      <c r="J67" s="19" t="str">
        <f t="shared" si="2"/>
        <v>FI841103</v>
      </c>
      <c r="K67" s="19" t="str">
        <f t="shared" si="3"/>
        <v>Util380_3_Graphic_Display_Translated.xaml</v>
      </c>
      <c r="L67" s="17"/>
      <c r="M67" s="18"/>
    </row>
    <row r="68" spans="3:13" x14ac:dyDescent="0.25">
      <c r="C68" s="10"/>
      <c r="D68" s="14" t="s">
        <v>3679</v>
      </c>
      <c r="E68" s="4">
        <v>2</v>
      </c>
      <c r="F68" s="5">
        <v>2</v>
      </c>
      <c r="G68" s="7">
        <f t="shared" si="5"/>
        <v>0</v>
      </c>
      <c r="H68" s="6">
        <f t="shared" si="4"/>
        <v>0</v>
      </c>
      <c r="I68" s="4" t="s">
        <v>1732</v>
      </c>
      <c r="J68" s="19" t="str">
        <f t="shared" si="2"/>
        <v>FI843101</v>
      </c>
      <c r="K68" s="19" t="str">
        <f t="shared" si="3"/>
        <v>Util380_3_Graphic_Display_Translated.xaml</v>
      </c>
      <c r="L68" s="17"/>
      <c r="M68" s="18"/>
    </row>
    <row r="69" spans="3:13" x14ac:dyDescent="0.25">
      <c r="C69" s="10"/>
      <c r="D69" s="14" t="s">
        <v>3680</v>
      </c>
      <c r="E69" s="4">
        <v>2</v>
      </c>
      <c r="F69" s="5">
        <v>2</v>
      </c>
      <c r="G69" s="7">
        <f t="shared" si="5"/>
        <v>0</v>
      </c>
      <c r="H69" s="6">
        <f t="shared" si="4"/>
        <v>0</v>
      </c>
      <c r="I69" s="4" t="s">
        <v>1734</v>
      </c>
      <c r="J69" s="19" t="str">
        <f t="shared" si="2"/>
        <v>FI843301</v>
      </c>
      <c r="K69" s="19" t="str">
        <f t="shared" si="3"/>
        <v>Util380_3_Graphic_Display_Translated.xaml</v>
      </c>
      <c r="L69" s="17"/>
      <c r="M69" s="18"/>
    </row>
    <row r="70" spans="3:13" x14ac:dyDescent="0.25">
      <c r="C70" s="10"/>
      <c r="D70" s="14" t="s">
        <v>3681</v>
      </c>
      <c r="E70" s="4">
        <v>2</v>
      </c>
      <c r="F70" s="5">
        <v>2</v>
      </c>
      <c r="G70" s="7">
        <f t="shared" si="5"/>
        <v>0</v>
      </c>
      <c r="H70" s="6">
        <f t="shared" si="4"/>
        <v>0</v>
      </c>
      <c r="I70" s="4" t="s">
        <v>1736</v>
      </c>
      <c r="J70" s="19" t="str">
        <f t="shared" si="2"/>
        <v>FI843401</v>
      </c>
      <c r="K70" s="19" t="str">
        <f t="shared" si="3"/>
        <v>Util380_3_Graphic_Display_Translated.xaml</v>
      </c>
      <c r="L70" s="17"/>
      <c r="M70" s="18"/>
    </row>
    <row r="71" spans="3:13" x14ac:dyDescent="0.25">
      <c r="C71" s="10"/>
      <c r="D71" s="14" t="s">
        <v>3682</v>
      </c>
      <c r="E71" s="4">
        <v>2</v>
      </c>
      <c r="F71" s="5">
        <v>2</v>
      </c>
      <c r="G71" s="7">
        <f t="shared" si="5"/>
        <v>0</v>
      </c>
      <c r="H71" s="6">
        <f t="shared" si="4"/>
        <v>0</v>
      </c>
      <c r="I71" s="4" t="s">
        <v>1738</v>
      </c>
      <c r="J71" s="19" t="str">
        <f t="shared" si="2"/>
        <v>FI843501</v>
      </c>
      <c r="K71" s="19" t="str">
        <f t="shared" si="3"/>
        <v>Util380_3_Graphic_Display_Translated.xaml</v>
      </c>
      <c r="L71" s="17"/>
      <c r="M71" s="18"/>
    </row>
    <row r="72" spans="3:13" x14ac:dyDescent="0.25">
      <c r="C72" s="10"/>
      <c r="D72" s="14" t="s">
        <v>3683</v>
      </c>
      <c r="E72" s="4">
        <v>2</v>
      </c>
      <c r="F72" s="5">
        <v>2</v>
      </c>
      <c r="G72" s="7">
        <f t="shared" si="5"/>
        <v>0</v>
      </c>
      <c r="H72" s="6">
        <f t="shared" si="4"/>
        <v>0</v>
      </c>
      <c r="I72" s="4" t="s">
        <v>1740</v>
      </c>
      <c r="J72" s="19" t="str">
        <f t="shared" ref="J72:J135" si="6">+LEFT(D72,FIND("IO",D72,1)-1)</f>
        <v>FI845001</v>
      </c>
      <c r="K72" s="19" t="str">
        <f t="shared" ref="K72:K135" si="7">+findinfile($J$3,$J72,"Name")</f>
        <v>Util380_1_Graphic_Display_Translated.xaml</v>
      </c>
      <c r="L72" s="17"/>
      <c r="M72" s="18"/>
    </row>
    <row r="73" spans="3:13" x14ac:dyDescent="0.25">
      <c r="C73" s="10"/>
      <c r="D73" s="14" t="s">
        <v>3684</v>
      </c>
      <c r="E73" s="4">
        <v>2</v>
      </c>
      <c r="F73" s="5">
        <v>2</v>
      </c>
      <c r="G73" s="7">
        <f t="shared" si="5"/>
        <v>0</v>
      </c>
      <c r="H73" s="6">
        <f t="shared" si="4"/>
        <v>0</v>
      </c>
      <c r="I73" s="4" t="s">
        <v>1742</v>
      </c>
      <c r="J73" s="19" t="str">
        <f t="shared" si="6"/>
        <v>FI846501</v>
      </c>
      <c r="K73" s="19" t="str">
        <f t="shared" si="7"/>
        <v>Util380_1_Graphic_Display_Translated.xaml</v>
      </c>
      <c r="L73" s="17"/>
      <c r="M73" s="18"/>
    </row>
    <row r="74" spans="3:13" x14ac:dyDescent="0.25">
      <c r="C74" s="10"/>
      <c r="D74" s="14" t="s">
        <v>3685</v>
      </c>
      <c r="E74" s="4">
        <v>2</v>
      </c>
      <c r="F74" s="5">
        <v>2</v>
      </c>
      <c r="G74" s="7">
        <f t="shared" si="5"/>
        <v>0</v>
      </c>
      <c r="H74" s="6">
        <f t="shared" si="4"/>
        <v>0</v>
      </c>
      <c r="I74" s="4" t="s">
        <v>1744</v>
      </c>
      <c r="J74" s="19" t="str">
        <f t="shared" si="6"/>
        <v>FI846601</v>
      </c>
      <c r="K74" s="19" t="str">
        <f t="shared" si="7"/>
        <v>Util380_1_Graphic_Display_Translated.xaml</v>
      </c>
      <c r="L74" s="17"/>
      <c r="M74" s="18"/>
    </row>
    <row r="75" spans="3:13" x14ac:dyDescent="0.25">
      <c r="C75" s="10"/>
      <c r="D75" s="14" t="s">
        <v>3686</v>
      </c>
      <c r="E75" s="4">
        <v>2</v>
      </c>
      <c r="F75" s="5">
        <v>2</v>
      </c>
      <c r="G75" s="7">
        <f t="shared" si="5"/>
        <v>0</v>
      </c>
      <c r="H75" s="6">
        <f t="shared" si="4"/>
        <v>0</v>
      </c>
      <c r="I75" s="4" t="s">
        <v>1746</v>
      </c>
      <c r="J75" s="19" t="str">
        <f t="shared" si="6"/>
        <v>II897987</v>
      </c>
      <c r="K75" s="19" t="str">
        <f t="shared" si="7"/>
        <v>MCC380_Graphic_Display_Translated.xaml</v>
      </c>
      <c r="L75" s="17"/>
      <c r="M75" s="18"/>
    </row>
    <row r="76" spans="3:13" x14ac:dyDescent="0.25">
      <c r="C76" s="10"/>
      <c r="D76" s="14" t="s">
        <v>3687</v>
      </c>
      <c r="E76" s="4">
        <v>2</v>
      </c>
      <c r="F76" s="5">
        <v>2</v>
      </c>
      <c r="G76" s="7">
        <f t="shared" si="5"/>
        <v>0</v>
      </c>
      <c r="H76" s="6">
        <f t="shared" si="4"/>
        <v>0</v>
      </c>
      <c r="I76" s="4" t="s">
        <v>1748</v>
      </c>
      <c r="J76" s="19" t="str">
        <f t="shared" si="6"/>
        <v>II897988</v>
      </c>
      <c r="K76" s="19" t="str">
        <f t="shared" si="7"/>
        <v>MCC380_Graphic_Display_Translated.xaml</v>
      </c>
      <c r="L76" s="17"/>
      <c r="M76" s="18"/>
    </row>
    <row r="77" spans="3:13" x14ac:dyDescent="0.25">
      <c r="C77" s="10"/>
      <c r="D77" s="14" t="s">
        <v>3688</v>
      </c>
      <c r="E77" s="4">
        <v>2</v>
      </c>
      <c r="F77" s="5">
        <v>2</v>
      </c>
      <c r="G77" s="7">
        <f t="shared" si="5"/>
        <v>0</v>
      </c>
      <c r="H77" s="6">
        <f t="shared" si="4"/>
        <v>0</v>
      </c>
      <c r="I77" s="4" t="s">
        <v>1750</v>
      </c>
      <c r="J77" s="19" t="str">
        <f t="shared" si="6"/>
        <v>II897991</v>
      </c>
      <c r="K77" s="19" t="str">
        <f t="shared" si="7"/>
        <v>MCC380_Graphic_Display_Translated.xaml</v>
      </c>
      <c r="L77" s="17"/>
      <c r="M77" s="18"/>
    </row>
    <row r="78" spans="3:13" x14ac:dyDescent="0.25">
      <c r="C78" s="10"/>
      <c r="D78" s="14" t="s">
        <v>3689</v>
      </c>
      <c r="E78" s="4">
        <v>2</v>
      </c>
      <c r="F78" s="5">
        <v>2</v>
      </c>
      <c r="G78" s="7">
        <f t="shared" si="5"/>
        <v>0</v>
      </c>
      <c r="H78" s="6">
        <f t="shared" si="4"/>
        <v>0</v>
      </c>
      <c r="I78" s="4" t="s">
        <v>1752</v>
      </c>
      <c r="J78" s="19" t="str">
        <f t="shared" si="6"/>
        <v>II897992</v>
      </c>
      <c r="K78" s="19" t="str">
        <f t="shared" si="7"/>
        <v>MCC380_Graphic_Display_Translated.xaml</v>
      </c>
      <c r="L78" s="17"/>
      <c r="M78" s="18"/>
    </row>
    <row r="79" spans="3:13" x14ac:dyDescent="0.25">
      <c r="C79" s="10"/>
      <c r="D79" s="14" t="s">
        <v>3690</v>
      </c>
      <c r="E79" s="4">
        <v>2</v>
      </c>
      <c r="F79" s="5">
        <v>2</v>
      </c>
      <c r="G79" s="7">
        <f t="shared" si="5"/>
        <v>0</v>
      </c>
      <c r="H79" s="6">
        <f t="shared" si="4"/>
        <v>0</v>
      </c>
      <c r="I79" s="4" t="s">
        <v>1754</v>
      </c>
      <c r="J79" s="19" t="str">
        <f t="shared" si="6"/>
        <v>LAH803015</v>
      </c>
      <c r="K79" s="19" t="str">
        <f t="shared" si="7"/>
        <v>V8020_Overview_Display_Translated.xaml</v>
      </c>
      <c r="L79" s="17"/>
      <c r="M79" s="18"/>
    </row>
    <row r="80" spans="3:13" x14ac:dyDescent="0.25">
      <c r="C80" s="10"/>
      <c r="D80" s="14" t="s">
        <v>3691</v>
      </c>
      <c r="E80" s="4">
        <v>2</v>
      </c>
      <c r="F80" s="5">
        <v>2</v>
      </c>
      <c r="G80" s="7">
        <f t="shared" si="5"/>
        <v>0</v>
      </c>
      <c r="H80" s="6">
        <f t="shared" si="4"/>
        <v>0</v>
      </c>
      <c r="I80" s="4" t="s">
        <v>1756</v>
      </c>
      <c r="J80" s="19" t="str">
        <f t="shared" si="6"/>
        <v>LAH803116</v>
      </c>
      <c r="K80" s="19" t="str">
        <f t="shared" si="7"/>
        <v>V8030_Overview_Display_Translated.xaml</v>
      </c>
      <c r="L80" s="17"/>
      <c r="M80" s="18"/>
    </row>
    <row r="81" spans="3:13" x14ac:dyDescent="0.25">
      <c r="C81" s="10"/>
      <c r="D81" s="14" t="s">
        <v>3692</v>
      </c>
      <c r="E81" s="4">
        <v>2</v>
      </c>
      <c r="F81" s="5">
        <v>2</v>
      </c>
      <c r="G81" s="7">
        <f t="shared" si="5"/>
        <v>0</v>
      </c>
      <c r="H81" s="6">
        <f t="shared" si="4"/>
        <v>0</v>
      </c>
      <c r="I81" s="4" t="s">
        <v>1758</v>
      </c>
      <c r="J81" s="19" t="str">
        <f t="shared" si="6"/>
        <v>LAH803215</v>
      </c>
      <c r="K81" s="19" t="str">
        <f t="shared" si="7"/>
        <v>V8040_Overview_Display_Translated.xaml</v>
      </c>
      <c r="L81" s="17"/>
      <c r="M81" s="18"/>
    </row>
    <row r="82" spans="3:13" x14ac:dyDescent="0.25">
      <c r="C82" s="10"/>
      <c r="D82" s="14" t="s">
        <v>3693</v>
      </c>
      <c r="E82" s="4">
        <v>2</v>
      </c>
      <c r="F82" s="5">
        <v>2</v>
      </c>
      <c r="G82" s="7">
        <f t="shared" si="5"/>
        <v>0</v>
      </c>
      <c r="H82" s="6">
        <f t="shared" si="4"/>
        <v>0</v>
      </c>
      <c r="I82" s="4" t="s">
        <v>1760</v>
      </c>
      <c r="J82" s="19" t="str">
        <f t="shared" si="6"/>
        <v>LAH821523</v>
      </c>
      <c r="K82" s="19" t="str">
        <f t="shared" si="7"/>
        <v>D8213_Overview_Display_Translated.xaml</v>
      </c>
      <c r="L82" s="17"/>
      <c r="M82" s="18"/>
    </row>
    <row r="83" spans="3:13" x14ac:dyDescent="0.25">
      <c r="C83" s="10"/>
      <c r="D83" s="14" t="s">
        <v>3694</v>
      </c>
      <c r="E83" s="4">
        <v>2</v>
      </c>
      <c r="F83" s="5">
        <v>2</v>
      </c>
      <c r="G83" s="7">
        <f t="shared" si="5"/>
        <v>0</v>
      </c>
      <c r="H83" s="6">
        <f t="shared" si="4"/>
        <v>0</v>
      </c>
      <c r="I83" s="4" t="s">
        <v>1762</v>
      </c>
      <c r="J83" s="19" t="str">
        <f t="shared" si="6"/>
        <v>LAH832405</v>
      </c>
      <c r="K83" s="19" t="str">
        <f t="shared" si="7"/>
        <v>P8324_Overview_Display_Translated.xaml</v>
      </c>
      <c r="L83" s="17"/>
      <c r="M83" s="18"/>
    </row>
    <row r="84" spans="3:13" x14ac:dyDescent="0.25">
      <c r="C84" s="10"/>
      <c r="D84" s="14" t="s">
        <v>3695</v>
      </c>
      <c r="E84" s="4">
        <v>2</v>
      </c>
      <c r="F84" s="5">
        <v>2</v>
      </c>
      <c r="G84" s="7">
        <f t="shared" si="5"/>
        <v>0</v>
      </c>
      <c r="H84" s="6">
        <f t="shared" si="4"/>
        <v>0</v>
      </c>
      <c r="I84" s="4" t="s">
        <v>1764</v>
      </c>
      <c r="J84" s="19" t="str">
        <f t="shared" si="6"/>
        <v>LAH832505</v>
      </c>
      <c r="K84" s="19" t="str">
        <f t="shared" si="7"/>
        <v>P8324_Overview_Display_Translated.xaml</v>
      </c>
      <c r="L84" s="17"/>
      <c r="M84" s="18"/>
    </row>
    <row r="85" spans="3:13" x14ac:dyDescent="0.25">
      <c r="C85" s="10"/>
      <c r="D85" s="14" t="s">
        <v>3696</v>
      </c>
      <c r="E85" s="4">
        <v>2</v>
      </c>
      <c r="F85" s="5">
        <v>2</v>
      </c>
      <c r="G85" s="7">
        <f t="shared" si="5"/>
        <v>0</v>
      </c>
      <c r="H85" s="6">
        <f t="shared" si="4"/>
        <v>0</v>
      </c>
      <c r="I85" s="4" t="s">
        <v>1766</v>
      </c>
      <c r="J85" s="19" t="str">
        <f t="shared" si="6"/>
        <v>LAH896207</v>
      </c>
      <c r="K85" s="19" t="str">
        <f t="shared" si="7"/>
        <v>Util380_3_Graphic_Display_Translated.xaml</v>
      </c>
      <c r="L85" s="17"/>
      <c r="M85" s="18"/>
    </row>
    <row r="86" spans="3:13" x14ac:dyDescent="0.25">
      <c r="C86" s="10"/>
      <c r="D86" s="14" t="s">
        <v>3697</v>
      </c>
      <c r="E86" s="4">
        <v>2</v>
      </c>
      <c r="F86" s="5">
        <v>2</v>
      </c>
      <c r="G86" s="7">
        <f t="shared" si="5"/>
        <v>0</v>
      </c>
      <c r="H86" s="6">
        <f t="shared" si="4"/>
        <v>0</v>
      </c>
      <c r="I86" s="4" t="s">
        <v>1768</v>
      </c>
      <c r="J86" s="19" t="str">
        <f t="shared" si="6"/>
        <v>LAH896208</v>
      </c>
      <c r="K86" s="19" t="str">
        <f t="shared" si="7"/>
        <v>Util380_3_Graphic_Display_Translated.xaml</v>
      </c>
      <c r="L86" s="17"/>
      <c r="M86" s="18"/>
    </row>
    <row r="87" spans="3:13" hidden="1" x14ac:dyDescent="0.25">
      <c r="C87" s="10"/>
      <c r="D87" s="14" t="s">
        <v>3698</v>
      </c>
      <c r="E87" s="4">
        <v>2</v>
      </c>
      <c r="F87" s="5">
        <v>2</v>
      </c>
      <c r="G87" s="7">
        <f t="shared" si="5"/>
        <v>0</v>
      </c>
      <c r="H87" s="6">
        <f t="shared" si="4"/>
        <v>0</v>
      </c>
      <c r="I87" s="4" t="s">
        <v>1770</v>
      </c>
      <c r="J87" s="19" t="str">
        <f t="shared" si="6"/>
        <v>LAL813118</v>
      </c>
      <c r="K87" s="19" t="str">
        <f t="shared" si="7"/>
        <v>Not Found</v>
      </c>
      <c r="L87" s="17"/>
      <c r="M87" s="18"/>
    </row>
    <row r="88" spans="3:13" x14ac:dyDescent="0.25">
      <c r="C88" s="10"/>
      <c r="D88" s="14" t="s">
        <v>3699</v>
      </c>
      <c r="E88" s="4">
        <v>2</v>
      </c>
      <c r="F88" s="5">
        <v>2</v>
      </c>
      <c r="G88" s="7">
        <f t="shared" si="5"/>
        <v>0</v>
      </c>
      <c r="H88" s="6">
        <f t="shared" si="4"/>
        <v>0</v>
      </c>
      <c r="I88" s="4" t="s">
        <v>1772</v>
      </c>
      <c r="J88" s="19" t="str">
        <f t="shared" si="6"/>
        <v>LI807029</v>
      </c>
      <c r="K88" s="19" t="str">
        <f t="shared" si="7"/>
        <v>D8070_Overview_Display_Translated.xaml</v>
      </c>
      <c r="L88" s="17"/>
      <c r="M88" s="18"/>
    </row>
    <row r="89" spans="3:13" x14ac:dyDescent="0.25">
      <c r="C89" s="10"/>
      <c r="D89" s="14" t="s">
        <v>3700</v>
      </c>
      <c r="E89" s="4">
        <v>2</v>
      </c>
      <c r="F89" s="5">
        <v>2</v>
      </c>
      <c r="G89" s="7">
        <f t="shared" si="5"/>
        <v>0</v>
      </c>
      <c r="H89" s="6">
        <f t="shared" si="4"/>
        <v>0</v>
      </c>
      <c r="I89" s="4" t="s">
        <v>1774</v>
      </c>
      <c r="J89" s="19" t="str">
        <f t="shared" si="6"/>
        <v>LI808120</v>
      </c>
      <c r="K89" s="19" t="str">
        <f t="shared" si="7"/>
        <v>D8071_Overview_Display_Translated.xaml</v>
      </c>
      <c r="L89" s="17"/>
      <c r="M89" s="18"/>
    </row>
    <row r="90" spans="3:13" x14ac:dyDescent="0.25">
      <c r="C90" s="10"/>
      <c r="D90" s="14" t="s">
        <v>3701</v>
      </c>
      <c r="E90" s="4">
        <v>2</v>
      </c>
      <c r="F90" s="5">
        <v>2</v>
      </c>
      <c r="G90" s="7">
        <f t="shared" si="5"/>
        <v>0</v>
      </c>
      <c r="H90" s="6">
        <f t="shared" si="4"/>
        <v>0</v>
      </c>
      <c r="I90" s="4" t="s">
        <v>1776</v>
      </c>
      <c r="J90" s="19" t="str">
        <f t="shared" si="6"/>
        <v>LI810531</v>
      </c>
      <c r="K90" s="19" t="str">
        <f t="shared" si="7"/>
        <v>R8103_Recycle_Pump_Graphic_Display_Translated.xaml</v>
      </c>
      <c r="L90" s="17"/>
      <c r="M90" s="18"/>
    </row>
    <row r="91" spans="3:13" hidden="1" x14ac:dyDescent="0.25">
      <c r="C91" s="10"/>
      <c r="D91" s="14" t="s">
        <v>3702</v>
      </c>
      <c r="E91" s="4">
        <v>2</v>
      </c>
      <c r="F91" s="5">
        <v>2</v>
      </c>
      <c r="G91" s="7">
        <f t="shared" si="5"/>
        <v>0</v>
      </c>
      <c r="H91" s="6">
        <f t="shared" si="4"/>
        <v>0</v>
      </c>
      <c r="I91" s="4" t="s">
        <v>1778</v>
      </c>
      <c r="J91" s="19" t="str">
        <f t="shared" si="6"/>
        <v>LI810734</v>
      </c>
      <c r="K91" s="19" t="str">
        <f t="shared" si="7"/>
        <v>Not Found</v>
      </c>
      <c r="L91" s="17"/>
      <c r="M91" s="18"/>
    </row>
    <row r="92" spans="3:13" x14ac:dyDescent="0.25">
      <c r="C92" s="10"/>
      <c r="D92" s="14" t="s">
        <v>3703</v>
      </c>
      <c r="E92" s="4">
        <v>2</v>
      </c>
      <c r="F92" s="5">
        <v>2</v>
      </c>
      <c r="G92" s="7">
        <f t="shared" si="5"/>
        <v>0</v>
      </c>
      <c r="H92" s="6">
        <f t="shared" ref="H92:H155" si="8">IF(F92&lt;&gt;0,(E92-F92)/F92,"")</f>
        <v>0</v>
      </c>
      <c r="I92" s="4" t="s">
        <v>1780</v>
      </c>
      <c r="J92" s="19" t="str">
        <f t="shared" si="6"/>
        <v>LI811017</v>
      </c>
      <c r="K92" s="19" t="str">
        <f t="shared" si="7"/>
        <v>V8120_Overview_Display_Translated.xaml</v>
      </c>
      <c r="L92" s="17"/>
      <c r="M92" s="18"/>
    </row>
    <row r="93" spans="3:13" x14ac:dyDescent="0.25">
      <c r="C93" s="10"/>
      <c r="D93" s="14" t="s">
        <v>3704</v>
      </c>
      <c r="E93" s="4">
        <v>2</v>
      </c>
      <c r="F93" s="5">
        <v>2</v>
      </c>
      <c r="G93" s="7">
        <f t="shared" si="5"/>
        <v>0</v>
      </c>
      <c r="H93" s="6">
        <f t="shared" si="8"/>
        <v>0</v>
      </c>
      <c r="I93" s="4" t="s">
        <v>1782</v>
      </c>
      <c r="J93" s="19" t="str">
        <f t="shared" si="6"/>
        <v>LI820531</v>
      </c>
      <c r="K93" s="19" t="str">
        <f t="shared" si="7"/>
        <v>R8203_Recycle_Pump_Graphic_Display_Translated.xaml</v>
      </c>
      <c r="L93" s="17"/>
      <c r="M93" s="18"/>
    </row>
    <row r="94" spans="3:13" hidden="1" x14ac:dyDescent="0.25">
      <c r="C94" s="10"/>
      <c r="D94" s="14" t="s">
        <v>3705</v>
      </c>
      <c r="E94" s="4">
        <v>2</v>
      </c>
      <c r="F94" s="5">
        <v>2</v>
      </c>
      <c r="G94" s="7">
        <f t="shared" ref="G94:G157" si="9">(E94-F94)</f>
        <v>0</v>
      </c>
      <c r="H94" s="6">
        <f t="shared" si="8"/>
        <v>0</v>
      </c>
      <c r="I94" s="4" t="s">
        <v>1784</v>
      </c>
      <c r="J94" s="19" t="str">
        <f t="shared" si="6"/>
        <v>LI820734</v>
      </c>
      <c r="K94" s="19" t="str">
        <f t="shared" si="7"/>
        <v>Not Found</v>
      </c>
      <c r="L94" s="17"/>
      <c r="M94" s="18"/>
    </row>
    <row r="95" spans="3:13" x14ac:dyDescent="0.25">
      <c r="C95" s="10"/>
      <c r="D95" s="14" t="s">
        <v>3706</v>
      </c>
      <c r="E95" s="4">
        <v>2</v>
      </c>
      <c r="F95" s="5">
        <v>2</v>
      </c>
      <c r="G95" s="7">
        <f t="shared" si="9"/>
        <v>0</v>
      </c>
      <c r="H95" s="6">
        <f t="shared" si="8"/>
        <v>0</v>
      </c>
      <c r="I95" s="4" t="s">
        <v>1786</v>
      </c>
      <c r="J95" s="19" t="str">
        <f t="shared" si="6"/>
        <v>LI820817</v>
      </c>
      <c r="K95" s="19" t="str">
        <f t="shared" si="7"/>
        <v>D8207_Overview_Display_Translated.xaml</v>
      </c>
      <c r="L95" s="17"/>
      <c r="M95" s="18"/>
    </row>
    <row r="96" spans="3:13" x14ac:dyDescent="0.25">
      <c r="C96" s="10"/>
      <c r="D96" s="14" t="s">
        <v>3707</v>
      </c>
      <c r="E96" s="4">
        <v>2</v>
      </c>
      <c r="F96" s="5">
        <v>2</v>
      </c>
      <c r="G96" s="7">
        <f t="shared" si="9"/>
        <v>0</v>
      </c>
      <c r="H96" s="6">
        <f t="shared" si="8"/>
        <v>0</v>
      </c>
      <c r="I96" s="4" t="s">
        <v>1788</v>
      </c>
      <c r="J96" s="19" t="str">
        <f t="shared" si="6"/>
        <v>LI821422</v>
      </c>
      <c r="K96" s="19" t="str">
        <f t="shared" si="7"/>
        <v>T8212_Overview_Display_Translated.xaml</v>
      </c>
      <c r="L96" s="17"/>
      <c r="M96" s="18"/>
    </row>
    <row r="97" spans="3:13" x14ac:dyDescent="0.25">
      <c r="C97" s="10"/>
      <c r="D97" s="14" t="s">
        <v>3708</v>
      </c>
      <c r="E97" s="4">
        <v>2</v>
      </c>
      <c r="F97" s="5">
        <v>2</v>
      </c>
      <c r="G97" s="7">
        <f t="shared" si="9"/>
        <v>0</v>
      </c>
      <c r="H97" s="6">
        <f t="shared" si="8"/>
        <v>0</v>
      </c>
      <c r="I97" s="4" t="s">
        <v>1790</v>
      </c>
      <c r="J97" s="19" t="str">
        <f t="shared" si="6"/>
        <v>LI821503</v>
      </c>
      <c r="K97" s="19" t="str">
        <f t="shared" si="7"/>
        <v>D8213_Overview_Display_Translated.xaml</v>
      </c>
      <c r="L97" s="17"/>
      <c r="M97" s="18"/>
    </row>
    <row r="98" spans="3:13" x14ac:dyDescent="0.25">
      <c r="C98" s="10"/>
      <c r="D98" s="14" t="s">
        <v>3709</v>
      </c>
      <c r="E98" s="4">
        <v>2</v>
      </c>
      <c r="F98" s="5">
        <v>2</v>
      </c>
      <c r="G98" s="7">
        <f t="shared" si="9"/>
        <v>0</v>
      </c>
      <c r="H98" s="6">
        <f t="shared" si="8"/>
        <v>0</v>
      </c>
      <c r="I98" s="4" t="s">
        <v>1792</v>
      </c>
      <c r="J98" s="19" t="str">
        <f t="shared" si="6"/>
        <v>LI821920</v>
      </c>
      <c r="K98" s="19" t="str">
        <f t="shared" si="7"/>
        <v>V8225_Overview_Display_Translated.xaml</v>
      </c>
      <c r="L98" s="17"/>
      <c r="M98" s="18"/>
    </row>
    <row r="99" spans="3:13" x14ac:dyDescent="0.25">
      <c r="C99" s="10"/>
      <c r="D99" s="14" t="s">
        <v>3710</v>
      </c>
      <c r="E99" s="4">
        <v>2</v>
      </c>
      <c r="F99" s="5">
        <v>2</v>
      </c>
      <c r="G99" s="7">
        <f t="shared" si="9"/>
        <v>0</v>
      </c>
      <c r="H99" s="6">
        <f t="shared" si="8"/>
        <v>0</v>
      </c>
      <c r="I99" s="4" t="s">
        <v>1794</v>
      </c>
      <c r="J99" s="19" t="str">
        <f t="shared" si="6"/>
        <v>LI822144</v>
      </c>
      <c r="K99" s="19" t="str">
        <f t="shared" si="7"/>
        <v>T8219_Overview_Display_Translated.xaml</v>
      </c>
      <c r="L99" s="17"/>
      <c r="M99" s="18"/>
    </row>
    <row r="100" spans="3:13" x14ac:dyDescent="0.25">
      <c r="C100" s="10"/>
      <c r="D100" s="14" t="s">
        <v>3711</v>
      </c>
      <c r="E100" s="4">
        <v>2</v>
      </c>
      <c r="F100" s="5">
        <v>2</v>
      </c>
      <c r="G100" s="7">
        <f t="shared" si="9"/>
        <v>0</v>
      </c>
      <c r="H100" s="6">
        <f t="shared" si="8"/>
        <v>0</v>
      </c>
      <c r="I100" s="4" t="s">
        <v>1796</v>
      </c>
      <c r="J100" s="19" t="str">
        <f t="shared" si="6"/>
        <v>LI830120</v>
      </c>
      <c r="K100" s="19" t="str">
        <f t="shared" si="7"/>
        <v>D8300_Overview_Display_Translated.xaml</v>
      </c>
      <c r="L100" s="17"/>
      <c r="M100" s="18"/>
    </row>
    <row r="101" spans="3:13" x14ac:dyDescent="0.25">
      <c r="C101" s="10"/>
      <c r="D101" s="14" t="s">
        <v>3712</v>
      </c>
      <c r="E101" s="4">
        <v>2</v>
      </c>
      <c r="F101" s="5">
        <v>2</v>
      </c>
      <c r="G101" s="7">
        <f t="shared" si="9"/>
        <v>0</v>
      </c>
      <c r="H101" s="6">
        <f t="shared" si="8"/>
        <v>0</v>
      </c>
      <c r="I101" s="4" t="s">
        <v>1798</v>
      </c>
      <c r="J101" s="19" t="str">
        <f t="shared" si="6"/>
        <v>LI830205</v>
      </c>
      <c r="K101" s="19" t="str">
        <f t="shared" si="7"/>
        <v>D8301_Overview_Display_Translated.xaml</v>
      </c>
      <c r="L101" s="17"/>
      <c r="M101" s="18"/>
    </row>
    <row r="102" spans="3:13" x14ac:dyDescent="0.25">
      <c r="C102" s="10"/>
      <c r="D102" s="14" t="s">
        <v>3713</v>
      </c>
      <c r="E102" s="4">
        <v>2</v>
      </c>
      <c r="F102" s="5">
        <v>2</v>
      </c>
      <c r="G102" s="7">
        <f t="shared" si="9"/>
        <v>0</v>
      </c>
      <c r="H102" s="6">
        <f t="shared" si="8"/>
        <v>0</v>
      </c>
      <c r="I102" s="4" t="s">
        <v>1800</v>
      </c>
      <c r="J102" s="19" t="str">
        <f t="shared" si="6"/>
        <v>LI830227</v>
      </c>
      <c r="K102" s="19" t="str">
        <f t="shared" si="7"/>
        <v>D8301_Overview_Display_Translated.xaml</v>
      </c>
      <c r="L102" s="17"/>
      <c r="M102" s="18"/>
    </row>
    <row r="103" spans="3:13" hidden="1" x14ac:dyDescent="0.25">
      <c r="C103" s="10"/>
      <c r="D103" s="14" t="s">
        <v>3714</v>
      </c>
      <c r="E103" s="4">
        <v>2</v>
      </c>
      <c r="F103" s="5">
        <v>2</v>
      </c>
      <c r="G103" s="7">
        <f t="shared" si="9"/>
        <v>0</v>
      </c>
      <c r="H103" s="6">
        <f t="shared" si="8"/>
        <v>0</v>
      </c>
      <c r="I103" s="4" t="s">
        <v>1802</v>
      </c>
      <c r="J103" s="19" t="str">
        <f t="shared" si="6"/>
        <v>LI830533</v>
      </c>
      <c r="K103" s="19" t="str">
        <f t="shared" si="7"/>
        <v>Not Found</v>
      </c>
      <c r="L103" s="17"/>
      <c r="M103" s="18"/>
    </row>
    <row r="104" spans="3:13" x14ac:dyDescent="0.25">
      <c r="C104" s="10"/>
      <c r="D104" s="14" t="s">
        <v>3715</v>
      </c>
      <c r="E104" s="4">
        <v>2</v>
      </c>
      <c r="F104" s="5">
        <v>2</v>
      </c>
      <c r="G104" s="7">
        <f t="shared" si="9"/>
        <v>0</v>
      </c>
      <c r="H104" s="6">
        <f t="shared" si="8"/>
        <v>0</v>
      </c>
      <c r="I104" s="4" t="s">
        <v>1804</v>
      </c>
      <c r="J104" s="19" t="str">
        <f t="shared" si="6"/>
        <v>LI830611</v>
      </c>
      <c r="K104" s="19" t="str">
        <f t="shared" si="7"/>
        <v>R8302_Recycle_Pump_Graphic_Display_Translated.xaml</v>
      </c>
      <c r="L104" s="17"/>
      <c r="M104" s="18"/>
    </row>
    <row r="105" spans="3:13" hidden="1" x14ac:dyDescent="0.25">
      <c r="C105" s="10"/>
      <c r="D105" s="14" t="s">
        <v>3716</v>
      </c>
      <c r="E105" s="4">
        <v>2</v>
      </c>
      <c r="F105" s="5">
        <v>2</v>
      </c>
      <c r="G105" s="7">
        <f t="shared" si="9"/>
        <v>0</v>
      </c>
      <c r="H105" s="6">
        <f t="shared" si="8"/>
        <v>0</v>
      </c>
      <c r="I105" s="4" t="s">
        <v>1806</v>
      </c>
      <c r="J105" s="19" t="str">
        <f t="shared" si="6"/>
        <v>LI830630</v>
      </c>
      <c r="K105" s="19" t="str">
        <f t="shared" si="7"/>
        <v>Not Found</v>
      </c>
      <c r="L105" s="17"/>
      <c r="M105" s="18"/>
    </row>
    <row r="106" spans="3:13" hidden="1" x14ac:dyDescent="0.25">
      <c r="C106" s="10"/>
      <c r="D106" s="14" t="s">
        <v>3717</v>
      </c>
      <c r="E106" s="4">
        <v>2</v>
      </c>
      <c r="F106" s="5">
        <v>2</v>
      </c>
      <c r="G106" s="7">
        <f t="shared" si="9"/>
        <v>0</v>
      </c>
      <c r="H106" s="6">
        <f t="shared" si="8"/>
        <v>0</v>
      </c>
      <c r="I106" s="4" t="s">
        <v>1808</v>
      </c>
      <c r="J106" s="19" t="str">
        <f t="shared" si="6"/>
        <v>LI830707</v>
      </c>
      <c r="K106" s="19" t="str">
        <f t="shared" si="7"/>
        <v>Not Found</v>
      </c>
      <c r="L106" s="17"/>
      <c r="M106" s="18"/>
    </row>
    <row r="107" spans="3:13" x14ac:dyDescent="0.25">
      <c r="C107" s="10"/>
      <c r="D107" s="14" t="s">
        <v>3718</v>
      </c>
      <c r="E107" s="4">
        <v>2</v>
      </c>
      <c r="F107" s="5">
        <v>2</v>
      </c>
      <c r="G107" s="7">
        <f t="shared" si="9"/>
        <v>0</v>
      </c>
      <c r="H107" s="6">
        <f t="shared" si="8"/>
        <v>0</v>
      </c>
      <c r="I107" s="4" t="s">
        <v>1810</v>
      </c>
      <c r="J107" s="19" t="str">
        <f t="shared" si="6"/>
        <v>LI830941</v>
      </c>
      <c r="K107" s="19" t="str">
        <f t="shared" si="7"/>
        <v>P8307_Graphic_Display_Translated.xaml</v>
      </c>
      <c r="L107" s="17"/>
      <c r="M107" s="18"/>
    </row>
    <row r="108" spans="3:13" x14ac:dyDescent="0.25">
      <c r="C108" s="10"/>
      <c r="D108" s="14" t="s">
        <v>3719</v>
      </c>
      <c r="E108" s="4">
        <v>2</v>
      </c>
      <c r="F108" s="5">
        <v>2</v>
      </c>
      <c r="G108" s="7">
        <f t="shared" si="9"/>
        <v>0</v>
      </c>
      <c r="H108" s="6">
        <f t="shared" si="8"/>
        <v>0</v>
      </c>
      <c r="I108" s="4" t="s">
        <v>1812</v>
      </c>
      <c r="J108" s="19" t="str">
        <f t="shared" si="6"/>
        <v>LI896008</v>
      </c>
      <c r="K108" s="19" t="str">
        <f t="shared" si="7"/>
        <v>SUM8960_Graphic_Display_Translated.xaml</v>
      </c>
      <c r="L108" s="17"/>
      <c r="M108" s="18"/>
    </row>
    <row r="109" spans="3:13" x14ac:dyDescent="0.25">
      <c r="C109" s="10"/>
      <c r="D109" s="14" t="s">
        <v>3720</v>
      </c>
      <c r="E109" s="4">
        <v>2</v>
      </c>
      <c r="F109" s="5">
        <v>2</v>
      </c>
      <c r="G109" s="7">
        <f t="shared" si="9"/>
        <v>0</v>
      </c>
      <c r="H109" s="6">
        <f t="shared" si="8"/>
        <v>0</v>
      </c>
      <c r="I109" s="4" t="s">
        <v>1814</v>
      </c>
      <c r="J109" s="19" t="str">
        <f t="shared" si="6"/>
        <v>LI896108</v>
      </c>
      <c r="K109" s="19" t="str">
        <f t="shared" si="7"/>
        <v>SUM8961_Graphic_Display_Translated.xaml</v>
      </c>
      <c r="L109" s="17"/>
      <c r="M109" s="18"/>
    </row>
    <row r="110" spans="3:13" x14ac:dyDescent="0.25">
      <c r="C110" s="10"/>
      <c r="D110" s="14" t="s">
        <v>3721</v>
      </c>
      <c r="E110" s="4">
        <v>2</v>
      </c>
      <c r="F110" s="5">
        <v>2</v>
      </c>
      <c r="G110" s="7">
        <f t="shared" si="9"/>
        <v>0</v>
      </c>
      <c r="H110" s="6">
        <f t="shared" si="8"/>
        <v>0</v>
      </c>
      <c r="I110" s="4" t="s">
        <v>1816</v>
      </c>
      <c r="J110" s="19" t="str">
        <f t="shared" si="6"/>
        <v>PDI845208</v>
      </c>
      <c r="K110" s="19" t="str">
        <f t="shared" si="7"/>
        <v>Util380_1_Graphic_Display_Translated.xaml</v>
      </c>
      <c r="L110" s="17"/>
      <c r="M110" s="18"/>
    </row>
    <row r="111" spans="3:13" x14ac:dyDescent="0.25">
      <c r="C111" s="10"/>
      <c r="D111" s="14" t="s">
        <v>3722</v>
      </c>
      <c r="E111" s="4">
        <v>2</v>
      </c>
      <c r="F111" s="5">
        <v>2</v>
      </c>
      <c r="G111" s="7">
        <f t="shared" si="9"/>
        <v>0</v>
      </c>
      <c r="H111" s="6">
        <f t="shared" si="8"/>
        <v>0</v>
      </c>
      <c r="I111" s="4" t="s">
        <v>1818</v>
      </c>
      <c r="J111" s="19" t="str">
        <f t="shared" si="6"/>
        <v>PDI896009</v>
      </c>
      <c r="K111" s="19" t="str">
        <f t="shared" si="7"/>
        <v>SUM8960_Graphic_Display_Translated.xaml</v>
      </c>
      <c r="L111" s="17"/>
      <c r="M111" s="18"/>
    </row>
    <row r="112" spans="3:13" x14ac:dyDescent="0.25">
      <c r="C112" s="10"/>
      <c r="D112" s="14" t="s">
        <v>3723</v>
      </c>
      <c r="E112" s="4">
        <v>2</v>
      </c>
      <c r="F112" s="5">
        <v>2</v>
      </c>
      <c r="G112" s="7">
        <f t="shared" si="9"/>
        <v>0</v>
      </c>
      <c r="H112" s="6">
        <f t="shared" si="8"/>
        <v>0</v>
      </c>
      <c r="I112" s="4" t="s">
        <v>1820</v>
      </c>
      <c r="J112" s="19" t="str">
        <f t="shared" si="6"/>
        <v>PDI896109</v>
      </c>
      <c r="K112" s="19" t="str">
        <f t="shared" si="7"/>
        <v>SUM8961_Graphic_Display_Translated.xaml</v>
      </c>
      <c r="L112" s="17"/>
      <c r="M112" s="18"/>
    </row>
    <row r="113" spans="3:13" hidden="1" x14ac:dyDescent="0.25">
      <c r="C113" s="10"/>
      <c r="D113" s="14" t="s">
        <v>3724</v>
      </c>
      <c r="E113" s="4">
        <v>2</v>
      </c>
      <c r="F113" s="5">
        <v>2</v>
      </c>
      <c r="G113" s="7">
        <f t="shared" si="9"/>
        <v>0</v>
      </c>
      <c r="H113" s="6">
        <f t="shared" si="8"/>
        <v>0</v>
      </c>
      <c r="I113" s="4" t="s">
        <v>1822</v>
      </c>
      <c r="J113" s="19" t="str">
        <f t="shared" si="6"/>
        <v>PI800026</v>
      </c>
      <c r="K113" s="19" t="str">
        <f t="shared" si="7"/>
        <v>Not Found</v>
      </c>
      <c r="L113" s="17"/>
      <c r="M113" s="18"/>
    </row>
    <row r="114" spans="3:13" x14ac:dyDescent="0.25">
      <c r="C114" s="10"/>
      <c r="D114" s="14" t="s">
        <v>3725</v>
      </c>
      <c r="E114" s="4">
        <v>2</v>
      </c>
      <c r="F114" s="5">
        <v>2</v>
      </c>
      <c r="G114" s="7">
        <f t="shared" si="9"/>
        <v>0</v>
      </c>
      <c r="H114" s="6">
        <f t="shared" si="8"/>
        <v>0</v>
      </c>
      <c r="I114" s="4" t="s">
        <v>1824</v>
      </c>
      <c r="J114" s="19" t="str">
        <f t="shared" si="6"/>
        <v>PI800121</v>
      </c>
      <c r="K114" s="19" t="str">
        <f t="shared" si="7"/>
        <v>P8001_HS800101_Detail_Display_Translated.xaml</v>
      </c>
      <c r="L114" s="17"/>
      <c r="M114" s="18"/>
    </row>
    <row r="115" spans="3:13" x14ac:dyDescent="0.25">
      <c r="C115" s="10"/>
      <c r="D115" s="14" t="s">
        <v>3726</v>
      </c>
      <c r="E115" s="4">
        <v>2</v>
      </c>
      <c r="F115" s="5">
        <v>2</v>
      </c>
      <c r="G115" s="7">
        <f t="shared" si="9"/>
        <v>0</v>
      </c>
      <c r="H115" s="6">
        <f t="shared" si="8"/>
        <v>0</v>
      </c>
      <c r="I115" s="4" t="s">
        <v>1826</v>
      </c>
      <c r="J115" s="19" t="str">
        <f t="shared" si="6"/>
        <v>PI803514</v>
      </c>
      <c r="K115" s="19" t="str">
        <f t="shared" si="7"/>
        <v>T8219_Overview_Display_Translated.xaml</v>
      </c>
      <c r="L115" s="17"/>
      <c r="M115" s="18"/>
    </row>
    <row r="116" spans="3:13" x14ac:dyDescent="0.25">
      <c r="C116" s="10"/>
      <c r="D116" s="14" t="s">
        <v>3727</v>
      </c>
      <c r="E116" s="4">
        <v>2</v>
      </c>
      <c r="F116" s="5">
        <v>2</v>
      </c>
      <c r="G116" s="7">
        <f t="shared" si="9"/>
        <v>0</v>
      </c>
      <c r="H116" s="6">
        <f t="shared" si="8"/>
        <v>0</v>
      </c>
      <c r="I116" s="4" t="s">
        <v>1828</v>
      </c>
      <c r="J116" s="19" t="str">
        <f t="shared" si="6"/>
        <v>PI807028</v>
      </c>
      <c r="K116" s="19" t="str">
        <f t="shared" si="7"/>
        <v>D8070_Overview_Display_Translated.xaml</v>
      </c>
      <c r="L116" s="17"/>
      <c r="M116" s="18"/>
    </row>
    <row r="117" spans="3:13" x14ac:dyDescent="0.25">
      <c r="C117" s="10"/>
      <c r="D117" s="14" t="s">
        <v>3728</v>
      </c>
      <c r="E117" s="4">
        <v>2</v>
      </c>
      <c r="F117" s="5">
        <v>2</v>
      </c>
      <c r="G117" s="7">
        <f t="shared" si="9"/>
        <v>0</v>
      </c>
      <c r="H117" s="6">
        <f t="shared" si="8"/>
        <v>0</v>
      </c>
      <c r="I117" s="4" t="s">
        <v>1830</v>
      </c>
      <c r="J117" s="19" t="str">
        <f t="shared" si="6"/>
        <v>PI808122</v>
      </c>
      <c r="K117" s="19" t="str">
        <f t="shared" si="7"/>
        <v>D8071_Overview_Display_Translated.xaml</v>
      </c>
      <c r="L117" s="17"/>
      <c r="M117" s="18"/>
    </row>
    <row r="118" spans="3:13" hidden="1" x14ac:dyDescent="0.25">
      <c r="C118" s="10"/>
      <c r="D118" s="14" t="s">
        <v>3729</v>
      </c>
      <c r="E118" s="4">
        <v>2</v>
      </c>
      <c r="F118" s="5">
        <v>2</v>
      </c>
      <c r="G118" s="7">
        <f t="shared" si="9"/>
        <v>0</v>
      </c>
      <c r="H118" s="6">
        <f t="shared" si="8"/>
        <v>0</v>
      </c>
      <c r="I118" s="4" t="s">
        <v>1832</v>
      </c>
      <c r="J118" s="19" t="str">
        <f t="shared" si="6"/>
        <v>PI810443</v>
      </c>
      <c r="K118" s="19" t="str">
        <f t="shared" si="7"/>
        <v>Not Found</v>
      </c>
      <c r="L118" s="17"/>
      <c r="M118" s="18"/>
    </row>
    <row r="119" spans="3:13" hidden="1" x14ac:dyDescent="0.25">
      <c r="C119" s="10"/>
      <c r="D119" s="14" t="s">
        <v>3730</v>
      </c>
      <c r="E119" s="4">
        <v>2</v>
      </c>
      <c r="F119" s="5">
        <v>2</v>
      </c>
      <c r="G119" s="7">
        <f t="shared" si="9"/>
        <v>0</v>
      </c>
      <c r="H119" s="6">
        <f t="shared" si="8"/>
        <v>0</v>
      </c>
      <c r="I119" s="4" t="s">
        <v>1834</v>
      </c>
      <c r="J119" s="19" t="str">
        <f t="shared" si="6"/>
        <v>PI810444A</v>
      </c>
      <c r="K119" s="19" t="str">
        <f t="shared" si="7"/>
        <v>Not Found</v>
      </c>
      <c r="L119" s="17"/>
      <c r="M119" s="18"/>
    </row>
    <row r="120" spans="3:13" hidden="1" x14ac:dyDescent="0.25">
      <c r="C120" s="10"/>
      <c r="D120" s="14" t="s">
        <v>3731</v>
      </c>
      <c r="E120" s="4">
        <v>2</v>
      </c>
      <c r="F120" s="5">
        <v>2</v>
      </c>
      <c r="G120" s="7">
        <f t="shared" si="9"/>
        <v>0</v>
      </c>
      <c r="H120" s="6">
        <f t="shared" si="8"/>
        <v>0</v>
      </c>
      <c r="I120" s="4" t="s">
        <v>1836</v>
      </c>
      <c r="J120" s="19" t="str">
        <f t="shared" si="6"/>
        <v>PI810444B</v>
      </c>
      <c r="K120" s="19" t="str">
        <f t="shared" si="7"/>
        <v>Not Found</v>
      </c>
      <c r="L120" s="17"/>
      <c r="M120" s="18"/>
    </row>
    <row r="121" spans="3:13" x14ac:dyDescent="0.25">
      <c r="C121" s="10"/>
      <c r="D121" s="14" t="s">
        <v>3732</v>
      </c>
      <c r="E121" s="4">
        <v>2</v>
      </c>
      <c r="F121" s="5">
        <v>2</v>
      </c>
      <c r="G121" s="7">
        <f t="shared" si="9"/>
        <v>0</v>
      </c>
      <c r="H121" s="6">
        <f t="shared" si="8"/>
        <v>0</v>
      </c>
      <c r="I121" s="4" t="s">
        <v>1838</v>
      </c>
      <c r="J121" s="19" t="str">
        <f t="shared" si="6"/>
        <v>PI810530</v>
      </c>
      <c r="K121" s="19" t="str">
        <f t="shared" si="7"/>
        <v>R8103_Recycle_Pump_Graphic_Display_Translated.xaml</v>
      </c>
      <c r="L121" s="17"/>
      <c r="M121" s="18"/>
    </row>
    <row r="122" spans="3:13" hidden="1" x14ac:dyDescent="0.25">
      <c r="C122" s="10"/>
      <c r="D122" s="14" t="s">
        <v>3733</v>
      </c>
      <c r="E122" s="4">
        <v>2</v>
      </c>
      <c r="F122" s="5">
        <v>2</v>
      </c>
      <c r="G122" s="7">
        <f t="shared" si="9"/>
        <v>0</v>
      </c>
      <c r="H122" s="6">
        <f t="shared" si="8"/>
        <v>0</v>
      </c>
      <c r="I122" s="4" t="s">
        <v>1840</v>
      </c>
      <c r="J122" s="19" t="str">
        <f t="shared" si="6"/>
        <v>PI810733</v>
      </c>
      <c r="K122" s="19" t="str">
        <f t="shared" si="7"/>
        <v>Not Found</v>
      </c>
      <c r="L122" s="17"/>
      <c r="M122" s="18"/>
    </row>
    <row r="123" spans="3:13" x14ac:dyDescent="0.25">
      <c r="C123" s="10"/>
      <c r="D123" s="14" t="s">
        <v>3734</v>
      </c>
      <c r="E123" s="4">
        <v>2</v>
      </c>
      <c r="F123" s="5">
        <v>2</v>
      </c>
      <c r="G123" s="7">
        <f t="shared" si="9"/>
        <v>0</v>
      </c>
      <c r="H123" s="6">
        <f t="shared" si="8"/>
        <v>0</v>
      </c>
      <c r="I123" s="4" t="s">
        <v>1842</v>
      </c>
      <c r="J123" s="19" t="str">
        <f t="shared" si="6"/>
        <v>PI811020</v>
      </c>
      <c r="K123" s="19" t="str">
        <f t="shared" si="7"/>
        <v>V8120_Overview_Display_Translated.xaml</v>
      </c>
      <c r="L123" s="17"/>
      <c r="M123" s="18"/>
    </row>
    <row r="124" spans="3:13" hidden="1" x14ac:dyDescent="0.25">
      <c r="C124" s="10"/>
      <c r="D124" s="14" t="s">
        <v>3735</v>
      </c>
      <c r="E124" s="4">
        <v>2</v>
      </c>
      <c r="F124" s="5">
        <v>2</v>
      </c>
      <c r="G124" s="7">
        <f t="shared" si="9"/>
        <v>0</v>
      </c>
      <c r="H124" s="6">
        <f t="shared" si="8"/>
        <v>0</v>
      </c>
      <c r="I124" s="4" t="s">
        <v>1844</v>
      </c>
      <c r="J124" s="19" t="str">
        <f t="shared" si="6"/>
        <v>PI820438</v>
      </c>
      <c r="K124" s="19" t="str">
        <f t="shared" si="7"/>
        <v>Not Found</v>
      </c>
      <c r="L124" s="17"/>
      <c r="M124" s="18"/>
    </row>
    <row r="125" spans="3:13" hidden="1" x14ac:dyDescent="0.25">
      <c r="C125" s="10"/>
      <c r="D125" s="14" t="s">
        <v>3736</v>
      </c>
      <c r="E125" s="4">
        <v>2</v>
      </c>
      <c r="F125" s="5">
        <v>2</v>
      </c>
      <c r="G125" s="7">
        <f t="shared" si="9"/>
        <v>0</v>
      </c>
      <c r="H125" s="6">
        <f t="shared" si="8"/>
        <v>0</v>
      </c>
      <c r="I125" s="4" t="s">
        <v>1846</v>
      </c>
      <c r="J125" s="19" t="str">
        <f t="shared" si="6"/>
        <v>PI820498A</v>
      </c>
      <c r="K125" s="19" t="str">
        <f t="shared" si="7"/>
        <v>Not Found</v>
      </c>
      <c r="L125" s="17"/>
      <c r="M125" s="18"/>
    </row>
    <row r="126" spans="3:13" hidden="1" x14ac:dyDescent="0.25">
      <c r="C126" s="10"/>
      <c r="D126" s="14" t="s">
        <v>3737</v>
      </c>
      <c r="E126" s="4">
        <v>2</v>
      </c>
      <c r="F126" s="5">
        <v>2</v>
      </c>
      <c r="G126" s="7">
        <f t="shared" si="9"/>
        <v>0</v>
      </c>
      <c r="H126" s="6">
        <f t="shared" si="8"/>
        <v>0</v>
      </c>
      <c r="I126" s="4" t="s">
        <v>1848</v>
      </c>
      <c r="J126" s="19" t="str">
        <f t="shared" si="6"/>
        <v>PI820498B</v>
      </c>
      <c r="K126" s="19" t="str">
        <f t="shared" si="7"/>
        <v>Not Found</v>
      </c>
      <c r="L126" s="17"/>
      <c r="M126" s="18"/>
    </row>
    <row r="127" spans="3:13" x14ac:dyDescent="0.25">
      <c r="C127" s="10"/>
      <c r="D127" s="14" t="s">
        <v>3738</v>
      </c>
      <c r="E127" s="4">
        <v>2</v>
      </c>
      <c r="F127" s="5">
        <v>2</v>
      </c>
      <c r="G127" s="7">
        <f t="shared" si="9"/>
        <v>0</v>
      </c>
      <c r="H127" s="6">
        <f t="shared" si="8"/>
        <v>0</v>
      </c>
      <c r="I127" s="4" t="s">
        <v>1850</v>
      </c>
      <c r="J127" s="19" t="str">
        <f t="shared" si="6"/>
        <v>PI820498</v>
      </c>
      <c r="K127" s="19" t="str">
        <f t="shared" si="7"/>
        <v>R8203_Agitator_Equipment_Module_Graphic_Display_Translated.xaml</v>
      </c>
      <c r="L127" s="17"/>
      <c r="M127" s="18"/>
    </row>
    <row r="128" spans="3:13" x14ac:dyDescent="0.25">
      <c r="C128" s="10"/>
      <c r="D128" s="14" t="s">
        <v>3739</v>
      </c>
      <c r="E128" s="4">
        <v>2</v>
      </c>
      <c r="F128" s="5">
        <v>2</v>
      </c>
      <c r="G128" s="7">
        <f t="shared" si="9"/>
        <v>0</v>
      </c>
      <c r="H128" s="6">
        <f t="shared" si="8"/>
        <v>0</v>
      </c>
      <c r="I128" s="4" t="s">
        <v>1852</v>
      </c>
      <c r="J128" s="19" t="str">
        <f t="shared" si="6"/>
        <v>PI820530</v>
      </c>
      <c r="K128" s="19" t="str">
        <f t="shared" si="7"/>
        <v>R8203_Recycle_Pump_Graphic_Display_Translated.xaml</v>
      </c>
      <c r="L128" s="17"/>
      <c r="M128" s="18"/>
    </row>
    <row r="129" spans="3:13" hidden="1" x14ac:dyDescent="0.25">
      <c r="C129" s="10"/>
      <c r="D129" s="14" t="s">
        <v>3740</v>
      </c>
      <c r="E129" s="4">
        <v>2</v>
      </c>
      <c r="F129" s="5">
        <v>2</v>
      </c>
      <c r="G129" s="7">
        <f t="shared" si="9"/>
        <v>0</v>
      </c>
      <c r="H129" s="6">
        <f t="shared" si="8"/>
        <v>0</v>
      </c>
      <c r="I129" s="4" t="s">
        <v>1854</v>
      </c>
      <c r="J129" s="19" t="str">
        <f t="shared" si="6"/>
        <v>PI820735</v>
      </c>
      <c r="K129" s="19" t="str">
        <f t="shared" si="7"/>
        <v>Not Found</v>
      </c>
      <c r="L129" s="17"/>
      <c r="M129" s="18"/>
    </row>
    <row r="130" spans="3:13" x14ac:dyDescent="0.25">
      <c r="C130" s="10"/>
      <c r="D130" s="14" t="s">
        <v>3741</v>
      </c>
      <c r="E130" s="4">
        <v>2</v>
      </c>
      <c r="F130" s="5">
        <v>2</v>
      </c>
      <c r="G130" s="7">
        <f t="shared" si="9"/>
        <v>0</v>
      </c>
      <c r="H130" s="6">
        <f t="shared" si="8"/>
        <v>0</v>
      </c>
      <c r="I130" s="4" t="s">
        <v>1856</v>
      </c>
      <c r="J130" s="19" t="str">
        <f t="shared" si="6"/>
        <v>PI820838</v>
      </c>
      <c r="K130" s="19" t="str">
        <f t="shared" si="7"/>
        <v>D8207_Overview_Display_Translated.xaml</v>
      </c>
      <c r="L130" s="17"/>
      <c r="M130" s="18"/>
    </row>
    <row r="131" spans="3:13" x14ac:dyDescent="0.25">
      <c r="C131" s="10"/>
      <c r="D131" s="14" t="s">
        <v>3742</v>
      </c>
      <c r="E131" s="4">
        <v>2</v>
      </c>
      <c r="F131" s="5">
        <v>2</v>
      </c>
      <c r="G131" s="7">
        <f t="shared" si="9"/>
        <v>0</v>
      </c>
      <c r="H131" s="6">
        <f t="shared" si="8"/>
        <v>0</v>
      </c>
      <c r="I131" s="4" t="s">
        <v>1858</v>
      </c>
      <c r="J131" s="19" t="str">
        <f t="shared" si="6"/>
        <v>PI821428</v>
      </c>
      <c r="K131" s="19" t="str">
        <f t="shared" si="7"/>
        <v>T8212_Overview_Display_Translated.xaml</v>
      </c>
      <c r="L131" s="17"/>
      <c r="M131" s="18"/>
    </row>
    <row r="132" spans="3:13" x14ac:dyDescent="0.25">
      <c r="C132" s="10"/>
      <c r="D132" s="14" t="s">
        <v>3743</v>
      </c>
      <c r="E132" s="4">
        <v>2</v>
      </c>
      <c r="F132" s="5">
        <v>2</v>
      </c>
      <c r="G132" s="7">
        <f t="shared" si="9"/>
        <v>0</v>
      </c>
      <c r="H132" s="6">
        <f t="shared" si="8"/>
        <v>0</v>
      </c>
      <c r="I132" s="4" t="s">
        <v>1860</v>
      </c>
      <c r="J132" s="19" t="str">
        <f t="shared" si="6"/>
        <v>PI821531</v>
      </c>
      <c r="K132" s="19" t="str">
        <f t="shared" si="7"/>
        <v>D8213_Overview_Display_Translated.xaml</v>
      </c>
      <c r="L132" s="17"/>
      <c r="M132" s="18"/>
    </row>
    <row r="133" spans="3:13" x14ac:dyDescent="0.25">
      <c r="C133" s="10"/>
      <c r="D133" s="14" t="s">
        <v>3744</v>
      </c>
      <c r="E133" s="4">
        <v>2</v>
      </c>
      <c r="F133" s="5">
        <v>2</v>
      </c>
      <c r="G133" s="7">
        <f t="shared" si="9"/>
        <v>0</v>
      </c>
      <c r="H133" s="6">
        <f t="shared" si="8"/>
        <v>0</v>
      </c>
      <c r="I133" s="4" t="s">
        <v>1862</v>
      </c>
      <c r="J133" s="19" t="str">
        <f t="shared" si="6"/>
        <v>PI821928</v>
      </c>
      <c r="K133" s="19" t="str">
        <f t="shared" si="7"/>
        <v>V8225_Overview_Display_Translated.xaml</v>
      </c>
      <c r="L133" s="17"/>
      <c r="M133" s="18"/>
    </row>
    <row r="134" spans="3:13" x14ac:dyDescent="0.25">
      <c r="C134" s="10"/>
      <c r="D134" s="14" t="s">
        <v>3745</v>
      </c>
      <c r="E134" s="4">
        <v>2</v>
      </c>
      <c r="F134" s="5">
        <v>2</v>
      </c>
      <c r="G134" s="7">
        <f t="shared" si="9"/>
        <v>0</v>
      </c>
      <c r="H134" s="6">
        <f t="shared" si="8"/>
        <v>0</v>
      </c>
      <c r="I134" s="4" t="s">
        <v>1864</v>
      </c>
      <c r="J134" s="19" t="str">
        <f t="shared" si="6"/>
        <v>PI822150</v>
      </c>
      <c r="K134" s="19" t="str">
        <f t="shared" si="7"/>
        <v>T8219_Overview_Display_Translated.xaml</v>
      </c>
      <c r="L134" s="17"/>
      <c r="M134" s="18"/>
    </row>
    <row r="135" spans="3:13" x14ac:dyDescent="0.25">
      <c r="C135" s="10"/>
      <c r="D135" s="14" t="s">
        <v>3746</v>
      </c>
      <c r="E135" s="4">
        <v>2</v>
      </c>
      <c r="F135" s="5">
        <v>2</v>
      </c>
      <c r="G135" s="7">
        <f t="shared" si="9"/>
        <v>0</v>
      </c>
      <c r="H135" s="6">
        <f t="shared" si="8"/>
        <v>0</v>
      </c>
      <c r="I135" s="4" t="s">
        <v>1866</v>
      </c>
      <c r="J135" s="19" t="str">
        <f t="shared" si="6"/>
        <v>PI830119</v>
      </c>
      <c r="K135" s="19" t="str">
        <f t="shared" si="7"/>
        <v>D8300_Overview_Display_Translated.xaml</v>
      </c>
      <c r="L135" s="17"/>
      <c r="M135" s="18"/>
    </row>
    <row r="136" spans="3:13" x14ac:dyDescent="0.25">
      <c r="C136" s="10"/>
      <c r="D136" s="14" t="s">
        <v>3747</v>
      </c>
      <c r="E136" s="4">
        <v>2</v>
      </c>
      <c r="F136" s="5">
        <v>2</v>
      </c>
      <c r="G136" s="7">
        <f t="shared" si="9"/>
        <v>0</v>
      </c>
      <c r="H136" s="6">
        <f t="shared" si="8"/>
        <v>0</v>
      </c>
      <c r="I136" s="4" t="s">
        <v>1868</v>
      </c>
      <c r="J136" s="19" t="str">
        <f t="shared" ref="J136:J199" si="10">+LEFT(D136,FIND("IO",D136,1)-1)</f>
        <v>PI830226</v>
      </c>
      <c r="K136" s="19" t="str">
        <f t="shared" ref="K136:K199" si="11">+findinfile($J$3,$J136,"Name")</f>
        <v>D8301_Overview_Display_Translated.xaml</v>
      </c>
      <c r="L136" s="17"/>
      <c r="M136" s="18"/>
    </row>
    <row r="137" spans="3:13" x14ac:dyDescent="0.25">
      <c r="C137" s="10"/>
      <c r="D137" s="14" t="s">
        <v>3748</v>
      </c>
      <c r="E137" s="4">
        <v>2</v>
      </c>
      <c r="F137" s="5">
        <v>2</v>
      </c>
      <c r="G137" s="7">
        <f t="shared" si="9"/>
        <v>0</v>
      </c>
      <c r="H137" s="6">
        <f t="shared" si="8"/>
        <v>0</v>
      </c>
      <c r="I137" s="4" t="s">
        <v>1870</v>
      </c>
      <c r="J137" s="19" t="str">
        <f t="shared" si="10"/>
        <v>PI830231</v>
      </c>
      <c r="K137" s="19" t="str">
        <f t="shared" si="11"/>
        <v>D8301_Overview_Display_Translated.xaml</v>
      </c>
      <c r="L137" s="17"/>
      <c r="M137" s="18"/>
    </row>
    <row r="138" spans="3:13" x14ac:dyDescent="0.25">
      <c r="C138" s="10"/>
      <c r="D138" s="14" t="s">
        <v>3749</v>
      </c>
      <c r="E138" s="4">
        <v>2</v>
      </c>
      <c r="F138" s="5">
        <v>2</v>
      </c>
      <c r="G138" s="7">
        <f t="shared" si="9"/>
        <v>0</v>
      </c>
      <c r="H138" s="6">
        <f t="shared" si="8"/>
        <v>0</v>
      </c>
      <c r="I138" s="4" t="s">
        <v>1872</v>
      </c>
      <c r="J138" s="19" t="str">
        <f t="shared" si="10"/>
        <v>PI830532</v>
      </c>
      <c r="K138" s="19" t="str">
        <f t="shared" si="11"/>
        <v>R302_Agitator_Equipment_Module_Graphic_Display_Translated.xaml</v>
      </c>
      <c r="L138" s="17"/>
      <c r="M138" s="18"/>
    </row>
    <row r="139" spans="3:13" x14ac:dyDescent="0.25">
      <c r="C139" s="10"/>
      <c r="D139" s="14" t="s">
        <v>3750</v>
      </c>
      <c r="E139" s="4">
        <v>2</v>
      </c>
      <c r="F139" s="5">
        <v>2</v>
      </c>
      <c r="G139" s="7">
        <f t="shared" si="9"/>
        <v>0</v>
      </c>
      <c r="H139" s="6">
        <f t="shared" si="8"/>
        <v>0</v>
      </c>
      <c r="I139" s="4" t="s">
        <v>1874</v>
      </c>
      <c r="J139" s="19" t="str">
        <f t="shared" si="10"/>
        <v>PI830609</v>
      </c>
      <c r="K139" s="19" t="str">
        <f t="shared" si="11"/>
        <v>R8302_Recycle_Pump_Graphic_Display_Translated.xaml</v>
      </c>
      <c r="L139" s="17"/>
      <c r="M139" s="18"/>
    </row>
    <row r="140" spans="3:13" hidden="1" x14ac:dyDescent="0.25">
      <c r="C140" s="10"/>
      <c r="D140" s="14" t="s">
        <v>3751</v>
      </c>
      <c r="E140" s="4">
        <v>2</v>
      </c>
      <c r="F140" s="5">
        <v>2</v>
      </c>
      <c r="G140" s="7">
        <f t="shared" si="9"/>
        <v>0</v>
      </c>
      <c r="H140" s="6">
        <f t="shared" si="8"/>
        <v>0</v>
      </c>
      <c r="I140" s="4" t="s">
        <v>1876</v>
      </c>
      <c r="J140" s="19" t="str">
        <f t="shared" si="10"/>
        <v>PI830629</v>
      </c>
      <c r="K140" s="19" t="str">
        <f t="shared" si="11"/>
        <v>Not Found</v>
      </c>
      <c r="L140" s="17"/>
      <c r="M140" s="18"/>
    </row>
    <row r="141" spans="3:13" hidden="1" x14ac:dyDescent="0.25">
      <c r="C141" s="10"/>
      <c r="D141" s="14" t="s">
        <v>3752</v>
      </c>
      <c r="E141" s="4">
        <v>2</v>
      </c>
      <c r="F141" s="5">
        <v>2</v>
      </c>
      <c r="G141" s="7">
        <f t="shared" si="9"/>
        <v>0</v>
      </c>
      <c r="H141" s="6">
        <f t="shared" si="8"/>
        <v>0</v>
      </c>
      <c r="I141" s="4" t="s">
        <v>1878</v>
      </c>
      <c r="J141" s="19" t="str">
        <f t="shared" si="10"/>
        <v>PI830706</v>
      </c>
      <c r="K141" s="19" t="str">
        <f t="shared" si="11"/>
        <v>Not Found</v>
      </c>
      <c r="L141" s="17"/>
      <c r="M141" s="18"/>
    </row>
    <row r="142" spans="3:13" x14ac:dyDescent="0.25">
      <c r="C142" s="10"/>
      <c r="D142" s="14" t="s">
        <v>3753</v>
      </c>
      <c r="E142" s="4">
        <v>2</v>
      </c>
      <c r="F142" s="5">
        <v>2</v>
      </c>
      <c r="G142" s="7">
        <f t="shared" si="9"/>
        <v>0</v>
      </c>
      <c r="H142" s="6">
        <f t="shared" si="8"/>
        <v>0</v>
      </c>
      <c r="I142" s="4" t="s">
        <v>1880</v>
      </c>
      <c r="J142" s="19" t="str">
        <f t="shared" si="10"/>
        <v>PI830952</v>
      </c>
      <c r="K142" s="19" t="str">
        <f t="shared" si="11"/>
        <v>P8307_Graphic_Display_Translated.xaml</v>
      </c>
      <c r="L142" s="17"/>
      <c r="M142" s="18"/>
    </row>
    <row r="143" spans="3:13" x14ac:dyDescent="0.25">
      <c r="C143" s="10"/>
      <c r="D143" s="14" t="s">
        <v>3754</v>
      </c>
      <c r="E143" s="4">
        <v>2</v>
      </c>
      <c r="F143" s="5">
        <v>2</v>
      </c>
      <c r="G143" s="7">
        <f t="shared" si="9"/>
        <v>0</v>
      </c>
      <c r="H143" s="6">
        <f t="shared" si="8"/>
        <v>0</v>
      </c>
      <c r="I143" s="4" t="s">
        <v>1882</v>
      </c>
      <c r="J143" s="19" t="str">
        <f t="shared" si="10"/>
        <v>PI841107</v>
      </c>
      <c r="K143" s="19" t="str">
        <f t="shared" si="11"/>
        <v>Util380_3_Graphic_Display_Translated.xaml</v>
      </c>
      <c r="L143" s="17"/>
      <c r="M143" s="18"/>
    </row>
    <row r="144" spans="3:13" x14ac:dyDescent="0.25">
      <c r="C144" s="10"/>
      <c r="D144" s="14" t="s">
        <v>3755</v>
      </c>
      <c r="E144" s="4">
        <v>2</v>
      </c>
      <c r="F144" s="5">
        <v>2</v>
      </c>
      <c r="G144" s="7">
        <f t="shared" si="9"/>
        <v>0</v>
      </c>
      <c r="H144" s="6">
        <f t="shared" si="8"/>
        <v>0</v>
      </c>
      <c r="I144" s="4" t="s">
        <v>1884</v>
      </c>
      <c r="J144" s="19" t="str">
        <f t="shared" si="10"/>
        <v>PI841905</v>
      </c>
      <c r="K144" s="19" t="str">
        <f t="shared" si="11"/>
        <v>Util380_1_Graphic_Display_Translated.xaml</v>
      </c>
      <c r="L144" s="17"/>
      <c r="M144" s="18"/>
    </row>
    <row r="145" spans="3:13" hidden="1" x14ac:dyDescent="0.25">
      <c r="C145" s="10"/>
      <c r="D145" s="14" t="s">
        <v>3756</v>
      </c>
      <c r="E145" s="4">
        <v>2</v>
      </c>
      <c r="F145" s="5">
        <v>2</v>
      </c>
      <c r="G145" s="7">
        <f t="shared" si="9"/>
        <v>0</v>
      </c>
      <c r="H145" s="6">
        <f t="shared" si="8"/>
        <v>0</v>
      </c>
      <c r="I145" s="4" t="s">
        <v>1886</v>
      </c>
      <c r="J145" s="19" t="str">
        <f t="shared" si="10"/>
        <v>PI843011A</v>
      </c>
      <c r="K145" s="19" t="str">
        <f t="shared" si="11"/>
        <v>Not Found</v>
      </c>
      <c r="L145" s="17"/>
      <c r="M145" s="18"/>
    </row>
    <row r="146" spans="3:13" hidden="1" x14ac:dyDescent="0.25">
      <c r="C146" s="10"/>
      <c r="D146" s="14" t="s">
        <v>3757</v>
      </c>
      <c r="E146" s="4">
        <v>2</v>
      </c>
      <c r="F146" s="5">
        <v>2</v>
      </c>
      <c r="G146" s="7">
        <f t="shared" si="9"/>
        <v>0</v>
      </c>
      <c r="H146" s="6">
        <f t="shared" si="8"/>
        <v>0</v>
      </c>
      <c r="I146" s="4" t="s">
        <v>1888</v>
      </c>
      <c r="J146" s="19" t="str">
        <f t="shared" si="10"/>
        <v>PI843011B</v>
      </c>
      <c r="K146" s="19" t="str">
        <f t="shared" si="11"/>
        <v>Not Found</v>
      </c>
      <c r="L146" s="17"/>
      <c r="M146" s="18"/>
    </row>
    <row r="147" spans="3:13" hidden="1" x14ac:dyDescent="0.25">
      <c r="C147" s="10"/>
      <c r="D147" s="14" t="s">
        <v>3758</v>
      </c>
      <c r="E147" s="4">
        <v>2</v>
      </c>
      <c r="F147" s="5">
        <v>2</v>
      </c>
      <c r="G147" s="7">
        <f t="shared" si="9"/>
        <v>0</v>
      </c>
      <c r="H147" s="6">
        <f t="shared" si="8"/>
        <v>0</v>
      </c>
      <c r="I147" s="4" t="s">
        <v>1890</v>
      </c>
      <c r="J147" s="19" t="str">
        <f t="shared" si="10"/>
        <v>PI843017A</v>
      </c>
      <c r="K147" s="19" t="str">
        <f t="shared" si="11"/>
        <v>Not Found</v>
      </c>
      <c r="L147" s="17"/>
      <c r="M147" s="18"/>
    </row>
    <row r="148" spans="3:13" hidden="1" x14ac:dyDescent="0.25">
      <c r="C148" s="10"/>
      <c r="D148" s="14" t="s">
        <v>3759</v>
      </c>
      <c r="E148" s="4">
        <v>2</v>
      </c>
      <c r="F148" s="5">
        <v>2</v>
      </c>
      <c r="G148" s="7">
        <f t="shared" si="9"/>
        <v>0</v>
      </c>
      <c r="H148" s="6">
        <f t="shared" si="8"/>
        <v>0</v>
      </c>
      <c r="I148" s="4" t="s">
        <v>1892</v>
      </c>
      <c r="J148" s="19" t="str">
        <f t="shared" si="10"/>
        <v>PI843017B</v>
      </c>
      <c r="K148" s="19" t="str">
        <f t="shared" si="11"/>
        <v>Not Found</v>
      </c>
      <c r="L148" s="17"/>
      <c r="M148" s="18"/>
    </row>
    <row r="149" spans="3:13" hidden="1" x14ac:dyDescent="0.25">
      <c r="C149" s="10"/>
      <c r="D149" s="14" t="s">
        <v>3760</v>
      </c>
      <c r="E149" s="4">
        <v>2</v>
      </c>
      <c r="F149" s="5">
        <v>2</v>
      </c>
      <c r="G149" s="7">
        <f t="shared" si="9"/>
        <v>0</v>
      </c>
      <c r="H149" s="6">
        <f t="shared" si="8"/>
        <v>0</v>
      </c>
      <c r="I149" s="4" t="s">
        <v>1894</v>
      </c>
      <c r="J149" s="19" t="str">
        <f t="shared" si="10"/>
        <v>PI843021</v>
      </c>
      <c r="K149" s="19" t="str">
        <f t="shared" si="11"/>
        <v>Not Found</v>
      </c>
      <c r="L149" s="17"/>
      <c r="M149" s="18"/>
    </row>
    <row r="150" spans="3:13" hidden="1" x14ac:dyDescent="0.25">
      <c r="C150" s="10"/>
      <c r="D150" s="14" t="s">
        <v>3761</v>
      </c>
      <c r="E150" s="4">
        <v>2</v>
      </c>
      <c r="F150" s="5">
        <v>2</v>
      </c>
      <c r="G150" s="7">
        <f t="shared" si="9"/>
        <v>0</v>
      </c>
      <c r="H150" s="6">
        <f t="shared" si="8"/>
        <v>0</v>
      </c>
      <c r="I150" s="4" t="s">
        <v>1896</v>
      </c>
      <c r="J150" s="19" t="str">
        <f t="shared" si="10"/>
        <v>PI843025A</v>
      </c>
      <c r="K150" s="19" t="str">
        <f t="shared" si="11"/>
        <v>Not Found</v>
      </c>
      <c r="L150" s="17"/>
      <c r="M150" s="18"/>
    </row>
    <row r="151" spans="3:13" hidden="1" x14ac:dyDescent="0.25">
      <c r="C151" s="10"/>
      <c r="D151" s="14" t="s">
        <v>3762</v>
      </c>
      <c r="E151" s="4">
        <v>2</v>
      </c>
      <c r="F151" s="5">
        <v>2</v>
      </c>
      <c r="G151" s="7">
        <f t="shared" si="9"/>
        <v>0</v>
      </c>
      <c r="H151" s="6">
        <f t="shared" si="8"/>
        <v>0</v>
      </c>
      <c r="I151" s="4" t="s">
        <v>1898</v>
      </c>
      <c r="J151" s="19" t="str">
        <f t="shared" si="10"/>
        <v>PI843025B</v>
      </c>
      <c r="K151" s="19" t="str">
        <f t="shared" si="11"/>
        <v>Not Found</v>
      </c>
      <c r="L151" s="17"/>
      <c r="M151" s="18"/>
    </row>
    <row r="152" spans="3:13" x14ac:dyDescent="0.25">
      <c r="C152" s="10"/>
      <c r="D152" s="14" t="s">
        <v>3763</v>
      </c>
      <c r="E152" s="4">
        <v>2</v>
      </c>
      <c r="F152" s="5">
        <v>2</v>
      </c>
      <c r="G152" s="7">
        <f t="shared" si="9"/>
        <v>0</v>
      </c>
      <c r="H152" s="6">
        <f t="shared" si="8"/>
        <v>0</v>
      </c>
      <c r="I152" s="4" t="s">
        <v>1900</v>
      </c>
      <c r="J152" s="19" t="str">
        <f t="shared" si="10"/>
        <v>PI843107</v>
      </c>
      <c r="K152" s="19" t="str">
        <f t="shared" si="11"/>
        <v>Util380_3_Graphic_Display_Translated.xaml</v>
      </c>
      <c r="L152" s="17"/>
      <c r="M152" s="18"/>
    </row>
    <row r="153" spans="3:13" hidden="1" x14ac:dyDescent="0.25">
      <c r="C153" s="10"/>
      <c r="D153" s="14" t="s">
        <v>3764</v>
      </c>
      <c r="E153" s="4">
        <v>2</v>
      </c>
      <c r="F153" s="5">
        <v>2</v>
      </c>
      <c r="G153" s="7">
        <f t="shared" si="9"/>
        <v>0</v>
      </c>
      <c r="H153" s="6">
        <f t="shared" si="8"/>
        <v>0</v>
      </c>
      <c r="I153" s="4" t="s">
        <v>1902</v>
      </c>
      <c r="J153" s="19" t="str">
        <f t="shared" si="10"/>
        <v>PI843615A</v>
      </c>
      <c r="K153" s="19" t="str">
        <f t="shared" si="11"/>
        <v>Not Found</v>
      </c>
      <c r="L153" s="17"/>
      <c r="M153" s="18"/>
    </row>
    <row r="154" spans="3:13" hidden="1" x14ac:dyDescent="0.25">
      <c r="C154" s="10"/>
      <c r="D154" s="14" t="s">
        <v>3765</v>
      </c>
      <c r="E154" s="4">
        <v>2</v>
      </c>
      <c r="F154" s="5">
        <v>2</v>
      </c>
      <c r="G154" s="7">
        <f t="shared" si="9"/>
        <v>0</v>
      </c>
      <c r="H154" s="6">
        <f t="shared" si="8"/>
        <v>0</v>
      </c>
      <c r="I154" s="4" t="s">
        <v>1904</v>
      </c>
      <c r="J154" s="19" t="str">
        <f t="shared" si="10"/>
        <v>PI843615B</v>
      </c>
      <c r="K154" s="19" t="str">
        <f t="shared" si="11"/>
        <v>Not Found</v>
      </c>
      <c r="L154" s="17"/>
      <c r="M154" s="18"/>
    </row>
    <row r="155" spans="3:13" hidden="1" x14ac:dyDescent="0.25">
      <c r="C155" s="10"/>
      <c r="D155" s="14" t="s">
        <v>3766</v>
      </c>
      <c r="E155" s="4">
        <v>2</v>
      </c>
      <c r="F155" s="5">
        <v>2</v>
      </c>
      <c r="G155" s="7">
        <f t="shared" si="9"/>
        <v>0</v>
      </c>
      <c r="H155" s="6">
        <f t="shared" si="8"/>
        <v>0</v>
      </c>
      <c r="I155" s="4" t="s">
        <v>1906</v>
      </c>
      <c r="J155" s="19" t="str">
        <f t="shared" si="10"/>
        <v>PI843620</v>
      </c>
      <c r="K155" s="19" t="str">
        <f t="shared" si="11"/>
        <v>Not Found</v>
      </c>
      <c r="L155" s="17"/>
      <c r="M155" s="18"/>
    </row>
    <row r="156" spans="3:13" hidden="1" x14ac:dyDescent="0.25">
      <c r="C156" s="10"/>
      <c r="D156" s="14" t="s">
        <v>3767</v>
      </c>
      <c r="E156" s="4">
        <v>2</v>
      </c>
      <c r="F156" s="5">
        <v>2</v>
      </c>
      <c r="G156" s="7">
        <f t="shared" si="9"/>
        <v>0</v>
      </c>
      <c r="H156" s="6">
        <f t="shared" ref="H156:H219" si="12">IF(F156&lt;&gt;0,(E156-F156)/F156,"")</f>
        <v>0</v>
      </c>
      <c r="I156" s="4" t="s">
        <v>1908</v>
      </c>
      <c r="J156" s="19" t="str">
        <f t="shared" si="10"/>
        <v>PI843702A</v>
      </c>
      <c r="K156" s="19" t="str">
        <f t="shared" si="11"/>
        <v>Not Found</v>
      </c>
      <c r="L156" s="17"/>
      <c r="M156" s="18"/>
    </row>
    <row r="157" spans="3:13" hidden="1" x14ac:dyDescent="0.25">
      <c r="C157" s="10"/>
      <c r="D157" s="14" t="s">
        <v>3768</v>
      </c>
      <c r="E157" s="4">
        <v>2</v>
      </c>
      <c r="F157" s="5">
        <v>2</v>
      </c>
      <c r="G157" s="7">
        <f t="shared" si="9"/>
        <v>0</v>
      </c>
      <c r="H157" s="6">
        <f t="shared" si="12"/>
        <v>0</v>
      </c>
      <c r="I157" s="4" t="s">
        <v>1910</v>
      </c>
      <c r="J157" s="19" t="str">
        <f t="shared" si="10"/>
        <v>PI843702B</v>
      </c>
      <c r="K157" s="19" t="str">
        <f t="shared" si="11"/>
        <v>Not Found</v>
      </c>
      <c r="L157" s="17"/>
      <c r="M157" s="18"/>
    </row>
    <row r="158" spans="3:13" hidden="1" x14ac:dyDescent="0.25">
      <c r="C158" s="10"/>
      <c r="D158" s="14" t="s">
        <v>3769</v>
      </c>
      <c r="E158" s="4">
        <v>2</v>
      </c>
      <c r="F158" s="5">
        <v>2</v>
      </c>
      <c r="G158" s="7">
        <f t="shared" ref="G158:G221" si="13">(E158-F158)</f>
        <v>0</v>
      </c>
      <c r="H158" s="6">
        <f t="shared" si="12"/>
        <v>0</v>
      </c>
      <c r="I158" s="4" t="s">
        <v>1912</v>
      </c>
      <c r="J158" s="19" t="str">
        <f t="shared" si="10"/>
        <v>PI843717</v>
      </c>
      <c r="K158" s="19" t="str">
        <f t="shared" si="11"/>
        <v>Not Found</v>
      </c>
      <c r="L158" s="17"/>
      <c r="M158" s="18"/>
    </row>
    <row r="159" spans="3:13" x14ac:dyDescent="0.25">
      <c r="C159" s="10"/>
      <c r="D159" s="14" t="s">
        <v>3770</v>
      </c>
      <c r="E159" s="4">
        <v>2</v>
      </c>
      <c r="F159" s="5">
        <v>2</v>
      </c>
      <c r="G159" s="7">
        <f t="shared" si="13"/>
        <v>0</v>
      </c>
      <c r="H159" s="6">
        <f t="shared" si="12"/>
        <v>0</v>
      </c>
      <c r="I159" s="4" t="s">
        <v>1914</v>
      </c>
      <c r="J159" s="19" t="str">
        <f t="shared" si="10"/>
        <v>PI845002</v>
      </c>
      <c r="K159" s="19" t="str">
        <f t="shared" si="11"/>
        <v>Util380_1_Graphic_Display_Translated.xaml</v>
      </c>
      <c r="L159" s="17"/>
      <c r="M159" s="18"/>
    </row>
    <row r="160" spans="3:13" x14ac:dyDescent="0.25">
      <c r="C160" s="10"/>
      <c r="D160" s="14" t="s">
        <v>3771</v>
      </c>
      <c r="E160" s="4">
        <v>2</v>
      </c>
      <c r="F160" s="5">
        <v>2</v>
      </c>
      <c r="G160" s="7">
        <f t="shared" si="13"/>
        <v>0</v>
      </c>
      <c r="H160" s="6">
        <f t="shared" si="12"/>
        <v>0</v>
      </c>
      <c r="I160" s="4" t="s">
        <v>1916</v>
      </c>
      <c r="J160" s="19" t="str">
        <f t="shared" si="10"/>
        <v>PI845204</v>
      </c>
      <c r="K160" s="19" t="str">
        <f t="shared" si="11"/>
        <v>Util380_1_Graphic_Display_Translated.xaml</v>
      </c>
      <c r="L160" s="17"/>
      <c r="M160" s="18"/>
    </row>
    <row r="161" spans="3:13" x14ac:dyDescent="0.25">
      <c r="C161" s="10"/>
      <c r="D161" s="14" t="s">
        <v>3772</v>
      </c>
      <c r="E161" s="4">
        <v>2</v>
      </c>
      <c r="F161" s="5">
        <v>2</v>
      </c>
      <c r="G161" s="7">
        <f t="shared" si="13"/>
        <v>0</v>
      </c>
      <c r="H161" s="6">
        <f t="shared" si="12"/>
        <v>0</v>
      </c>
      <c r="I161" s="4" t="s">
        <v>1918</v>
      </c>
      <c r="J161" s="19" t="str">
        <f t="shared" si="10"/>
        <v>PI896103</v>
      </c>
      <c r="K161" s="19" t="str">
        <f t="shared" si="11"/>
        <v>SUM8961_Graphic_Display_Translated.xaml</v>
      </c>
      <c r="L161" s="17"/>
      <c r="M161" s="18"/>
    </row>
    <row r="162" spans="3:13" x14ac:dyDescent="0.25">
      <c r="C162" s="10"/>
      <c r="D162" s="14" t="s">
        <v>3773</v>
      </c>
      <c r="E162" s="4">
        <v>2</v>
      </c>
      <c r="F162" s="5">
        <v>2</v>
      </c>
      <c r="G162" s="7">
        <f t="shared" si="13"/>
        <v>0</v>
      </c>
      <c r="H162" s="6">
        <f t="shared" si="12"/>
        <v>0</v>
      </c>
      <c r="I162" s="4" t="s">
        <v>1920</v>
      </c>
      <c r="J162" s="19" t="str">
        <f t="shared" si="10"/>
        <v>PI896104</v>
      </c>
      <c r="K162" s="19" t="str">
        <f t="shared" si="11"/>
        <v>SUM8961_Graphic_Display_Translated.xaml</v>
      </c>
      <c r="L162" s="17"/>
      <c r="M162" s="18"/>
    </row>
    <row r="163" spans="3:13" hidden="1" x14ac:dyDescent="0.25">
      <c r="C163" s="10"/>
      <c r="D163" s="14" t="s">
        <v>3774</v>
      </c>
      <c r="E163" s="4">
        <v>2</v>
      </c>
      <c r="F163" s="5">
        <v>2</v>
      </c>
      <c r="G163" s="7">
        <f t="shared" si="13"/>
        <v>0</v>
      </c>
      <c r="H163" s="6">
        <f t="shared" si="12"/>
        <v>0</v>
      </c>
      <c r="I163" s="4" t="s">
        <v>1922</v>
      </c>
      <c r="J163" s="19" t="str">
        <f t="shared" si="10"/>
        <v>PI899402</v>
      </c>
      <c r="K163" s="19" t="str">
        <f t="shared" si="11"/>
        <v>Not Found</v>
      </c>
      <c r="L163" s="17"/>
      <c r="M163" s="18"/>
    </row>
    <row r="164" spans="3:13" hidden="1" x14ac:dyDescent="0.25">
      <c r="C164" s="10"/>
      <c r="D164" s="14" t="s">
        <v>3775</v>
      </c>
      <c r="E164" s="4">
        <v>2</v>
      </c>
      <c r="F164" s="5">
        <v>2</v>
      </c>
      <c r="G164" s="7">
        <f t="shared" si="13"/>
        <v>0</v>
      </c>
      <c r="H164" s="6">
        <f t="shared" si="12"/>
        <v>0</v>
      </c>
      <c r="I164" s="4" t="s">
        <v>1924</v>
      </c>
      <c r="J164" s="19" t="str">
        <f t="shared" si="10"/>
        <v>PI899403</v>
      </c>
      <c r="K164" s="19" t="str">
        <f t="shared" si="11"/>
        <v>Not Found</v>
      </c>
      <c r="L164" s="17"/>
      <c r="M164" s="18"/>
    </row>
    <row r="165" spans="3:13" hidden="1" x14ac:dyDescent="0.25">
      <c r="C165" s="10"/>
      <c r="D165" s="14" t="s">
        <v>3776</v>
      </c>
      <c r="E165" s="4">
        <v>2</v>
      </c>
      <c r="F165" s="5">
        <v>2</v>
      </c>
      <c r="G165" s="7">
        <f t="shared" si="13"/>
        <v>0</v>
      </c>
      <c r="H165" s="6">
        <f t="shared" si="12"/>
        <v>0</v>
      </c>
      <c r="I165" s="4" t="s">
        <v>1926</v>
      </c>
      <c r="J165" s="19" t="str">
        <f t="shared" si="10"/>
        <v>PI899405</v>
      </c>
      <c r="K165" s="19" t="str">
        <f t="shared" si="11"/>
        <v>Not Found</v>
      </c>
      <c r="L165" s="17"/>
      <c r="M165" s="18"/>
    </row>
    <row r="166" spans="3:13" hidden="1" x14ac:dyDescent="0.25">
      <c r="C166" s="10"/>
      <c r="D166" s="14" t="s">
        <v>3777</v>
      </c>
      <c r="E166" s="4">
        <v>2</v>
      </c>
      <c r="F166" s="5">
        <v>2</v>
      </c>
      <c r="G166" s="7">
        <f t="shared" si="13"/>
        <v>0</v>
      </c>
      <c r="H166" s="6">
        <f t="shared" si="12"/>
        <v>0</v>
      </c>
      <c r="I166" s="4" t="s">
        <v>1928</v>
      </c>
      <c r="J166" s="19" t="str">
        <f t="shared" si="10"/>
        <v>PI899406</v>
      </c>
      <c r="K166" s="19" t="str">
        <f t="shared" si="11"/>
        <v>Not Found</v>
      </c>
      <c r="L166" s="17"/>
      <c r="M166" s="18"/>
    </row>
    <row r="167" spans="3:13" hidden="1" x14ac:dyDescent="0.25">
      <c r="C167" s="10"/>
      <c r="D167" s="14" t="s">
        <v>3778</v>
      </c>
      <c r="E167" s="4">
        <v>2</v>
      </c>
      <c r="F167" s="5">
        <v>2</v>
      </c>
      <c r="G167" s="7">
        <f t="shared" si="13"/>
        <v>0</v>
      </c>
      <c r="H167" s="6">
        <f t="shared" si="12"/>
        <v>0</v>
      </c>
      <c r="I167" s="4" t="s">
        <v>1930</v>
      </c>
      <c r="J167" s="19" t="str">
        <f t="shared" si="10"/>
        <v>PI899502</v>
      </c>
      <c r="K167" s="19" t="str">
        <f t="shared" si="11"/>
        <v>Not Found</v>
      </c>
      <c r="L167" s="17"/>
      <c r="M167" s="18"/>
    </row>
    <row r="168" spans="3:13" hidden="1" x14ac:dyDescent="0.25">
      <c r="C168" s="10"/>
      <c r="D168" s="14" t="s">
        <v>3779</v>
      </c>
      <c r="E168" s="4">
        <v>2</v>
      </c>
      <c r="F168" s="5">
        <v>2</v>
      </c>
      <c r="G168" s="7">
        <f t="shared" si="13"/>
        <v>0</v>
      </c>
      <c r="H168" s="6">
        <f t="shared" si="12"/>
        <v>0</v>
      </c>
      <c r="I168" s="4" t="s">
        <v>1932</v>
      </c>
      <c r="J168" s="19" t="str">
        <f t="shared" si="10"/>
        <v>PI899503</v>
      </c>
      <c r="K168" s="19" t="str">
        <f t="shared" si="11"/>
        <v>Not Found</v>
      </c>
      <c r="L168" s="17"/>
      <c r="M168" s="18"/>
    </row>
    <row r="169" spans="3:13" hidden="1" x14ac:dyDescent="0.25">
      <c r="C169" s="10"/>
      <c r="D169" s="14" t="s">
        <v>3780</v>
      </c>
      <c r="E169" s="4">
        <v>2</v>
      </c>
      <c r="F169" s="5">
        <v>2</v>
      </c>
      <c r="G169" s="7">
        <f t="shared" si="13"/>
        <v>0</v>
      </c>
      <c r="H169" s="6">
        <f t="shared" si="12"/>
        <v>0</v>
      </c>
      <c r="I169" s="4" t="s">
        <v>1934</v>
      </c>
      <c r="J169" s="19" t="str">
        <f t="shared" si="10"/>
        <v>PI899505</v>
      </c>
      <c r="K169" s="19" t="str">
        <f t="shared" si="11"/>
        <v>Not Found</v>
      </c>
      <c r="L169" s="17"/>
      <c r="M169" s="18"/>
    </row>
    <row r="170" spans="3:13" hidden="1" x14ac:dyDescent="0.25">
      <c r="C170" s="10"/>
      <c r="D170" s="14" t="s">
        <v>3781</v>
      </c>
      <c r="E170" s="4">
        <v>2</v>
      </c>
      <c r="F170" s="5">
        <v>2</v>
      </c>
      <c r="G170" s="7">
        <f t="shared" si="13"/>
        <v>0</v>
      </c>
      <c r="H170" s="6">
        <f t="shared" si="12"/>
        <v>0</v>
      </c>
      <c r="I170" s="4" t="s">
        <v>1936</v>
      </c>
      <c r="J170" s="19" t="str">
        <f t="shared" si="10"/>
        <v>PI899506</v>
      </c>
      <c r="K170" s="19" t="str">
        <f t="shared" si="11"/>
        <v>Not Found</v>
      </c>
      <c r="L170" s="17"/>
      <c r="M170" s="18"/>
    </row>
    <row r="171" spans="3:13" hidden="1" x14ac:dyDescent="0.25">
      <c r="C171" s="10"/>
      <c r="D171" s="14" t="s">
        <v>3782</v>
      </c>
      <c r="E171" s="4">
        <v>2</v>
      </c>
      <c r="F171" s="5">
        <v>2</v>
      </c>
      <c r="G171" s="7">
        <f t="shared" si="13"/>
        <v>0</v>
      </c>
      <c r="H171" s="6">
        <f t="shared" si="12"/>
        <v>0</v>
      </c>
      <c r="I171" s="4" t="s">
        <v>1938</v>
      </c>
      <c r="J171" s="19" t="str">
        <f t="shared" si="10"/>
        <v>PI899508</v>
      </c>
      <c r="K171" s="19" t="str">
        <f t="shared" si="11"/>
        <v>Not Found</v>
      </c>
      <c r="L171" s="17"/>
      <c r="M171" s="18"/>
    </row>
    <row r="172" spans="3:13" hidden="1" x14ac:dyDescent="0.25">
      <c r="C172" s="10"/>
      <c r="D172" s="14" t="s">
        <v>3783</v>
      </c>
      <c r="E172" s="4">
        <v>2</v>
      </c>
      <c r="F172" s="5">
        <v>2</v>
      </c>
      <c r="G172" s="7">
        <f t="shared" si="13"/>
        <v>0</v>
      </c>
      <c r="H172" s="6">
        <f t="shared" si="12"/>
        <v>0</v>
      </c>
      <c r="I172" s="4" t="s">
        <v>1940</v>
      </c>
      <c r="J172" s="19" t="str">
        <f t="shared" si="10"/>
        <v>PI899509</v>
      </c>
      <c r="K172" s="19" t="str">
        <f t="shared" si="11"/>
        <v>Not Found</v>
      </c>
      <c r="L172" s="17"/>
      <c r="M172" s="18"/>
    </row>
    <row r="173" spans="3:13" hidden="1" x14ac:dyDescent="0.25">
      <c r="C173" s="10"/>
      <c r="D173" s="14" t="s">
        <v>3784</v>
      </c>
      <c r="E173" s="4">
        <v>2</v>
      </c>
      <c r="F173" s="5">
        <v>2</v>
      </c>
      <c r="G173" s="7">
        <f t="shared" si="13"/>
        <v>0</v>
      </c>
      <c r="H173" s="6">
        <f t="shared" si="12"/>
        <v>0</v>
      </c>
      <c r="I173" s="4" t="s">
        <v>1942</v>
      </c>
      <c r="J173" s="19" t="str">
        <f t="shared" si="10"/>
        <v>TI100112CC</v>
      </c>
      <c r="K173" s="19" t="str">
        <f t="shared" si="11"/>
        <v>Not Found</v>
      </c>
      <c r="L173" s="17"/>
      <c r="M173" s="18"/>
    </row>
    <row r="174" spans="3:13" hidden="1" x14ac:dyDescent="0.25">
      <c r="C174" s="10"/>
      <c r="D174" s="14" t="s">
        <v>3785</v>
      </c>
      <c r="E174" s="4">
        <v>2</v>
      </c>
      <c r="F174" s="5">
        <v>2</v>
      </c>
      <c r="G174" s="7">
        <f t="shared" si="13"/>
        <v>0</v>
      </c>
      <c r="H174" s="6">
        <f t="shared" si="12"/>
        <v>0</v>
      </c>
      <c r="I174" s="4" t="s">
        <v>1944</v>
      </c>
      <c r="J174" s="19" t="str">
        <f t="shared" si="10"/>
        <v>TI100114IC</v>
      </c>
      <c r="K174" s="19" t="str">
        <f t="shared" si="11"/>
        <v>Not Found</v>
      </c>
      <c r="L174" s="17"/>
      <c r="M174" s="18"/>
    </row>
    <row r="175" spans="3:13" hidden="1" x14ac:dyDescent="0.25">
      <c r="C175" s="10"/>
      <c r="D175" s="14" t="s">
        <v>3786</v>
      </c>
      <c r="E175" s="4">
        <v>2</v>
      </c>
      <c r="F175" s="5">
        <v>2</v>
      </c>
      <c r="G175" s="7">
        <f t="shared" si="13"/>
        <v>0</v>
      </c>
      <c r="H175" s="6">
        <f t="shared" si="12"/>
        <v>0</v>
      </c>
      <c r="I175" s="4" t="s">
        <v>1946</v>
      </c>
      <c r="J175" s="19" t="str">
        <f t="shared" si="10"/>
        <v>TI100120NC</v>
      </c>
      <c r="K175" s="19" t="str">
        <f t="shared" si="11"/>
        <v>Not Found</v>
      </c>
      <c r="L175" s="17"/>
      <c r="M175" s="18"/>
    </row>
    <row r="176" spans="3:13" hidden="1" x14ac:dyDescent="0.25">
      <c r="C176" s="10"/>
      <c r="D176" s="14" t="s">
        <v>3787</v>
      </c>
      <c r="E176" s="4">
        <v>2</v>
      </c>
      <c r="F176" s="5">
        <v>2</v>
      </c>
      <c r="G176" s="7">
        <f t="shared" si="13"/>
        <v>0</v>
      </c>
      <c r="H176" s="6">
        <f t="shared" si="12"/>
        <v>0</v>
      </c>
      <c r="I176" s="4" t="s">
        <v>1948</v>
      </c>
      <c r="J176" s="19" t="str">
        <f t="shared" si="10"/>
        <v>TI100201BP</v>
      </c>
      <c r="K176" s="19" t="str">
        <f t="shared" si="11"/>
        <v>Not Found</v>
      </c>
      <c r="L176" s="17"/>
      <c r="M176" s="18"/>
    </row>
    <row r="177" spans="3:13" hidden="1" x14ac:dyDescent="0.25">
      <c r="C177" s="10"/>
      <c r="D177" s="14" t="s">
        <v>3788</v>
      </c>
      <c r="E177" s="4">
        <v>2</v>
      </c>
      <c r="F177" s="5">
        <v>2</v>
      </c>
      <c r="G177" s="7">
        <f t="shared" si="13"/>
        <v>0</v>
      </c>
      <c r="H177" s="6">
        <f t="shared" si="12"/>
        <v>0</v>
      </c>
      <c r="I177" s="4" t="s">
        <v>1950</v>
      </c>
      <c r="J177" s="19" t="str">
        <f t="shared" si="10"/>
        <v>TI100601FF</v>
      </c>
      <c r="K177" s="19" t="str">
        <f t="shared" si="11"/>
        <v>Not Found</v>
      </c>
      <c r="L177" s="17"/>
      <c r="M177" s="18"/>
    </row>
    <row r="178" spans="3:13" hidden="1" x14ac:dyDescent="0.25">
      <c r="C178" s="10"/>
      <c r="D178" s="14" t="s">
        <v>3789</v>
      </c>
      <c r="E178" s="4">
        <v>2</v>
      </c>
      <c r="F178" s="5">
        <v>2</v>
      </c>
      <c r="G178" s="7">
        <f t="shared" si="13"/>
        <v>0</v>
      </c>
      <c r="H178" s="6">
        <f t="shared" si="12"/>
        <v>0</v>
      </c>
      <c r="I178" s="4" t="s">
        <v>1952</v>
      </c>
      <c r="J178" s="19" t="str">
        <f t="shared" si="10"/>
        <v>TI100701FF</v>
      </c>
      <c r="K178" s="19" t="str">
        <f t="shared" si="11"/>
        <v>Not Found</v>
      </c>
      <c r="L178" s="17"/>
      <c r="M178" s="18"/>
    </row>
    <row r="179" spans="3:13" x14ac:dyDescent="0.25">
      <c r="C179" s="10"/>
      <c r="D179" s="14" t="s">
        <v>3790</v>
      </c>
      <c r="E179" s="4">
        <v>2</v>
      </c>
      <c r="F179" s="5">
        <v>2</v>
      </c>
      <c r="G179" s="7">
        <f t="shared" si="13"/>
        <v>0</v>
      </c>
      <c r="H179" s="6">
        <f t="shared" si="12"/>
        <v>0</v>
      </c>
      <c r="I179" s="4" t="s">
        <v>1954</v>
      </c>
      <c r="J179" s="19" t="str">
        <f t="shared" si="10"/>
        <v>TI803013</v>
      </c>
      <c r="K179" s="19" t="str">
        <f t="shared" si="11"/>
        <v>V8020_Overview_Display_Translated.xaml</v>
      </c>
      <c r="L179" s="17"/>
      <c r="M179" s="18"/>
    </row>
    <row r="180" spans="3:13" x14ac:dyDescent="0.25">
      <c r="C180" s="10"/>
      <c r="D180" s="14" t="s">
        <v>3791</v>
      </c>
      <c r="E180" s="4">
        <v>2</v>
      </c>
      <c r="F180" s="5">
        <v>2</v>
      </c>
      <c r="G180" s="7">
        <f t="shared" si="13"/>
        <v>0</v>
      </c>
      <c r="H180" s="6">
        <f t="shared" si="12"/>
        <v>0</v>
      </c>
      <c r="I180" s="4" t="s">
        <v>1956</v>
      </c>
      <c r="J180" s="19" t="str">
        <f t="shared" si="10"/>
        <v>TI803113</v>
      </c>
      <c r="K180" s="19" t="str">
        <f t="shared" si="11"/>
        <v>V8030_Overview_Display_Translated.xaml</v>
      </c>
      <c r="L180" s="17"/>
      <c r="M180" s="18"/>
    </row>
    <row r="181" spans="3:13" x14ac:dyDescent="0.25">
      <c r="C181" s="10"/>
      <c r="D181" s="14" t="s">
        <v>3792</v>
      </c>
      <c r="E181" s="4">
        <v>2</v>
      </c>
      <c r="F181" s="5">
        <v>2</v>
      </c>
      <c r="G181" s="7">
        <f t="shared" si="13"/>
        <v>0</v>
      </c>
      <c r="H181" s="6">
        <f t="shared" si="12"/>
        <v>0</v>
      </c>
      <c r="I181" s="4" t="s">
        <v>1958</v>
      </c>
      <c r="J181" s="19" t="str">
        <f t="shared" si="10"/>
        <v>TI803213</v>
      </c>
      <c r="K181" s="19" t="str">
        <f t="shared" si="11"/>
        <v>V8040_Overview_Display_Translated.xaml</v>
      </c>
      <c r="L181" s="17"/>
      <c r="M181" s="18"/>
    </row>
    <row r="182" spans="3:13" x14ac:dyDescent="0.25">
      <c r="C182" s="10"/>
      <c r="D182" s="14" t="s">
        <v>3793</v>
      </c>
      <c r="E182" s="4">
        <v>2</v>
      </c>
      <c r="F182" s="5">
        <v>2</v>
      </c>
      <c r="G182" s="7">
        <f t="shared" si="13"/>
        <v>0</v>
      </c>
      <c r="H182" s="6">
        <f t="shared" si="12"/>
        <v>0</v>
      </c>
      <c r="I182" s="4" t="s">
        <v>1960</v>
      </c>
      <c r="J182" s="19" t="str">
        <f t="shared" si="10"/>
        <v>TI812109</v>
      </c>
      <c r="K182" s="19" t="str">
        <f t="shared" si="11"/>
        <v>P8134_Overview_Display_Translated.xaml</v>
      </c>
      <c r="L182" s="17"/>
      <c r="M182" s="18"/>
    </row>
    <row r="183" spans="3:13" x14ac:dyDescent="0.25">
      <c r="C183" s="10"/>
      <c r="D183" s="14" t="s">
        <v>3794</v>
      </c>
      <c r="E183" s="4">
        <v>2</v>
      </c>
      <c r="F183" s="5">
        <v>2</v>
      </c>
      <c r="G183" s="7">
        <f t="shared" si="13"/>
        <v>0</v>
      </c>
      <c r="H183" s="6">
        <f t="shared" si="12"/>
        <v>0</v>
      </c>
      <c r="I183" s="4" t="s">
        <v>1962</v>
      </c>
      <c r="J183" s="19" t="str">
        <f t="shared" si="10"/>
        <v>TI812124</v>
      </c>
      <c r="K183" s="19" t="str">
        <f t="shared" si="11"/>
        <v>P8134_Overview_Display_Translated.xaml</v>
      </c>
      <c r="L183" s="17"/>
      <c r="M183" s="18"/>
    </row>
    <row r="184" spans="3:13" x14ac:dyDescent="0.25">
      <c r="C184" s="10"/>
      <c r="D184" s="14" t="s">
        <v>3795</v>
      </c>
      <c r="E184" s="4">
        <v>2</v>
      </c>
      <c r="F184" s="5">
        <v>2</v>
      </c>
      <c r="G184" s="7">
        <f t="shared" si="13"/>
        <v>0</v>
      </c>
      <c r="H184" s="6">
        <f t="shared" si="12"/>
        <v>0</v>
      </c>
      <c r="I184" s="4" t="s">
        <v>1964</v>
      </c>
      <c r="J184" s="19" t="str">
        <f t="shared" si="10"/>
        <v>TI812221</v>
      </c>
      <c r="K184" s="19" t="str">
        <f t="shared" si="11"/>
        <v>P8134_Overview_Display_Translated.xaml</v>
      </c>
      <c r="L184" s="17"/>
      <c r="M184" s="18"/>
    </row>
    <row r="185" spans="3:13" x14ac:dyDescent="0.25">
      <c r="C185" s="10"/>
      <c r="D185" s="14" t="s">
        <v>3796</v>
      </c>
      <c r="E185" s="4">
        <v>2</v>
      </c>
      <c r="F185" s="5">
        <v>2</v>
      </c>
      <c r="G185" s="7">
        <f t="shared" si="13"/>
        <v>0</v>
      </c>
      <c r="H185" s="6">
        <f t="shared" si="12"/>
        <v>0</v>
      </c>
      <c r="I185" s="4" t="s">
        <v>1966</v>
      </c>
      <c r="J185" s="19" t="str">
        <f t="shared" si="10"/>
        <v>TI820551</v>
      </c>
      <c r="K185" s="19" t="str">
        <f t="shared" si="11"/>
        <v>R8203_Recycle_Pump_Graphic_Display_Translated.xaml</v>
      </c>
      <c r="L185" s="17"/>
      <c r="M185" s="18"/>
    </row>
    <row r="186" spans="3:13" x14ac:dyDescent="0.25">
      <c r="C186" s="10"/>
      <c r="D186" s="14" t="s">
        <v>3797</v>
      </c>
      <c r="E186" s="4">
        <v>2</v>
      </c>
      <c r="F186" s="5">
        <v>2</v>
      </c>
      <c r="G186" s="7">
        <f t="shared" si="13"/>
        <v>0</v>
      </c>
      <c r="H186" s="6">
        <f t="shared" si="12"/>
        <v>0</v>
      </c>
      <c r="I186" s="4" t="s">
        <v>1968</v>
      </c>
      <c r="J186" s="19" t="str">
        <f t="shared" si="10"/>
        <v>TI822142</v>
      </c>
      <c r="K186" s="19" t="str">
        <f t="shared" si="11"/>
        <v>T8219_Overview_Display_Translated.xaml</v>
      </c>
      <c r="L186" s="17"/>
      <c r="M186" s="18"/>
    </row>
    <row r="187" spans="3:13" x14ac:dyDescent="0.25">
      <c r="C187" s="10"/>
      <c r="D187" s="14" t="s">
        <v>3798</v>
      </c>
      <c r="E187" s="4">
        <v>2</v>
      </c>
      <c r="F187" s="5">
        <v>2</v>
      </c>
      <c r="G187" s="7">
        <f t="shared" si="13"/>
        <v>0</v>
      </c>
      <c r="H187" s="6">
        <f t="shared" si="12"/>
        <v>0</v>
      </c>
      <c r="I187" s="4" t="s">
        <v>1970</v>
      </c>
      <c r="J187" s="19" t="str">
        <f t="shared" si="10"/>
        <v>TI822920</v>
      </c>
      <c r="K187" s="19" t="str">
        <f t="shared" si="11"/>
        <v>T8212_Overview_Display_Translated.xaml</v>
      </c>
      <c r="L187" s="17"/>
      <c r="M187" s="18"/>
    </row>
    <row r="188" spans="3:13" x14ac:dyDescent="0.25">
      <c r="C188" s="10"/>
      <c r="D188" s="14" t="s">
        <v>3799</v>
      </c>
      <c r="E188" s="4">
        <v>2</v>
      </c>
      <c r="F188" s="5">
        <v>2</v>
      </c>
      <c r="G188" s="7">
        <f t="shared" si="13"/>
        <v>0</v>
      </c>
      <c r="H188" s="6">
        <f t="shared" si="12"/>
        <v>0</v>
      </c>
      <c r="I188" s="4" t="s">
        <v>1972</v>
      </c>
      <c r="J188" s="19" t="str">
        <f t="shared" si="10"/>
        <v>TI823016</v>
      </c>
      <c r="K188" s="19" t="str">
        <f t="shared" si="11"/>
        <v>T8219_Overview_Display_Translated.xaml</v>
      </c>
      <c r="L188" s="17"/>
      <c r="M188" s="18"/>
    </row>
    <row r="189" spans="3:13" x14ac:dyDescent="0.25">
      <c r="C189" s="10"/>
      <c r="D189" s="14" t="s">
        <v>3800</v>
      </c>
      <c r="E189" s="4">
        <v>2</v>
      </c>
      <c r="F189" s="5">
        <v>2</v>
      </c>
      <c r="G189" s="7">
        <f t="shared" si="13"/>
        <v>0</v>
      </c>
      <c r="H189" s="6">
        <f t="shared" si="12"/>
        <v>0</v>
      </c>
      <c r="I189" s="4" t="s">
        <v>1974</v>
      </c>
      <c r="J189" s="19" t="str">
        <f t="shared" si="10"/>
        <v>TI823209</v>
      </c>
      <c r="K189" s="19" t="str">
        <f t="shared" si="11"/>
        <v>P8244_Overview_Display_Translated.xaml</v>
      </c>
      <c r="L189" s="17"/>
      <c r="M189" s="18"/>
    </row>
    <row r="190" spans="3:13" x14ac:dyDescent="0.25">
      <c r="C190" s="10"/>
      <c r="D190" s="14" t="s">
        <v>3801</v>
      </c>
      <c r="E190" s="4">
        <v>2</v>
      </c>
      <c r="F190" s="5">
        <v>2</v>
      </c>
      <c r="G190" s="7">
        <f t="shared" si="13"/>
        <v>0</v>
      </c>
      <c r="H190" s="6">
        <f t="shared" si="12"/>
        <v>0</v>
      </c>
      <c r="I190" s="4" t="s">
        <v>1976</v>
      </c>
      <c r="J190" s="19" t="str">
        <f t="shared" si="10"/>
        <v>TI823220</v>
      </c>
      <c r="K190" s="19" t="str">
        <f t="shared" si="11"/>
        <v>P8244_Overview_Display_Translated.xaml</v>
      </c>
      <c r="L190" s="17"/>
      <c r="M190" s="18"/>
    </row>
    <row r="191" spans="3:13" hidden="1" x14ac:dyDescent="0.25">
      <c r="C191" s="10"/>
      <c r="D191" s="14" t="s">
        <v>3802</v>
      </c>
      <c r="E191" s="4">
        <v>2</v>
      </c>
      <c r="F191" s="5">
        <v>2</v>
      </c>
      <c r="G191" s="7">
        <f t="shared" si="13"/>
        <v>0</v>
      </c>
      <c r="H191" s="6">
        <f t="shared" si="12"/>
        <v>0</v>
      </c>
      <c r="I191" s="4" t="s">
        <v>1978</v>
      </c>
      <c r="J191" s="19" t="str">
        <f t="shared" si="10"/>
        <v>TI823319</v>
      </c>
      <c r="K191" s="19" t="str">
        <f t="shared" si="11"/>
        <v>Not Found</v>
      </c>
      <c r="L191" s="17"/>
      <c r="M191" s="18"/>
    </row>
    <row r="192" spans="3:13" x14ac:dyDescent="0.25">
      <c r="C192" s="10"/>
      <c r="D192" s="14" t="s">
        <v>3803</v>
      </c>
      <c r="E192" s="4">
        <v>2</v>
      </c>
      <c r="F192" s="5">
        <v>2</v>
      </c>
      <c r="G192" s="7">
        <f t="shared" si="13"/>
        <v>0</v>
      </c>
      <c r="H192" s="6">
        <f t="shared" si="12"/>
        <v>0</v>
      </c>
      <c r="I192" s="4" t="s">
        <v>1980</v>
      </c>
      <c r="J192" s="19" t="str">
        <f t="shared" si="10"/>
        <v>TI823321</v>
      </c>
      <c r="K192" s="19" t="str">
        <f t="shared" si="11"/>
        <v>P8244_Overview_Display_Translated.xaml</v>
      </c>
      <c r="L192" s="17"/>
      <c r="M192" s="18"/>
    </row>
    <row r="193" spans="3:13" x14ac:dyDescent="0.25">
      <c r="C193" s="10"/>
      <c r="D193" s="14" t="s">
        <v>3804</v>
      </c>
      <c r="E193" s="4">
        <v>2</v>
      </c>
      <c r="F193" s="5">
        <v>2</v>
      </c>
      <c r="G193" s="7">
        <f t="shared" si="13"/>
        <v>0</v>
      </c>
      <c r="H193" s="6">
        <f t="shared" si="12"/>
        <v>0</v>
      </c>
      <c r="I193" s="4" t="s">
        <v>1982</v>
      </c>
      <c r="J193" s="19" t="str">
        <f t="shared" si="10"/>
        <v>TI823350</v>
      </c>
      <c r="K193" s="19" t="str">
        <f t="shared" si="11"/>
        <v>P8244_Overview_Display_Translated.xaml</v>
      </c>
      <c r="L193" s="17"/>
      <c r="M193" s="18"/>
    </row>
    <row r="194" spans="3:13" hidden="1" x14ac:dyDescent="0.25">
      <c r="C194" s="10"/>
      <c r="D194" s="14" t="s">
        <v>3805</v>
      </c>
      <c r="E194" s="4">
        <v>2</v>
      </c>
      <c r="F194" s="5">
        <v>2</v>
      </c>
      <c r="G194" s="7">
        <f t="shared" si="13"/>
        <v>0</v>
      </c>
      <c r="H194" s="6">
        <f t="shared" si="12"/>
        <v>0</v>
      </c>
      <c r="I194" s="4" t="s">
        <v>1984</v>
      </c>
      <c r="J194" s="19" t="str">
        <f t="shared" si="10"/>
        <v>TI830301A_1oo2</v>
      </c>
      <c r="K194" s="19" t="str">
        <f t="shared" si="11"/>
        <v>Not Found</v>
      </c>
      <c r="L194" s="17"/>
      <c r="M194" s="18"/>
    </row>
    <row r="195" spans="3:13" hidden="1" x14ac:dyDescent="0.25">
      <c r="C195" s="10"/>
      <c r="D195" s="14" t="s">
        <v>3806</v>
      </c>
      <c r="E195" s="4">
        <v>2</v>
      </c>
      <c r="F195" s="5">
        <v>2</v>
      </c>
      <c r="G195" s="7">
        <f t="shared" si="13"/>
        <v>0</v>
      </c>
      <c r="H195" s="6">
        <f t="shared" si="12"/>
        <v>0</v>
      </c>
      <c r="I195" s="4" t="s">
        <v>1984</v>
      </c>
      <c r="J195" s="19" t="str">
        <f t="shared" si="10"/>
        <v>TI830301A_1oo2</v>
      </c>
      <c r="K195" s="19" t="str">
        <f t="shared" si="11"/>
        <v>Not Found</v>
      </c>
      <c r="L195" s="17"/>
      <c r="M195" s="18"/>
    </row>
    <row r="196" spans="3:13" hidden="1" x14ac:dyDescent="0.25">
      <c r="C196" s="10"/>
      <c r="D196" s="14" t="s">
        <v>3807</v>
      </c>
      <c r="E196" s="4">
        <v>2</v>
      </c>
      <c r="F196" s="5">
        <v>2</v>
      </c>
      <c r="G196" s="7">
        <f t="shared" si="13"/>
        <v>0</v>
      </c>
      <c r="H196" s="6">
        <f t="shared" si="12"/>
        <v>0</v>
      </c>
      <c r="I196" s="4" t="s">
        <v>1987</v>
      </c>
      <c r="J196" s="19" t="str">
        <f t="shared" si="10"/>
        <v>TI830312A_1oo2</v>
      </c>
      <c r="K196" s="19" t="str">
        <f t="shared" si="11"/>
        <v>Not Found</v>
      </c>
      <c r="L196" s="17"/>
      <c r="M196" s="18"/>
    </row>
    <row r="197" spans="3:13" hidden="1" x14ac:dyDescent="0.25">
      <c r="C197" s="10"/>
      <c r="D197" s="14" t="s">
        <v>3808</v>
      </c>
      <c r="E197" s="4">
        <v>2</v>
      </c>
      <c r="F197" s="5">
        <v>2</v>
      </c>
      <c r="G197" s="7">
        <f t="shared" si="13"/>
        <v>0</v>
      </c>
      <c r="H197" s="6">
        <f t="shared" si="12"/>
        <v>0</v>
      </c>
      <c r="I197" s="4" t="s">
        <v>1987</v>
      </c>
      <c r="J197" s="19" t="str">
        <f t="shared" si="10"/>
        <v>TI830312A_1oo2</v>
      </c>
      <c r="K197" s="19" t="str">
        <f t="shared" si="11"/>
        <v>Not Found</v>
      </c>
      <c r="L197" s="17"/>
      <c r="M197" s="18"/>
    </row>
    <row r="198" spans="3:13" hidden="1" x14ac:dyDescent="0.25">
      <c r="C198" s="10"/>
      <c r="D198" s="14" t="s">
        <v>3809</v>
      </c>
      <c r="E198" s="4">
        <v>2</v>
      </c>
      <c r="F198" s="5">
        <v>2</v>
      </c>
      <c r="G198" s="7">
        <f t="shared" si="13"/>
        <v>0</v>
      </c>
      <c r="H198" s="6">
        <f t="shared" si="12"/>
        <v>0</v>
      </c>
      <c r="I198" s="4" t="s">
        <v>1990</v>
      </c>
      <c r="J198" s="19" t="str">
        <f t="shared" si="10"/>
        <v>TI830416A_1oo2</v>
      </c>
      <c r="K198" s="19" t="str">
        <f t="shared" si="11"/>
        <v>Not Found</v>
      </c>
      <c r="L198" s="17"/>
      <c r="M198" s="18"/>
    </row>
    <row r="199" spans="3:13" hidden="1" x14ac:dyDescent="0.25">
      <c r="C199" s="10"/>
      <c r="D199" s="14" t="s">
        <v>3810</v>
      </c>
      <c r="E199" s="4">
        <v>2</v>
      </c>
      <c r="F199" s="5">
        <v>2</v>
      </c>
      <c r="G199" s="7">
        <f t="shared" si="13"/>
        <v>0</v>
      </c>
      <c r="H199" s="6">
        <f t="shared" si="12"/>
        <v>0</v>
      </c>
      <c r="I199" s="4" t="s">
        <v>1990</v>
      </c>
      <c r="J199" s="19" t="str">
        <f t="shared" si="10"/>
        <v>TI830416A_1oo2</v>
      </c>
      <c r="K199" s="19" t="str">
        <f t="shared" si="11"/>
        <v>Not Found</v>
      </c>
      <c r="L199" s="17"/>
      <c r="M199" s="18"/>
    </row>
    <row r="200" spans="3:13" hidden="1" x14ac:dyDescent="0.25">
      <c r="C200" s="10"/>
      <c r="D200" s="14" t="s">
        <v>3811</v>
      </c>
      <c r="E200" s="4">
        <v>2</v>
      </c>
      <c r="F200" s="5">
        <v>2</v>
      </c>
      <c r="G200" s="7">
        <f t="shared" si="13"/>
        <v>0</v>
      </c>
      <c r="H200" s="6">
        <f t="shared" si="12"/>
        <v>0</v>
      </c>
      <c r="I200" s="4" t="s">
        <v>1993</v>
      </c>
      <c r="J200" s="19" t="str">
        <f t="shared" ref="J200:J221" si="14">+LEFT(D200,FIND("IO",D200,1)-1)</f>
        <v>TI830621</v>
      </c>
      <c r="K200" s="19" t="str">
        <f t="shared" ref="K200:K221" si="15">+findinfile($J$3,$J200,"Name")</f>
        <v>Not Found</v>
      </c>
      <c r="L200" s="17"/>
      <c r="M200" s="18"/>
    </row>
    <row r="201" spans="3:13" x14ac:dyDescent="0.25">
      <c r="C201" s="10"/>
      <c r="D201" s="14" t="s">
        <v>3812</v>
      </c>
      <c r="E201" s="4">
        <v>2</v>
      </c>
      <c r="F201" s="5">
        <v>2</v>
      </c>
      <c r="G201" s="7">
        <f t="shared" si="13"/>
        <v>0</v>
      </c>
      <c r="H201" s="6">
        <f t="shared" si="12"/>
        <v>0</v>
      </c>
      <c r="I201" s="4" t="s">
        <v>1995</v>
      </c>
      <c r="J201" s="19" t="str">
        <f t="shared" si="14"/>
        <v>TI832103</v>
      </c>
      <c r="K201" s="19" t="str">
        <f t="shared" si="15"/>
        <v>T8307_Overview_Display_Translated.xaml</v>
      </c>
      <c r="L201" s="17"/>
      <c r="M201" s="18"/>
    </row>
    <row r="202" spans="3:13" x14ac:dyDescent="0.25">
      <c r="C202" s="10"/>
      <c r="D202" s="14" t="s">
        <v>3813</v>
      </c>
      <c r="E202" s="4">
        <v>2</v>
      </c>
      <c r="F202" s="5">
        <v>2</v>
      </c>
      <c r="G202" s="7">
        <f t="shared" si="13"/>
        <v>0</v>
      </c>
      <c r="H202" s="6">
        <f t="shared" si="12"/>
        <v>0</v>
      </c>
      <c r="I202" s="4" t="s">
        <v>1997</v>
      </c>
      <c r="J202" s="19" t="str">
        <f t="shared" si="14"/>
        <v>TI832115</v>
      </c>
      <c r="K202" s="19" t="str">
        <f t="shared" si="15"/>
        <v>P8307_Graphic_Display_Translated.xaml</v>
      </c>
      <c r="L202" s="17"/>
      <c r="M202" s="18"/>
    </row>
    <row r="203" spans="3:13" x14ac:dyDescent="0.25">
      <c r="C203" s="10"/>
      <c r="D203" s="14" t="s">
        <v>3814</v>
      </c>
      <c r="E203" s="4">
        <v>2</v>
      </c>
      <c r="F203" s="5">
        <v>2</v>
      </c>
      <c r="G203" s="7">
        <f t="shared" si="13"/>
        <v>0</v>
      </c>
      <c r="H203" s="6">
        <f t="shared" si="12"/>
        <v>0</v>
      </c>
      <c r="I203" s="4" t="s">
        <v>1999</v>
      </c>
      <c r="J203" s="19" t="str">
        <f t="shared" si="14"/>
        <v>TI832309</v>
      </c>
      <c r="K203" s="19" t="str">
        <f t="shared" si="15"/>
        <v>P8324_Overview_Display_Translated.xaml</v>
      </c>
      <c r="L203" s="17"/>
      <c r="M203" s="18"/>
    </row>
    <row r="204" spans="3:13" x14ac:dyDescent="0.25">
      <c r="C204" s="10"/>
      <c r="D204" s="14" t="s">
        <v>3815</v>
      </c>
      <c r="E204" s="4">
        <v>2</v>
      </c>
      <c r="F204" s="5">
        <v>2</v>
      </c>
      <c r="G204" s="7">
        <f t="shared" si="13"/>
        <v>0</v>
      </c>
      <c r="H204" s="6">
        <f t="shared" si="12"/>
        <v>0</v>
      </c>
      <c r="I204" s="4" t="s">
        <v>2001</v>
      </c>
      <c r="J204" s="19" t="str">
        <f t="shared" si="14"/>
        <v>TI832345</v>
      </c>
      <c r="K204" s="19" t="str">
        <f t="shared" si="15"/>
        <v>P8324_Overview_Display_Translated.xaml</v>
      </c>
      <c r="L204" s="17"/>
      <c r="M204" s="18"/>
    </row>
    <row r="205" spans="3:13" x14ac:dyDescent="0.25">
      <c r="C205" s="10"/>
      <c r="D205" s="14" t="s">
        <v>3816</v>
      </c>
      <c r="E205" s="4">
        <v>2</v>
      </c>
      <c r="F205" s="5">
        <v>2</v>
      </c>
      <c r="G205" s="7">
        <f t="shared" si="13"/>
        <v>0</v>
      </c>
      <c r="H205" s="6">
        <f t="shared" si="12"/>
        <v>0</v>
      </c>
      <c r="I205" s="4" t="s">
        <v>2003</v>
      </c>
      <c r="J205" s="19" t="str">
        <f t="shared" si="14"/>
        <v>TI832421</v>
      </c>
      <c r="K205" s="19" t="str">
        <f t="shared" si="15"/>
        <v>P8324_Overview_Display_Translated.xaml</v>
      </c>
      <c r="L205" s="17"/>
      <c r="M205" s="18"/>
    </row>
    <row r="206" spans="3:13" x14ac:dyDescent="0.25">
      <c r="C206" s="10"/>
      <c r="D206" s="14" t="s">
        <v>3817</v>
      </c>
      <c r="E206" s="4">
        <v>2</v>
      </c>
      <c r="F206" s="5">
        <v>2</v>
      </c>
      <c r="G206" s="7">
        <f t="shared" si="13"/>
        <v>0</v>
      </c>
      <c r="H206" s="6">
        <f t="shared" si="12"/>
        <v>0</v>
      </c>
      <c r="I206" s="4" t="s">
        <v>2005</v>
      </c>
      <c r="J206" s="19" t="str">
        <f t="shared" si="14"/>
        <v>TI832521</v>
      </c>
      <c r="K206" s="19" t="str">
        <f t="shared" si="15"/>
        <v>P8324_Overview_Display_Translated.xaml</v>
      </c>
      <c r="L206" s="17"/>
      <c r="M206" s="18"/>
    </row>
    <row r="207" spans="3:13" x14ac:dyDescent="0.25">
      <c r="C207" s="10"/>
      <c r="D207" s="14" t="s">
        <v>3818</v>
      </c>
      <c r="E207" s="4">
        <v>2</v>
      </c>
      <c r="F207" s="5">
        <v>2</v>
      </c>
      <c r="G207" s="7">
        <f t="shared" si="13"/>
        <v>0</v>
      </c>
      <c r="H207" s="6">
        <f t="shared" si="12"/>
        <v>0</v>
      </c>
      <c r="I207" s="4" t="s">
        <v>2007</v>
      </c>
      <c r="J207" s="19" t="str">
        <f t="shared" si="14"/>
        <v>TI841101</v>
      </c>
      <c r="K207" s="19" t="str">
        <f t="shared" si="15"/>
        <v>Util380_3_Graphic_Display_Translated.xaml</v>
      </c>
      <c r="L207" s="17"/>
      <c r="M207" s="18"/>
    </row>
    <row r="208" spans="3:13" x14ac:dyDescent="0.25">
      <c r="C208" s="10"/>
      <c r="D208" s="14" t="s">
        <v>3819</v>
      </c>
      <c r="E208" s="4">
        <v>2</v>
      </c>
      <c r="F208" s="5">
        <v>2</v>
      </c>
      <c r="G208" s="7">
        <f t="shared" si="13"/>
        <v>0</v>
      </c>
      <c r="H208" s="6">
        <f t="shared" si="12"/>
        <v>0</v>
      </c>
      <c r="I208" s="4" t="s">
        <v>2009</v>
      </c>
      <c r="J208" s="19" t="str">
        <f t="shared" si="14"/>
        <v>TI841904</v>
      </c>
      <c r="K208" s="19" t="str">
        <f t="shared" si="15"/>
        <v>Util380_1_Graphic_Display_Translated.xaml</v>
      </c>
      <c r="L208" s="17"/>
      <c r="M208" s="18"/>
    </row>
    <row r="209" spans="3:13" x14ac:dyDescent="0.25">
      <c r="C209" s="10"/>
      <c r="D209" s="14" t="s">
        <v>3820</v>
      </c>
      <c r="E209" s="4">
        <v>2</v>
      </c>
      <c r="F209" s="5">
        <v>2</v>
      </c>
      <c r="G209" s="7">
        <f t="shared" si="13"/>
        <v>0</v>
      </c>
      <c r="H209" s="6">
        <f t="shared" si="12"/>
        <v>0</v>
      </c>
      <c r="I209" s="4" t="s">
        <v>2011</v>
      </c>
      <c r="J209" s="19" t="str">
        <f t="shared" si="14"/>
        <v>TI843108</v>
      </c>
      <c r="K209" s="19" t="str">
        <f t="shared" si="15"/>
        <v>Util380_3_Graphic_Display_Translated.xaml</v>
      </c>
      <c r="L209" s="17"/>
      <c r="M209" s="18"/>
    </row>
    <row r="210" spans="3:13" x14ac:dyDescent="0.25">
      <c r="C210" s="10"/>
      <c r="D210" s="14" t="s">
        <v>3821</v>
      </c>
      <c r="E210" s="4">
        <v>2</v>
      </c>
      <c r="F210" s="5">
        <v>2</v>
      </c>
      <c r="G210" s="7">
        <f t="shared" si="13"/>
        <v>0</v>
      </c>
      <c r="H210" s="6">
        <f t="shared" si="12"/>
        <v>0</v>
      </c>
      <c r="I210" s="4" t="s">
        <v>2013</v>
      </c>
      <c r="J210" s="19" t="str">
        <f t="shared" si="14"/>
        <v>TI845003</v>
      </c>
      <c r="K210" s="19" t="str">
        <f t="shared" si="15"/>
        <v>Util380_1_Graphic_Display_Translated.xaml</v>
      </c>
      <c r="L210" s="17"/>
      <c r="M210" s="18"/>
    </row>
    <row r="211" spans="3:13" x14ac:dyDescent="0.25">
      <c r="C211" s="10"/>
      <c r="D211" s="14" t="s">
        <v>3822</v>
      </c>
      <c r="E211" s="4">
        <v>2</v>
      </c>
      <c r="F211" s="5">
        <v>2</v>
      </c>
      <c r="G211" s="7">
        <f t="shared" si="13"/>
        <v>0</v>
      </c>
      <c r="H211" s="6">
        <f t="shared" si="12"/>
        <v>0</v>
      </c>
      <c r="I211" s="4" t="s">
        <v>2015</v>
      </c>
      <c r="J211" s="19" t="str">
        <f t="shared" si="14"/>
        <v>TI852016</v>
      </c>
      <c r="K211" s="19" t="str">
        <f t="shared" si="15"/>
        <v>V8500_Graphic_Display_Translated.xaml</v>
      </c>
      <c r="L211" s="17"/>
      <c r="M211" s="18"/>
    </row>
    <row r="212" spans="3:13" hidden="1" x14ac:dyDescent="0.25">
      <c r="C212" s="10"/>
      <c r="D212" s="14" t="s">
        <v>3823</v>
      </c>
      <c r="E212" s="4">
        <v>2</v>
      </c>
      <c r="F212" s="5">
        <v>2</v>
      </c>
      <c r="G212" s="7">
        <f t="shared" si="13"/>
        <v>0</v>
      </c>
      <c r="H212" s="6">
        <f t="shared" si="12"/>
        <v>0</v>
      </c>
      <c r="I212" s="4" t="s">
        <v>2017</v>
      </c>
      <c r="J212" s="19" t="str">
        <f t="shared" si="14"/>
        <v>TI852065</v>
      </c>
      <c r="K212" s="19" t="str">
        <f t="shared" si="15"/>
        <v>Not Found</v>
      </c>
      <c r="L212" s="17"/>
      <c r="M212" s="18"/>
    </row>
    <row r="213" spans="3:13" x14ac:dyDescent="0.25">
      <c r="C213" s="10"/>
      <c r="D213" s="14" t="s">
        <v>3824</v>
      </c>
      <c r="E213" s="4">
        <v>2</v>
      </c>
      <c r="F213" s="5">
        <v>2</v>
      </c>
      <c r="G213" s="7">
        <f t="shared" si="13"/>
        <v>0</v>
      </c>
      <c r="H213" s="6">
        <f t="shared" si="12"/>
        <v>0</v>
      </c>
      <c r="I213" s="4" t="s">
        <v>2019</v>
      </c>
      <c r="J213" s="19" t="str">
        <f t="shared" si="14"/>
        <v>TI897965</v>
      </c>
      <c r="K213" s="19" t="str">
        <f t="shared" si="15"/>
        <v>MCC380_Graphic_Display_Translated.xaml</v>
      </c>
      <c r="L213" s="17"/>
      <c r="M213" s="18"/>
    </row>
    <row r="214" spans="3:13" x14ac:dyDescent="0.25">
      <c r="C214" s="10"/>
      <c r="D214" s="14" t="s">
        <v>3825</v>
      </c>
      <c r="E214" s="4">
        <v>2</v>
      </c>
      <c r="F214" s="5">
        <v>2</v>
      </c>
      <c r="G214" s="7">
        <f t="shared" si="13"/>
        <v>0</v>
      </c>
      <c r="H214" s="6">
        <f t="shared" si="12"/>
        <v>0</v>
      </c>
      <c r="I214" s="4" t="s">
        <v>2021</v>
      </c>
      <c r="J214" s="19" t="str">
        <f t="shared" si="14"/>
        <v>TI897967</v>
      </c>
      <c r="K214" s="19" t="str">
        <f t="shared" si="15"/>
        <v>MCC380_Graphic_Display_Translated.xaml</v>
      </c>
      <c r="L214" s="17"/>
      <c r="M214" s="18"/>
    </row>
    <row r="215" spans="3:13" x14ac:dyDescent="0.25">
      <c r="C215" s="10"/>
      <c r="D215" s="14" t="s">
        <v>3826</v>
      </c>
      <c r="E215" s="4">
        <v>2</v>
      </c>
      <c r="F215" s="5">
        <v>2</v>
      </c>
      <c r="G215" s="7">
        <f t="shared" si="13"/>
        <v>0</v>
      </c>
      <c r="H215" s="6">
        <f t="shared" si="12"/>
        <v>0</v>
      </c>
      <c r="I215" s="4" t="s">
        <v>2023</v>
      </c>
      <c r="J215" s="19" t="str">
        <f t="shared" si="14"/>
        <v>TI897968</v>
      </c>
      <c r="K215" s="19" t="str">
        <f t="shared" si="15"/>
        <v>MCC380_Graphic_Display_Translated.xaml</v>
      </c>
      <c r="L215" s="17"/>
      <c r="M215" s="18"/>
    </row>
    <row r="216" spans="3:13" hidden="1" x14ac:dyDescent="0.25">
      <c r="C216" s="10"/>
      <c r="D216" s="14" t="s">
        <v>3827</v>
      </c>
      <c r="E216" s="4">
        <v>2</v>
      </c>
      <c r="F216" s="5">
        <v>2</v>
      </c>
      <c r="G216" s="7">
        <f t="shared" si="13"/>
        <v>0</v>
      </c>
      <c r="H216" s="6">
        <f t="shared" si="12"/>
        <v>0</v>
      </c>
      <c r="I216" s="4" t="s">
        <v>2025</v>
      </c>
      <c r="J216" s="19" t="str">
        <f t="shared" si="14"/>
        <v>VI830503</v>
      </c>
      <c r="K216" s="19" t="str">
        <f t="shared" si="15"/>
        <v>Not Found</v>
      </c>
      <c r="L216" s="17"/>
      <c r="M216" s="18"/>
    </row>
    <row r="217" spans="3:13" hidden="1" x14ac:dyDescent="0.25">
      <c r="C217" s="10"/>
      <c r="D217" s="14" t="s">
        <v>3828</v>
      </c>
      <c r="E217" s="4">
        <v>2</v>
      </c>
      <c r="F217" s="5">
        <v>2</v>
      </c>
      <c r="G217" s="7">
        <f t="shared" si="13"/>
        <v>0</v>
      </c>
      <c r="H217" s="6">
        <f t="shared" si="12"/>
        <v>0</v>
      </c>
      <c r="I217" s="4" t="s">
        <v>2027</v>
      </c>
      <c r="J217" s="19" t="str">
        <f t="shared" si="14"/>
        <v>VI830510</v>
      </c>
      <c r="K217" s="19" t="str">
        <f t="shared" si="15"/>
        <v>Not Found</v>
      </c>
      <c r="L217" s="17"/>
      <c r="M217" s="18"/>
    </row>
    <row r="218" spans="3:13" x14ac:dyDescent="0.25">
      <c r="C218" s="10"/>
      <c r="D218" s="14" t="s">
        <v>3829</v>
      </c>
      <c r="E218" s="4">
        <v>2</v>
      </c>
      <c r="F218" s="5">
        <v>2</v>
      </c>
      <c r="G218" s="7">
        <f t="shared" si="13"/>
        <v>0</v>
      </c>
      <c r="H218" s="6">
        <f t="shared" si="12"/>
        <v>0</v>
      </c>
      <c r="I218" s="4" t="s">
        <v>2029</v>
      </c>
      <c r="J218" s="19" t="str">
        <f t="shared" si="14"/>
        <v>VI830632</v>
      </c>
      <c r="K218" s="19" t="str">
        <f t="shared" si="15"/>
        <v>R8302_Recycle_Pump_Graphic_Display_Translated.xaml</v>
      </c>
      <c r="L218" s="17"/>
      <c r="M218" s="18"/>
    </row>
    <row r="219" spans="3:13" x14ac:dyDescent="0.25">
      <c r="C219" s="10"/>
      <c r="D219" s="14" t="s">
        <v>3830</v>
      </c>
      <c r="E219" s="4">
        <v>2</v>
      </c>
      <c r="F219" s="5">
        <v>2</v>
      </c>
      <c r="G219" s="7">
        <f t="shared" si="13"/>
        <v>0</v>
      </c>
      <c r="H219" s="6">
        <f t="shared" si="12"/>
        <v>0</v>
      </c>
      <c r="I219" s="4" t="s">
        <v>2031</v>
      </c>
      <c r="J219" s="19" t="str">
        <f t="shared" si="14"/>
        <v>VI830861</v>
      </c>
      <c r="K219" s="19" t="str">
        <f t="shared" si="15"/>
        <v>R8302_TW_Loop_Graphic_Display_Translated.xaml</v>
      </c>
      <c r="L219" s="17"/>
      <c r="M219" s="18"/>
    </row>
    <row r="220" spans="3:13" x14ac:dyDescent="0.25">
      <c r="C220" s="10"/>
      <c r="D220" s="14" t="s">
        <v>3831</v>
      </c>
      <c r="E220" s="4">
        <v>2</v>
      </c>
      <c r="F220" s="5">
        <v>2</v>
      </c>
      <c r="G220" s="7">
        <f t="shared" si="13"/>
        <v>0</v>
      </c>
      <c r="H220" s="6">
        <f t="shared" ref="H220:H283" si="16">IF(F220&lt;&gt;0,(E220-F220)/F220,"")</f>
        <v>0</v>
      </c>
      <c r="I220" s="4" t="s">
        <v>2033</v>
      </c>
      <c r="J220" s="19" t="str">
        <f t="shared" si="14"/>
        <v>VI830862</v>
      </c>
      <c r="K220" s="19" t="str">
        <f t="shared" si="15"/>
        <v>R8302_TW_Loop_Graphic_Display_Translated.xaml</v>
      </c>
      <c r="L220" s="17"/>
      <c r="M220" s="18"/>
    </row>
    <row r="221" spans="3:13" x14ac:dyDescent="0.25">
      <c r="C221" s="10"/>
      <c r="D221" s="14" t="s">
        <v>3832</v>
      </c>
      <c r="E221" s="4">
        <v>2</v>
      </c>
      <c r="F221" s="5">
        <v>2</v>
      </c>
      <c r="G221" s="7">
        <f t="shared" si="13"/>
        <v>0</v>
      </c>
      <c r="H221" s="6">
        <f t="shared" si="16"/>
        <v>0</v>
      </c>
      <c r="I221" s="4" t="s">
        <v>2035</v>
      </c>
      <c r="J221" s="19" t="str">
        <f t="shared" si="14"/>
        <v>XI899009</v>
      </c>
      <c r="K221" s="19" t="str">
        <f t="shared" si="15"/>
        <v>EWSS380_Graphic_Display_Translated.xaml</v>
      </c>
      <c r="L221" s="17"/>
      <c r="M221" s="18"/>
    </row>
    <row r="222" spans="3:13" x14ac:dyDescent="0.25">
      <c r="C222" s="10"/>
      <c r="D222" s="14" t="s">
        <v>5245</v>
      </c>
      <c r="E222" s="4">
        <v>0</v>
      </c>
      <c r="F222" s="5"/>
      <c r="G222" s="7">
        <f t="shared" ref="G222:G285" si="17">(E222-F222)</f>
        <v>0</v>
      </c>
      <c r="H222" s="6" t="str">
        <f t="shared" si="16"/>
        <v/>
      </c>
      <c r="I222" s="4"/>
      <c r="J222" s="19"/>
      <c r="K222" s="19"/>
      <c r="L222" s="17"/>
      <c r="M222" s="18"/>
    </row>
    <row r="223" spans="3:13" x14ac:dyDescent="0.25">
      <c r="C223" s="10"/>
      <c r="D223" s="14" t="s">
        <v>5246</v>
      </c>
      <c r="E223" s="4">
        <v>0</v>
      </c>
      <c r="F223" s="5"/>
      <c r="G223" s="7">
        <f t="shared" si="17"/>
        <v>0</v>
      </c>
      <c r="H223" s="6" t="str">
        <f t="shared" si="16"/>
        <v/>
      </c>
      <c r="I223" s="4"/>
      <c r="J223" s="19"/>
      <c r="K223" s="19"/>
      <c r="L223" s="17"/>
      <c r="M223" s="18"/>
    </row>
    <row r="224" spans="3:13" x14ac:dyDescent="0.25">
      <c r="C224" s="10"/>
      <c r="D224" s="14" t="s">
        <v>5247</v>
      </c>
      <c r="E224" s="4">
        <v>0</v>
      </c>
      <c r="F224" s="5"/>
      <c r="G224" s="7">
        <f t="shared" si="17"/>
        <v>0</v>
      </c>
      <c r="H224" s="6" t="str">
        <f t="shared" si="16"/>
        <v/>
      </c>
      <c r="I224" s="4"/>
      <c r="J224" s="19"/>
      <c r="K224" s="19"/>
      <c r="L224" s="17"/>
      <c r="M224" s="18"/>
    </row>
    <row r="225" spans="3:13" x14ac:dyDescent="0.25">
      <c r="C225" s="10"/>
      <c r="D225" s="14" t="s">
        <v>5248</v>
      </c>
      <c r="E225" s="4">
        <v>2</v>
      </c>
      <c r="F225" s="5"/>
      <c r="G225" s="7">
        <f t="shared" si="17"/>
        <v>2</v>
      </c>
      <c r="H225" s="6" t="str">
        <f t="shared" si="16"/>
        <v/>
      </c>
      <c r="I225" s="4"/>
      <c r="J225" s="19"/>
      <c r="K225" s="19"/>
      <c r="L225" s="17"/>
      <c r="M225" s="18"/>
    </row>
    <row r="226" spans="3:13" x14ac:dyDescent="0.25">
      <c r="C226" s="10"/>
      <c r="D226" s="14" t="s">
        <v>5249</v>
      </c>
      <c r="E226" s="4">
        <v>0</v>
      </c>
      <c r="F226" s="5"/>
      <c r="G226" s="7">
        <f t="shared" si="17"/>
        <v>0</v>
      </c>
      <c r="H226" s="6" t="str">
        <f t="shared" si="16"/>
        <v/>
      </c>
      <c r="I226" s="4"/>
      <c r="J226" s="19"/>
      <c r="K226" s="19"/>
      <c r="L226" s="17"/>
      <c r="M226" s="18"/>
    </row>
    <row r="227" spans="3:13" x14ac:dyDescent="0.25">
      <c r="C227" s="10"/>
      <c r="D227" s="14" t="s">
        <v>5250</v>
      </c>
      <c r="E227" s="4">
        <v>0</v>
      </c>
      <c r="F227" s="5"/>
      <c r="G227" s="7">
        <f t="shared" si="17"/>
        <v>0</v>
      </c>
      <c r="H227" s="6" t="str">
        <f t="shared" si="16"/>
        <v/>
      </c>
      <c r="I227" s="4"/>
      <c r="J227" s="19"/>
      <c r="K227" s="19"/>
      <c r="L227" s="17"/>
      <c r="M227" s="18"/>
    </row>
    <row r="228" spans="3:13" x14ac:dyDescent="0.25">
      <c r="C228" s="10"/>
      <c r="D228" s="14" t="s">
        <v>5251</v>
      </c>
      <c r="E228" s="4">
        <v>0</v>
      </c>
      <c r="F228" s="5"/>
      <c r="G228" s="7">
        <f t="shared" si="17"/>
        <v>0</v>
      </c>
      <c r="H228" s="6" t="str">
        <f t="shared" si="16"/>
        <v/>
      </c>
      <c r="I228" s="4"/>
      <c r="J228" s="19"/>
      <c r="K228" s="19"/>
      <c r="L228" s="17"/>
      <c r="M228" s="18"/>
    </row>
    <row r="229" spans="3:13" x14ac:dyDescent="0.25">
      <c r="C229" s="10"/>
      <c r="D229" s="14" t="s">
        <v>5252</v>
      </c>
      <c r="E229" s="4">
        <v>0</v>
      </c>
      <c r="F229" s="5"/>
      <c r="G229" s="7">
        <f t="shared" si="17"/>
        <v>0</v>
      </c>
      <c r="H229" s="6" t="str">
        <f t="shared" si="16"/>
        <v/>
      </c>
      <c r="I229" s="4"/>
      <c r="J229" s="19"/>
      <c r="K229" s="19"/>
      <c r="L229" s="17"/>
      <c r="M229" s="18"/>
    </row>
    <row r="230" spans="3:13" x14ac:dyDescent="0.25">
      <c r="C230" s="10"/>
      <c r="D230" s="14" t="s">
        <v>5253</v>
      </c>
      <c r="E230" s="4">
        <v>0</v>
      </c>
      <c r="F230" s="5"/>
      <c r="G230" s="7">
        <f t="shared" si="17"/>
        <v>0</v>
      </c>
      <c r="H230" s="6" t="str">
        <f t="shared" si="16"/>
        <v/>
      </c>
      <c r="I230" s="4"/>
      <c r="J230" s="19"/>
      <c r="K230" s="19"/>
      <c r="L230" s="17"/>
      <c r="M230" s="18"/>
    </row>
    <row r="231" spans="3:13" x14ac:dyDescent="0.25">
      <c r="C231" s="10"/>
      <c r="D231" s="14" t="s">
        <v>5254</v>
      </c>
      <c r="E231" s="4">
        <v>0</v>
      </c>
      <c r="F231" s="5"/>
      <c r="G231" s="7">
        <f t="shared" si="17"/>
        <v>0</v>
      </c>
      <c r="H231" s="6" t="str">
        <f t="shared" si="16"/>
        <v/>
      </c>
      <c r="I231" s="4"/>
      <c r="J231" s="19"/>
      <c r="K231" s="19"/>
      <c r="L231" s="17"/>
      <c r="M231" s="18"/>
    </row>
    <row r="232" spans="3:13" x14ac:dyDescent="0.25">
      <c r="C232" s="10"/>
      <c r="D232" s="14" t="s">
        <v>5255</v>
      </c>
      <c r="E232" s="4">
        <v>0</v>
      </c>
      <c r="F232" s="5"/>
      <c r="G232" s="7">
        <f t="shared" si="17"/>
        <v>0</v>
      </c>
      <c r="H232" s="6" t="str">
        <f t="shared" si="16"/>
        <v/>
      </c>
      <c r="I232" s="4"/>
      <c r="J232" s="19"/>
      <c r="K232" s="19"/>
      <c r="L232" s="17"/>
      <c r="M232" s="18"/>
    </row>
    <row r="233" spans="3:13" x14ac:dyDescent="0.25">
      <c r="C233" s="10"/>
      <c r="D233" s="14" t="s">
        <v>5256</v>
      </c>
      <c r="E233" s="4">
        <v>0</v>
      </c>
      <c r="F233" s="5"/>
      <c r="G233" s="7">
        <f t="shared" si="17"/>
        <v>0</v>
      </c>
      <c r="H233" s="6" t="str">
        <f t="shared" si="16"/>
        <v/>
      </c>
      <c r="I233" s="4"/>
      <c r="J233" s="19"/>
      <c r="K233" s="19"/>
      <c r="L233" s="17"/>
      <c r="M233" s="18"/>
    </row>
    <row r="234" spans="3:13" x14ac:dyDescent="0.25">
      <c r="C234" s="10"/>
      <c r="D234" s="14" t="s">
        <v>5257</v>
      </c>
      <c r="E234" s="4">
        <v>0</v>
      </c>
      <c r="F234" s="5"/>
      <c r="G234" s="7">
        <f t="shared" si="17"/>
        <v>0</v>
      </c>
      <c r="H234" s="6" t="str">
        <f t="shared" si="16"/>
        <v/>
      </c>
      <c r="I234" s="4"/>
      <c r="J234" s="19"/>
      <c r="K234" s="19"/>
      <c r="L234" s="17"/>
      <c r="M234" s="18"/>
    </row>
    <row r="235" spans="3:13" x14ac:dyDescent="0.25">
      <c r="C235" s="10"/>
      <c r="D235" s="14" t="s">
        <v>5258</v>
      </c>
      <c r="E235" s="4">
        <v>0</v>
      </c>
      <c r="F235" s="5"/>
      <c r="G235" s="7">
        <f t="shared" si="17"/>
        <v>0</v>
      </c>
      <c r="H235" s="6" t="str">
        <f t="shared" si="16"/>
        <v/>
      </c>
      <c r="I235" s="4"/>
      <c r="J235" s="19"/>
      <c r="K235" s="19"/>
      <c r="L235" s="17"/>
      <c r="M235" s="18"/>
    </row>
    <row r="236" spans="3:13" x14ac:dyDescent="0.25">
      <c r="C236" s="10"/>
      <c r="D236" s="14" t="s">
        <v>5259</v>
      </c>
      <c r="E236" s="4">
        <v>0</v>
      </c>
      <c r="F236" s="5"/>
      <c r="G236" s="7">
        <f t="shared" si="17"/>
        <v>0</v>
      </c>
      <c r="H236" s="6" t="str">
        <f t="shared" si="16"/>
        <v/>
      </c>
      <c r="I236" s="4"/>
      <c r="J236" s="19"/>
      <c r="K236" s="19"/>
      <c r="L236" s="17"/>
      <c r="M236" s="18"/>
    </row>
    <row r="237" spans="3:13" x14ac:dyDescent="0.25">
      <c r="C237" s="10"/>
      <c r="D237" s="14" t="s">
        <v>5260</v>
      </c>
      <c r="E237" s="4">
        <v>0</v>
      </c>
      <c r="F237" s="5"/>
      <c r="G237" s="7">
        <f t="shared" si="17"/>
        <v>0</v>
      </c>
      <c r="H237" s="6" t="str">
        <f t="shared" si="16"/>
        <v/>
      </c>
      <c r="I237" s="4"/>
      <c r="J237" s="19"/>
      <c r="K237" s="19"/>
      <c r="L237" s="17"/>
      <c r="M237" s="18"/>
    </row>
    <row r="238" spans="3:13" x14ac:dyDescent="0.25">
      <c r="C238" s="10"/>
      <c r="D238" s="14" t="s">
        <v>5261</v>
      </c>
      <c r="E238" s="4">
        <v>0</v>
      </c>
      <c r="F238" s="5"/>
      <c r="G238" s="7">
        <f t="shared" si="17"/>
        <v>0</v>
      </c>
      <c r="H238" s="6" t="str">
        <f t="shared" si="16"/>
        <v/>
      </c>
      <c r="I238" s="4"/>
      <c r="J238" s="19"/>
      <c r="K238" s="19"/>
      <c r="L238" s="17"/>
      <c r="M238" s="18"/>
    </row>
    <row r="239" spans="3:13" x14ac:dyDescent="0.25">
      <c r="C239" s="10"/>
      <c r="D239" s="14" t="s">
        <v>5262</v>
      </c>
      <c r="E239" s="4">
        <v>2</v>
      </c>
      <c r="F239" s="5"/>
      <c r="G239" s="7">
        <f t="shared" si="17"/>
        <v>2</v>
      </c>
      <c r="H239" s="6" t="str">
        <f t="shared" si="16"/>
        <v/>
      </c>
      <c r="I239" s="4"/>
      <c r="J239" s="19"/>
      <c r="K239" s="19"/>
      <c r="L239" s="17"/>
      <c r="M239" s="18"/>
    </row>
    <row r="240" spans="3:13" x14ac:dyDescent="0.25">
      <c r="C240" s="10"/>
      <c r="D240" s="14" t="s">
        <v>5263</v>
      </c>
      <c r="E240" s="4">
        <v>2</v>
      </c>
      <c r="F240" s="5"/>
      <c r="G240" s="7">
        <f t="shared" si="17"/>
        <v>2</v>
      </c>
      <c r="H240" s="6" t="str">
        <f t="shared" si="16"/>
        <v/>
      </c>
      <c r="I240" s="4"/>
      <c r="J240" s="19"/>
      <c r="K240" s="19"/>
      <c r="L240" s="17"/>
      <c r="M240" s="18"/>
    </row>
    <row r="241" spans="3:13" x14ac:dyDescent="0.25">
      <c r="C241" s="10"/>
      <c r="D241" s="14" t="s">
        <v>5264</v>
      </c>
      <c r="E241" s="4">
        <v>2</v>
      </c>
      <c r="F241" s="5"/>
      <c r="G241" s="7">
        <f t="shared" si="17"/>
        <v>2</v>
      </c>
      <c r="H241" s="6" t="str">
        <f t="shared" si="16"/>
        <v/>
      </c>
      <c r="I241" s="4"/>
      <c r="J241" s="19"/>
      <c r="K241" s="19"/>
      <c r="L241" s="17"/>
      <c r="M241" s="18"/>
    </row>
    <row r="242" spans="3:13" x14ac:dyDescent="0.25">
      <c r="C242" s="10"/>
      <c r="D242" s="14" t="s">
        <v>5265</v>
      </c>
      <c r="E242" s="4">
        <v>2</v>
      </c>
      <c r="F242" s="5"/>
      <c r="G242" s="7">
        <f t="shared" si="17"/>
        <v>2</v>
      </c>
      <c r="H242" s="6" t="str">
        <f t="shared" si="16"/>
        <v/>
      </c>
      <c r="I242" s="4"/>
      <c r="J242" s="19"/>
      <c r="K242" s="19"/>
      <c r="L242" s="17"/>
      <c r="M242" s="18"/>
    </row>
    <row r="243" spans="3:13" x14ac:dyDescent="0.25">
      <c r="C243" s="10"/>
      <c r="D243" s="14" t="s">
        <v>5266</v>
      </c>
      <c r="E243" s="4">
        <v>0</v>
      </c>
      <c r="F243" s="5"/>
      <c r="G243" s="7">
        <f t="shared" si="17"/>
        <v>0</v>
      </c>
      <c r="H243" s="6" t="str">
        <f t="shared" si="16"/>
        <v/>
      </c>
      <c r="I243" s="4"/>
      <c r="J243" s="19"/>
      <c r="K243" s="19"/>
      <c r="L243" s="17"/>
      <c r="M243" s="18"/>
    </row>
    <row r="244" spans="3:13" x14ac:dyDescent="0.25">
      <c r="C244" s="10"/>
      <c r="D244" s="14" t="s">
        <v>5267</v>
      </c>
      <c r="E244" s="4">
        <v>0</v>
      </c>
      <c r="F244" s="5"/>
      <c r="G244" s="7">
        <f t="shared" si="17"/>
        <v>0</v>
      </c>
      <c r="H244" s="6" t="str">
        <f t="shared" si="16"/>
        <v/>
      </c>
      <c r="I244" s="4"/>
      <c r="J244" s="19"/>
      <c r="K244" s="19"/>
      <c r="L244" s="17"/>
      <c r="M244" s="18"/>
    </row>
    <row r="245" spans="3:13" x14ac:dyDescent="0.25">
      <c r="C245" s="10"/>
      <c r="D245" s="14" t="s">
        <v>5268</v>
      </c>
      <c r="E245" s="4">
        <v>2</v>
      </c>
      <c r="F245" s="5"/>
      <c r="G245" s="7">
        <f t="shared" si="17"/>
        <v>2</v>
      </c>
      <c r="H245" s="6" t="str">
        <f t="shared" si="16"/>
        <v/>
      </c>
      <c r="I245" s="4"/>
      <c r="J245" s="19"/>
      <c r="K245" s="19"/>
      <c r="L245" s="17"/>
      <c r="M245" s="18"/>
    </row>
    <row r="246" spans="3:13" x14ac:dyDescent="0.25">
      <c r="C246" s="10"/>
      <c r="D246" s="14" t="s">
        <v>5269</v>
      </c>
      <c r="E246" s="4">
        <v>2</v>
      </c>
      <c r="F246" s="5"/>
      <c r="G246" s="7">
        <f t="shared" si="17"/>
        <v>2</v>
      </c>
      <c r="H246" s="6" t="str">
        <f t="shared" si="16"/>
        <v/>
      </c>
      <c r="I246" s="4"/>
      <c r="J246" s="19"/>
      <c r="K246" s="19"/>
      <c r="L246" s="17"/>
      <c r="M246" s="18"/>
    </row>
    <row r="247" spans="3:13" x14ac:dyDescent="0.25">
      <c r="C247" s="10"/>
      <c r="D247" s="14" t="s">
        <v>5270</v>
      </c>
      <c r="E247" s="4">
        <v>0</v>
      </c>
      <c r="F247" s="5"/>
      <c r="G247" s="7">
        <f t="shared" si="17"/>
        <v>0</v>
      </c>
      <c r="H247" s="6" t="str">
        <f t="shared" si="16"/>
        <v/>
      </c>
      <c r="I247" s="4"/>
      <c r="J247" s="19"/>
      <c r="K247" s="19"/>
      <c r="L247" s="17"/>
      <c r="M247" s="18"/>
    </row>
    <row r="248" spans="3:13" x14ac:dyDescent="0.25">
      <c r="C248" s="10"/>
      <c r="D248" s="14" t="s">
        <v>5271</v>
      </c>
      <c r="E248" s="4">
        <v>0</v>
      </c>
      <c r="F248" s="5"/>
      <c r="G248" s="7">
        <f t="shared" si="17"/>
        <v>0</v>
      </c>
      <c r="H248" s="6" t="str">
        <f t="shared" si="16"/>
        <v/>
      </c>
      <c r="I248" s="4"/>
      <c r="J248" s="19"/>
      <c r="K248" s="19"/>
      <c r="L248" s="17"/>
      <c r="M248" s="18"/>
    </row>
    <row r="249" spans="3:13" x14ac:dyDescent="0.25">
      <c r="C249" s="10"/>
      <c r="D249" s="14" t="s">
        <v>5272</v>
      </c>
      <c r="E249" s="4">
        <v>2</v>
      </c>
      <c r="F249" s="5"/>
      <c r="G249" s="7">
        <f t="shared" si="17"/>
        <v>2</v>
      </c>
      <c r="H249" s="6" t="str">
        <f t="shared" si="16"/>
        <v/>
      </c>
      <c r="I249" s="4"/>
      <c r="J249" s="19"/>
      <c r="K249" s="19"/>
      <c r="L249" s="17"/>
      <c r="M249" s="18"/>
    </row>
    <row r="250" spans="3:13" x14ac:dyDescent="0.25">
      <c r="C250" s="10"/>
      <c r="D250" s="14" t="s">
        <v>5273</v>
      </c>
      <c r="E250" s="4">
        <v>0</v>
      </c>
      <c r="F250" s="5"/>
      <c r="G250" s="7">
        <f t="shared" si="17"/>
        <v>0</v>
      </c>
      <c r="H250" s="6" t="str">
        <f t="shared" si="16"/>
        <v/>
      </c>
      <c r="I250" s="4"/>
      <c r="J250" s="19"/>
      <c r="K250" s="19"/>
      <c r="L250" s="17"/>
      <c r="M250" s="18"/>
    </row>
    <row r="251" spans="3:13" x14ac:dyDescent="0.25">
      <c r="C251" s="10"/>
      <c r="D251" s="14" t="s">
        <v>5274</v>
      </c>
      <c r="E251" s="4">
        <v>2</v>
      </c>
      <c r="F251" s="5"/>
      <c r="G251" s="7">
        <f t="shared" si="17"/>
        <v>2</v>
      </c>
      <c r="H251" s="6" t="str">
        <f t="shared" si="16"/>
        <v/>
      </c>
      <c r="I251" s="4"/>
      <c r="J251" s="19"/>
      <c r="K251" s="19"/>
      <c r="L251" s="17"/>
      <c r="M251" s="18"/>
    </row>
    <row r="252" spans="3:13" x14ac:dyDescent="0.25">
      <c r="C252" s="10"/>
      <c r="D252" s="14" t="s">
        <v>5275</v>
      </c>
      <c r="E252" s="4">
        <v>2</v>
      </c>
      <c r="F252" s="5"/>
      <c r="G252" s="7">
        <f t="shared" si="17"/>
        <v>2</v>
      </c>
      <c r="H252" s="6" t="str">
        <f t="shared" si="16"/>
        <v/>
      </c>
      <c r="I252" s="4"/>
      <c r="J252" s="19"/>
      <c r="K252" s="19"/>
      <c r="L252" s="17"/>
      <c r="M252" s="18"/>
    </row>
    <row r="253" spans="3:13" x14ac:dyDescent="0.25">
      <c r="C253" s="10"/>
      <c r="D253" s="14" t="s">
        <v>5276</v>
      </c>
      <c r="E253" s="4">
        <v>2</v>
      </c>
      <c r="F253" s="5"/>
      <c r="G253" s="7">
        <f t="shared" si="17"/>
        <v>2</v>
      </c>
      <c r="H253" s="6" t="str">
        <f t="shared" si="16"/>
        <v/>
      </c>
      <c r="I253" s="4"/>
      <c r="J253" s="19"/>
      <c r="K253" s="19"/>
      <c r="L253" s="17"/>
      <c r="M253" s="18"/>
    </row>
    <row r="254" spans="3:13" x14ac:dyDescent="0.25">
      <c r="C254" s="10"/>
      <c r="D254" s="14" t="s">
        <v>5277</v>
      </c>
      <c r="E254" s="4">
        <v>2</v>
      </c>
      <c r="F254" s="5"/>
      <c r="G254" s="7">
        <f t="shared" si="17"/>
        <v>2</v>
      </c>
      <c r="H254" s="6" t="str">
        <f t="shared" si="16"/>
        <v/>
      </c>
      <c r="I254" s="4"/>
      <c r="J254" s="19"/>
      <c r="K254" s="19"/>
      <c r="L254" s="17"/>
      <c r="M254" s="18"/>
    </row>
    <row r="255" spans="3:13" x14ac:dyDescent="0.25">
      <c r="C255" s="10"/>
      <c r="D255" s="14" t="s">
        <v>5278</v>
      </c>
      <c r="E255" s="4">
        <v>0</v>
      </c>
      <c r="F255" s="5"/>
      <c r="G255" s="7">
        <f t="shared" si="17"/>
        <v>0</v>
      </c>
      <c r="H255" s="6" t="str">
        <f t="shared" si="16"/>
        <v/>
      </c>
      <c r="I255" s="4"/>
      <c r="J255" s="19"/>
      <c r="K255" s="19"/>
      <c r="L255" s="17"/>
      <c r="M255" s="18"/>
    </row>
    <row r="256" spans="3:13" x14ac:dyDescent="0.25">
      <c r="C256" s="10"/>
      <c r="D256" s="14" t="s">
        <v>5279</v>
      </c>
      <c r="E256" s="4">
        <v>0</v>
      </c>
      <c r="F256" s="5"/>
      <c r="G256" s="7">
        <f t="shared" si="17"/>
        <v>0</v>
      </c>
      <c r="H256" s="6" t="str">
        <f t="shared" si="16"/>
        <v/>
      </c>
      <c r="I256" s="4"/>
      <c r="J256" s="19"/>
      <c r="K256" s="19"/>
      <c r="L256" s="17"/>
      <c r="M256" s="18"/>
    </row>
    <row r="257" spans="3:13" x14ac:dyDescent="0.25">
      <c r="C257" s="10"/>
      <c r="D257" s="14" t="s">
        <v>5280</v>
      </c>
      <c r="E257" s="4">
        <v>0</v>
      </c>
      <c r="F257" s="5"/>
      <c r="G257" s="7">
        <f t="shared" si="17"/>
        <v>0</v>
      </c>
      <c r="H257" s="6" t="str">
        <f t="shared" si="16"/>
        <v/>
      </c>
      <c r="I257" s="4"/>
      <c r="J257" s="19"/>
      <c r="K257" s="19"/>
      <c r="L257" s="17"/>
      <c r="M257" s="18"/>
    </row>
    <row r="258" spans="3:13" x14ac:dyDescent="0.25">
      <c r="C258" s="10"/>
      <c r="D258" s="14" t="s">
        <v>5281</v>
      </c>
      <c r="E258" s="4">
        <v>0</v>
      </c>
      <c r="F258" s="5"/>
      <c r="G258" s="7">
        <f t="shared" si="17"/>
        <v>0</v>
      </c>
      <c r="H258" s="6" t="str">
        <f t="shared" si="16"/>
        <v/>
      </c>
      <c r="I258" s="4"/>
      <c r="J258" s="19"/>
      <c r="K258" s="19"/>
      <c r="L258" s="17"/>
      <c r="M258" s="18"/>
    </row>
    <row r="259" spans="3:13" x14ac:dyDescent="0.25">
      <c r="C259" s="10"/>
      <c r="D259" s="14" t="s">
        <v>5282</v>
      </c>
      <c r="E259" s="4">
        <v>0</v>
      </c>
      <c r="F259" s="5"/>
      <c r="G259" s="7">
        <f t="shared" si="17"/>
        <v>0</v>
      </c>
      <c r="H259" s="6" t="str">
        <f t="shared" si="16"/>
        <v/>
      </c>
      <c r="I259" s="4"/>
      <c r="J259" s="19"/>
      <c r="K259" s="19"/>
      <c r="L259" s="17"/>
      <c r="M259" s="18"/>
    </row>
    <row r="260" spans="3:13" x14ac:dyDescent="0.25">
      <c r="C260" s="10"/>
      <c r="D260" s="14" t="s">
        <v>5283</v>
      </c>
      <c r="E260" s="4">
        <v>0</v>
      </c>
      <c r="F260" s="5"/>
      <c r="G260" s="7">
        <f t="shared" si="17"/>
        <v>0</v>
      </c>
      <c r="H260" s="6" t="str">
        <f t="shared" si="16"/>
        <v/>
      </c>
      <c r="I260" s="4"/>
      <c r="J260" s="19"/>
      <c r="K260" s="19"/>
      <c r="L260" s="17"/>
      <c r="M260" s="18"/>
    </row>
    <row r="261" spans="3:13" x14ac:dyDescent="0.25">
      <c r="C261" s="10"/>
      <c r="D261" s="14" t="s">
        <v>5284</v>
      </c>
      <c r="E261" s="4">
        <v>0</v>
      </c>
      <c r="F261" s="5"/>
      <c r="G261" s="7">
        <f t="shared" si="17"/>
        <v>0</v>
      </c>
      <c r="H261" s="6" t="str">
        <f t="shared" si="16"/>
        <v/>
      </c>
      <c r="I261" s="4"/>
      <c r="J261" s="19"/>
      <c r="K261" s="19"/>
      <c r="L261" s="17"/>
      <c r="M261" s="18"/>
    </row>
    <row r="262" spans="3:13" x14ac:dyDescent="0.25">
      <c r="C262" s="10"/>
      <c r="D262" s="14" t="s">
        <v>5285</v>
      </c>
      <c r="E262" s="4">
        <v>0</v>
      </c>
      <c r="F262" s="5"/>
      <c r="G262" s="7">
        <f t="shared" si="17"/>
        <v>0</v>
      </c>
      <c r="H262" s="6" t="str">
        <f t="shared" si="16"/>
        <v/>
      </c>
      <c r="I262" s="4"/>
      <c r="J262" s="19"/>
      <c r="K262" s="19"/>
      <c r="L262" s="17"/>
      <c r="M262" s="18"/>
    </row>
    <row r="263" spans="3:13" x14ac:dyDescent="0.25">
      <c r="C263" s="10"/>
      <c r="D263" s="14" t="s">
        <v>5286</v>
      </c>
      <c r="E263" s="4">
        <v>0</v>
      </c>
      <c r="F263" s="5"/>
      <c r="G263" s="7">
        <f t="shared" si="17"/>
        <v>0</v>
      </c>
      <c r="H263" s="6" t="str">
        <f t="shared" si="16"/>
        <v/>
      </c>
      <c r="I263" s="4"/>
      <c r="J263" s="19"/>
      <c r="K263" s="19"/>
      <c r="L263" s="17"/>
      <c r="M263" s="18"/>
    </row>
    <row r="264" spans="3:13" x14ac:dyDescent="0.25">
      <c r="C264" s="10"/>
      <c r="D264" s="14" t="s">
        <v>5287</v>
      </c>
      <c r="E264" s="4">
        <v>2</v>
      </c>
      <c r="F264" s="5"/>
      <c r="G264" s="7">
        <f t="shared" si="17"/>
        <v>2</v>
      </c>
      <c r="H264" s="6" t="str">
        <f t="shared" si="16"/>
        <v/>
      </c>
      <c r="I264" s="4"/>
      <c r="J264" s="19"/>
      <c r="K264" s="19"/>
      <c r="L264" s="17"/>
      <c r="M264" s="18"/>
    </row>
    <row r="265" spans="3:13" x14ac:dyDescent="0.25">
      <c r="C265" s="10"/>
      <c r="D265" s="14" t="s">
        <v>5288</v>
      </c>
      <c r="E265" s="4">
        <v>2</v>
      </c>
      <c r="F265" s="5"/>
      <c r="G265" s="7">
        <f t="shared" si="17"/>
        <v>2</v>
      </c>
      <c r="H265" s="6" t="str">
        <f t="shared" si="16"/>
        <v/>
      </c>
      <c r="I265" s="4"/>
      <c r="J265" s="19"/>
      <c r="K265" s="19"/>
      <c r="L265" s="17"/>
      <c r="M265" s="18"/>
    </row>
    <row r="266" spans="3:13" x14ac:dyDescent="0.25">
      <c r="C266" s="10"/>
      <c r="D266" s="14" t="s">
        <v>5289</v>
      </c>
      <c r="E266" s="4">
        <v>2</v>
      </c>
      <c r="F266" s="5"/>
      <c r="G266" s="7">
        <f t="shared" si="17"/>
        <v>2</v>
      </c>
      <c r="H266" s="6" t="str">
        <f t="shared" si="16"/>
        <v/>
      </c>
      <c r="I266" s="4"/>
      <c r="J266" s="19"/>
      <c r="K266" s="19"/>
      <c r="L266" s="17"/>
      <c r="M266" s="18"/>
    </row>
    <row r="267" spans="3:13" x14ac:dyDescent="0.25">
      <c r="C267" s="10"/>
      <c r="D267" s="14" t="s">
        <v>5290</v>
      </c>
      <c r="E267" s="4">
        <v>0</v>
      </c>
      <c r="F267" s="5"/>
      <c r="G267" s="7">
        <f t="shared" si="17"/>
        <v>0</v>
      </c>
      <c r="H267" s="6" t="str">
        <f t="shared" si="16"/>
        <v/>
      </c>
      <c r="I267" s="4"/>
      <c r="J267" s="19"/>
      <c r="K267" s="19"/>
      <c r="L267" s="17"/>
      <c r="M267" s="18"/>
    </row>
    <row r="268" spans="3:13" x14ac:dyDescent="0.25">
      <c r="C268" s="10"/>
      <c r="D268" s="14" t="s">
        <v>5291</v>
      </c>
      <c r="E268" s="4">
        <v>0</v>
      </c>
      <c r="F268" s="5"/>
      <c r="G268" s="7">
        <f t="shared" si="17"/>
        <v>0</v>
      </c>
      <c r="H268" s="6" t="str">
        <f t="shared" si="16"/>
        <v/>
      </c>
      <c r="I268" s="4"/>
      <c r="J268" s="19"/>
      <c r="K268" s="19"/>
      <c r="L268" s="17"/>
      <c r="M268" s="18"/>
    </row>
    <row r="269" spans="3:13" x14ac:dyDescent="0.25">
      <c r="C269" s="10"/>
      <c r="D269" s="14" t="s">
        <v>5292</v>
      </c>
      <c r="E269" s="4" t="s">
        <v>5419</v>
      </c>
      <c r="F269" s="5"/>
      <c r="G269" s="7" t="e">
        <f t="shared" si="17"/>
        <v>#VALUE!</v>
      </c>
      <c r="H269" s="6" t="str">
        <f t="shared" si="16"/>
        <v/>
      </c>
      <c r="I269" s="4"/>
      <c r="J269" s="19"/>
      <c r="K269" s="19"/>
      <c r="L269" s="17"/>
      <c r="M269" s="18"/>
    </row>
    <row r="270" spans="3:13" x14ac:dyDescent="0.25">
      <c r="C270" s="10"/>
      <c r="D270" s="14" t="s">
        <v>5293</v>
      </c>
      <c r="E270" s="4">
        <v>0</v>
      </c>
      <c r="F270" s="5"/>
      <c r="G270" s="7">
        <f t="shared" si="17"/>
        <v>0</v>
      </c>
      <c r="H270" s="6" t="str">
        <f t="shared" si="16"/>
        <v/>
      </c>
      <c r="I270" s="4"/>
      <c r="J270" s="19"/>
      <c r="K270" s="19"/>
      <c r="L270" s="17"/>
      <c r="M270" s="18"/>
    </row>
    <row r="271" spans="3:13" x14ac:dyDescent="0.25">
      <c r="C271" s="10"/>
      <c r="D271" s="14" t="s">
        <v>5294</v>
      </c>
      <c r="E271" s="4">
        <v>0</v>
      </c>
      <c r="F271" s="5"/>
      <c r="G271" s="7">
        <f t="shared" si="17"/>
        <v>0</v>
      </c>
      <c r="H271" s="6" t="str">
        <f t="shared" si="16"/>
        <v/>
      </c>
      <c r="I271" s="4"/>
      <c r="J271" s="19"/>
      <c r="K271" s="19"/>
      <c r="L271" s="17"/>
      <c r="M271" s="18"/>
    </row>
    <row r="272" spans="3:13" x14ac:dyDescent="0.25">
      <c r="C272" s="10"/>
      <c r="D272" s="14" t="s">
        <v>5295</v>
      </c>
      <c r="E272" s="4">
        <v>0</v>
      </c>
      <c r="F272" s="5"/>
      <c r="G272" s="7">
        <f t="shared" si="17"/>
        <v>0</v>
      </c>
      <c r="H272" s="6" t="str">
        <f t="shared" si="16"/>
        <v/>
      </c>
      <c r="I272" s="4"/>
      <c r="J272" s="19"/>
      <c r="K272" s="19"/>
      <c r="L272" s="17"/>
      <c r="M272" s="18"/>
    </row>
    <row r="273" spans="3:13" x14ac:dyDescent="0.25">
      <c r="C273" s="10"/>
      <c r="D273" s="14" t="s">
        <v>5296</v>
      </c>
      <c r="E273" s="4">
        <v>0</v>
      </c>
      <c r="F273" s="5"/>
      <c r="G273" s="7">
        <f t="shared" si="17"/>
        <v>0</v>
      </c>
      <c r="H273" s="6" t="str">
        <f t="shared" si="16"/>
        <v/>
      </c>
      <c r="I273" s="4"/>
      <c r="J273" s="19"/>
      <c r="K273" s="19"/>
      <c r="L273" s="17"/>
      <c r="M273" s="18"/>
    </row>
    <row r="274" spans="3:13" x14ac:dyDescent="0.25">
      <c r="C274" s="10"/>
      <c r="D274" s="14" t="s">
        <v>5297</v>
      </c>
      <c r="E274" s="4">
        <v>0</v>
      </c>
      <c r="F274" s="5"/>
      <c r="G274" s="7">
        <f t="shared" si="17"/>
        <v>0</v>
      </c>
      <c r="H274" s="6" t="str">
        <f t="shared" si="16"/>
        <v/>
      </c>
      <c r="I274" s="4"/>
      <c r="J274" s="19"/>
      <c r="K274" s="19"/>
      <c r="L274" s="17"/>
      <c r="M274" s="18"/>
    </row>
    <row r="275" spans="3:13" x14ac:dyDescent="0.25">
      <c r="C275" s="10"/>
      <c r="D275" s="14" t="s">
        <v>5298</v>
      </c>
      <c r="E275" s="4">
        <v>0</v>
      </c>
      <c r="F275" s="5"/>
      <c r="G275" s="7">
        <f t="shared" si="17"/>
        <v>0</v>
      </c>
      <c r="H275" s="6" t="str">
        <f t="shared" si="16"/>
        <v/>
      </c>
      <c r="I275" s="4"/>
      <c r="J275" s="19"/>
      <c r="K275" s="19"/>
      <c r="L275" s="17"/>
      <c r="M275" s="18"/>
    </row>
    <row r="276" spans="3:13" x14ac:dyDescent="0.25">
      <c r="C276" s="10"/>
      <c r="D276" s="14" t="s">
        <v>5299</v>
      </c>
      <c r="E276" s="4">
        <v>0</v>
      </c>
      <c r="F276" s="5"/>
      <c r="G276" s="7">
        <f t="shared" si="17"/>
        <v>0</v>
      </c>
      <c r="H276" s="6" t="str">
        <f t="shared" si="16"/>
        <v/>
      </c>
      <c r="I276" s="4"/>
      <c r="J276" s="19"/>
      <c r="K276" s="19"/>
      <c r="L276" s="17"/>
      <c r="M276" s="18"/>
    </row>
    <row r="277" spans="3:13" x14ac:dyDescent="0.25">
      <c r="C277" s="10"/>
      <c r="D277" s="14" t="s">
        <v>5300</v>
      </c>
      <c r="E277" s="4">
        <v>0</v>
      </c>
      <c r="F277" s="5"/>
      <c r="G277" s="7">
        <f t="shared" si="17"/>
        <v>0</v>
      </c>
      <c r="H277" s="6" t="str">
        <f t="shared" si="16"/>
        <v/>
      </c>
      <c r="I277" s="4"/>
      <c r="J277" s="19"/>
      <c r="K277" s="19"/>
      <c r="L277" s="17"/>
      <c r="M277" s="18"/>
    </row>
    <row r="278" spans="3:13" x14ac:dyDescent="0.25">
      <c r="C278" s="10"/>
      <c r="D278" s="14" t="s">
        <v>5301</v>
      </c>
      <c r="E278" s="4">
        <v>0</v>
      </c>
      <c r="F278" s="5"/>
      <c r="G278" s="7">
        <f t="shared" si="17"/>
        <v>0</v>
      </c>
      <c r="H278" s="6" t="str">
        <f t="shared" si="16"/>
        <v/>
      </c>
      <c r="I278" s="4"/>
      <c r="J278" s="19"/>
      <c r="K278" s="19"/>
      <c r="L278" s="17"/>
      <c r="M278" s="18"/>
    </row>
    <row r="279" spans="3:13" x14ac:dyDescent="0.25">
      <c r="C279" s="10"/>
      <c r="D279" s="14" t="s">
        <v>5302</v>
      </c>
      <c r="E279" s="4">
        <v>0</v>
      </c>
      <c r="F279" s="5"/>
      <c r="G279" s="7">
        <f t="shared" si="17"/>
        <v>0</v>
      </c>
      <c r="H279" s="6" t="str">
        <f t="shared" si="16"/>
        <v/>
      </c>
      <c r="I279" s="4"/>
      <c r="J279" s="19"/>
      <c r="K279" s="19"/>
      <c r="L279" s="17"/>
      <c r="M279" s="18"/>
    </row>
    <row r="280" spans="3:13" x14ac:dyDescent="0.25">
      <c r="C280" s="10"/>
      <c r="D280" s="14" t="s">
        <v>5303</v>
      </c>
      <c r="E280" s="4">
        <v>0</v>
      </c>
      <c r="F280" s="5"/>
      <c r="G280" s="7">
        <f t="shared" si="17"/>
        <v>0</v>
      </c>
      <c r="H280" s="6" t="str">
        <f t="shared" si="16"/>
        <v/>
      </c>
      <c r="I280" s="4"/>
      <c r="J280" s="19"/>
      <c r="K280" s="19"/>
      <c r="L280" s="17"/>
      <c r="M280" s="18"/>
    </row>
    <row r="281" spans="3:13" x14ac:dyDescent="0.25">
      <c r="C281" s="10"/>
      <c r="D281" s="14" t="s">
        <v>5304</v>
      </c>
      <c r="E281" s="4" t="s">
        <v>5419</v>
      </c>
      <c r="F281" s="5"/>
      <c r="G281" s="7" t="e">
        <f t="shared" si="17"/>
        <v>#VALUE!</v>
      </c>
      <c r="H281" s="6" t="str">
        <f t="shared" si="16"/>
        <v/>
      </c>
      <c r="I281" s="4"/>
      <c r="J281" s="19"/>
      <c r="K281" s="19"/>
      <c r="L281" s="17"/>
      <c r="M281" s="18"/>
    </row>
    <row r="282" spans="3:13" x14ac:dyDescent="0.25">
      <c r="C282" s="10"/>
      <c r="D282" s="14" t="s">
        <v>5305</v>
      </c>
      <c r="E282" s="4">
        <v>0</v>
      </c>
      <c r="F282" s="5"/>
      <c r="G282" s="7">
        <f t="shared" si="17"/>
        <v>0</v>
      </c>
      <c r="H282" s="6" t="str">
        <f t="shared" si="16"/>
        <v/>
      </c>
      <c r="I282" s="4"/>
      <c r="J282" s="19"/>
      <c r="K282" s="19"/>
      <c r="L282" s="17"/>
      <c r="M282" s="18"/>
    </row>
    <row r="283" spans="3:13" x14ac:dyDescent="0.25">
      <c r="C283" s="10"/>
      <c r="D283" s="14" t="s">
        <v>5306</v>
      </c>
      <c r="E283" s="4">
        <v>0</v>
      </c>
      <c r="F283" s="5"/>
      <c r="G283" s="7">
        <f t="shared" si="17"/>
        <v>0</v>
      </c>
      <c r="H283" s="6" t="str">
        <f t="shared" si="16"/>
        <v/>
      </c>
      <c r="I283" s="4"/>
      <c r="J283" s="19"/>
      <c r="K283" s="19"/>
      <c r="L283" s="17"/>
      <c r="M283" s="18"/>
    </row>
    <row r="284" spans="3:13" x14ac:dyDescent="0.25">
      <c r="C284" s="10"/>
      <c r="D284" s="14" t="s">
        <v>5307</v>
      </c>
      <c r="E284" s="4" t="s">
        <v>5419</v>
      </c>
      <c r="F284" s="5"/>
      <c r="G284" s="7" t="e">
        <f t="shared" si="17"/>
        <v>#VALUE!</v>
      </c>
      <c r="H284" s="6" t="str">
        <f t="shared" ref="H284:H347" si="18">IF(F284&lt;&gt;0,(E284-F284)/F284,"")</f>
        <v/>
      </c>
      <c r="I284" s="4"/>
      <c r="J284" s="19"/>
      <c r="K284" s="19"/>
      <c r="L284" s="17"/>
      <c r="M284" s="18"/>
    </row>
    <row r="285" spans="3:13" x14ac:dyDescent="0.25">
      <c r="C285" s="10"/>
      <c r="D285" s="14" t="s">
        <v>5308</v>
      </c>
      <c r="E285" s="4">
        <v>0</v>
      </c>
      <c r="F285" s="5"/>
      <c r="G285" s="7">
        <f t="shared" si="17"/>
        <v>0</v>
      </c>
      <c r="H285" s="6" t="str">
        <f t="shared" si="18"/>
        <v/>
      </c>
      <c r="I285" s="4"/>
      <c r="J285" s="19"/>
      <c r="K285" s="19"/>
      <c r="L285" s="17"/>
      <c r="M285" s="18"/>
    </row>
    <row r="286" spans="3:13" x14ac:dyDescent="0.25">
      <c r="C286" s="10"/>
      <c r="D286" s="14" t="s">
        <v>5309</v>
      </c>
      <c r="E286" s="4">
        <v>0</v>
      </c>
      <c r="F286" s="5"/>
      <c r="G286" s="7">
        <f t="shared" ref="G286:G349" si="19">(E286-F286)</f>
        <v>0</v>
      </c>
      <c r="H286" s="6" t="str">
        <f t="shared" si="18"/>
        <v/>
      </c>
      <c r="I286" s="4"/>
      <c r="J286" s="19"/>
      <c r="K286" s="19"/>
      <c r="L286" s="17"/>
      <c r="M286" s="18"/>
    </row>
    <row r="287" spans="3:13" x14ac:dyDescent="0.25">
      <c r="C287" s="10"/>
      <c r="D287" s="14" t="s">
        <v>5310</v>
      </c>
      <c r="E287" s="4">
        <v>0</v>
      </c>
      <c r="F287" s="5"/>
      <c r="G287" s="7">
        <f t="shared" si="19"/>
        <v>0</v>
      </c>
      <c r="H287" s="6" t="str">
        <f t="shared" si="18"/>
        <v/>
      </c>
      <c r="I287" s="4"/>
      <c r="J287" s="19"/>
      <c r="K287" s="19"/>
      <c r="L287" s="17"/>
      <c r="M287" s="18"/>
    </row>
    <row r="288" spans="3:13" x14ac:dyDescent="0.25">
      <c r="C288" s="10"/>
      <c r="D288" s="14" t="s">
        <v>5311</v>
      </c>
      <c r="E288" s="4">
        <v>0</v>
      </c>
      <c r="F288" s="5"/>
      <c r="G288" s="7">
        <f t="shared" si="19"/>
        <v>0</v>
      </c>
      <c r="H288" s="6" t="str">
        <f t="shared" si="18"/>
        <v/>
      </c>
      <c r="I288" s="4"/>
      <c r="J288" s="19"/>
      <c r="K288" s="19"/>
      <c r="L288" s="17"/>
      <c r="M288" s="18"/>
    </row>
    <row r="289" spans="3:13" x14ac:dyDescent="0.25">
      <c r="C289" s="10"/>
      <c r="D289" s="14" t="s">
        <v>5312</v>
      </c>
      <c r="E289" s="4">
        <v>0</v>
      </c>
      <c r="F289" s="5"/>
      <c r="G289" s="7">
        <f t="shared" si="19"/>
        <v>0</v>
      </c>
      <c r="H289" s="6" t="str">
        <f t="shared" si="18"/>
        <v/>
      </c>
      <c r="I289" s="4"/>
      <c r="J289" s="19"/>
      <c r="K289" s="19"/>
      <c r="L289" s="17"/>
      <c r="M289" s="18"/>
    </row>
    <row r="290" spans="3:13" x14ac:dyDescent="0.25">
      <c r="C290" s="10"/>
      <c r="D290" s="14" t="s">
        <v>5313</v>
      </c>
      <c r="E290" s="4">
        <v>0</v>
      </c>
      <c r="F290" s="5"/>
      <c r="G290" s="7">
        <f t="shared" si="19"/>
        <v>0</v>
      </c>
      <c r="H290" s="6" t="str">
        <f t="shared" si="18"/>
        <v/>
      </c>
      <c r="I290" s="4"/>
      <c r="J290" s="19"/>
      <c r="K290" s="19"/>
      <c r="L290" s="17"/>
      <c r="M290" s="18"/>
    </row>
    <row r="291" spans="3:13" x14ac:dyDescent="0.25">
      <c r="C291" s="10"/>
      <c r="D291" s="14" t="s">
        <v>5314</v>
      </c>
      <c r="E291" s="4">
        <v>0</v>
      </c>
      <c r="F291" s="5"/>
      <c r="G291" s="7">
        <f t="shared" si="19"/>
        <v>0</v>
      </c>
      <c r="H291" s="6" t="str">
        <f t="shared" si="18"/>
        <v/>
      </c>
      <c r="I291" s="4"/>
      <c r="J291" s="19"/>
      <c r="K291" s="19"/>
      <c r="L291" s="17"/>
      <c r="M291" s="18"/>
    </row>
    <row r="292" spans="3:13" x14ac:dyDescent="0.25">
      <c r="C292" s="10"/>
      <c r="D292" s="14" t="s">
        <v>5315</v>
      </c>
      <c r="E292" s="4" t="s">
        <v>5419</v>
      </c>
      <c r="F292" s="5"/>
      <c r="G292" s="7" t="e">
        <f t="shared" si="19"/>
        <v>#VALUE!</v>
      </c>
      <c r="H292" s="6" t="str">
        <f t="shared" si="18"/>
        <v/>
      </c>
      <c r="I292" s="4"/>
      <c r="J292" s="19"/>
      <c r="K292" s="19"/>
      <c r="L292" s="17"/>
      <c r="M292" s="18"/>
    </row>
    <row r="293" spans="3:13" x14ac:dyDescent="0.25">
      <c r="C293" s="10"/>
      <c r="D293" s="14" t="s">
        <v>5316</v>
      </c>
      <c r="E293" s="4">
        <v>0</v>
      </c>
      <c r="F293" s="5"/>
      <c r="G293" s="7">
        <f t="shared" si="19"/>
        <v>0</v>
      </c>
      <c r="H293" s="6" t="str">
        <f t="shared" si="18"/>
        <v/>
      </c>
      <c r="I293" s="4"/>
      <c r="J293" s="19"/>
      <c r="K293" s="19"/>
      <c r="L293" s="17"/>
      <c r="M293" s="18"/>
    </row>
    <row r="294" spans="3:13" x14ac:dyDescent="0.25">
      <c r="C294" s="10"/>
      <c r="D294" s="14" t="s">
        <v>5317</v>
      </c>
      <c r="E294" s="4">
        <v>0</v>
      </c>
      <c r="F294" s="5"/>
      <c r="G294" s="7">
        <f t="shared" si="19"/>
        <v>0</v>
      </c>
      <c r="H294" s="6" t="str">
        <f t="shared" si="18"/>
        <v/>
      </c>
      <c r="I294" s="4"/>
      <c r="J294" s="19"/>
      <c r="K294" s="19"/>
      <c r="L294" s="17"/>
      <c r="M294" s="18"/>
    </row>
    <row r="295" spans="3:13" x14ac:dyDescent="0.25">
      <c r="C295" s="10"/>
      <c r="D295" s="14" t="s">
        <v>5318</v>
      </c>
      <c r="E295" s="4" t="s">
        <v>5419</v>
      </c>
      <c r="F295" s="5"/>
      <c r="G295" s="7" t="e">
        <f t="shared" si="19"/>
        <v>#VALUE!</v>
      </c>
      <c r="H295" s="6" t="str">
        <f t="shared" si="18"/>
        <v/>
      </c>
      <c r="I295" s="4"/>
      <c r="J295" s="19"/>
      <c r="K295" s="19"/>
      <c r="L295" s="17"/>
      <c r="M295" s="18"/>
    </row>
    <row r="296" spans="3:13" x14ac:dyDescent="0.25">
      <c r="C296" s="10"/>
      <c r="D296" s="14" t="s">
        <v>5319</v>
      </c>
      <c r="E296" s="4">
        <v>0</v>
      </c>
      <c r="F296" s="5"/>
      <c r="G296" s="7">
        <f t="shared" si="19"/>
        <v>0</v>
      </c>
      <c r="H296" s="6" t="str">
        <f t="shared" si="18"/>
        <v/>
      </c>
      <c r="I296" s="4"/>
      <c r="J296" s="19"/>
      <c r="K296" s="19"/>
      <c r="L296" s="17"/>
      <c r="M296" s="18"/>
    </row>
    <row r="297" spans="3:13" x14ac:dyDescent="0.25">
      <c r="C297" s="10"/>
      <c r="D297" s="14" t="s">
        <v>5320</v>
      </c>
      <c r="E297" s="4">
        <v>0</v>
      </c>
      <c r="F297" s="5"/>
      <c r="G297" s="7">
        <f t="shared" si="19"/>
        <v>0</v>
      </c>
      <c r="H297" s="6" t="str">
        <f t="shared" si="18"/>
        <v/>
      </c>
      <c r="I297" s="4"/>
      <c r="J297" s="19"/>
      <c r="K297" s="19"/>
      <c r="L297" s="17"/>
      <c r="M297" s="18"/>
    </row>
    <row r="298" spans="3:13" x14ac:dyDescent="0.25">
      <c r="C298" s="10"/>
      <c r="D298" s="14" t="s">
        <v>5321</v>
      </c>
      <c r="E298" s="4" t="s">
        <v>5419</v>
      </c>
      <c r="F298" s="5"/>
      <c r="G298" s="7" t="e">
        <f t="shared" si="19"/>
        <v>#VALUE!</v>
      </c>
      <c r="H298" s="6" t="str">
        <f t="shared" si="18"/>
        <v/>
      </c>
      <c r="I298" s="4"/>
      <c r="J298" s="19"/>
      <c r="K298" s="19"/>
      <c r="L298" s="17"/>
      <c r="M298" s="18"/>
    </row>
    <row r="299" spans="3:13" x14ac:dyDescent="0.25">
      <c r="C299" s="10"/>
      <c r="D299" s="14" t="s">
        <v>5322</v>
      </c>
      <c r="E299" s="4">
        <v>0</v>
      </c>
      <c r="F299" s="5"/>
      <c r="G299" s="7">
        <f t="shared" si="19"/>
        <v>0</v>
      </c>
      <c r="H299" s="6" t="str">
        <f t="shared" si="18"/>
        <v/>
      </c>
      <c r="I299" s="4"/>
      <c r="J299" s="19"/>
      <c r="K299" s="19"/>
      <c r="L299" s="17"/>
      <c r="M299" s="18"/>
    </row>
    <row r="300" spans="3:13" x14ac:dyDescent="0.25">
      <c r="C300" s="10"/>
      <c r="D300" s="14" t="s">
        <v>5323</v>
      </c>
      <c r="E300" s="4">
        <v>0</v>
      </c>
      <c r="F300" s="5"/>
      <c r="G300" s="7">
        <f t="shared" si="19"/>
        <v>0</v>
      </c>
      <c r="H300" s="6" t="str">
        <f t="shared" si="18"/>
        <v/>
      </c>
      <c r="I300" s="4"/>
      <c r="J300" s="19"/>
      <c r="K300" s="19"/>
      <c r="L300" s="17"/>
      <c r="M300" s="18"/>
    </row>
    <row r="301" spans="3:13" x14ac:dyDescent="0.25">
      <c r="C301" s="10"/>
      <c r="D301" s="14" t="s">
        <v>5324</v>
      </c>
      <c r="E301" s="4">
        <v>0</v>
      </c>
      <c r="F301" s="5"/>
      <c r="G301" s="7">
        <f t="shared" si="19"/>
        <v>0</v>
      </c>
      <c r="H301" s="6" t="str">
        <f t="shared" si="18"/>
        <v/>
      </c>
      <c r="I301" s="4"/>
      <c r="J301" s="19"/>
      <c r="K301" s="19"/>
      <c r="L301" s="17"/>
      <c r="M301" s="18"/>
    </row>
    <row r="302" spans="3:13" x14ac:dyDescent="0.25">
      <c r="C302" s="10"/>
      <c r="D302" s="14" t="s">
        <v>5325</v>
      </c>
      <c r="E302" s="4">
        <v>0</v>
      </c>
      <c r="F302" s="5"/>
      <c r="G302" s="7">
        <f t="shared" si="19"/>
        <v>0</v>
      </c>
      <c r="H302" s="6" t="str">
        <f t="shared" si="18"/>
        <v/>
      </c>
      <c r="I302" s="4"/>
      <c r="J302" s="19"/>
      <c r="K302" s="19"/>
      <c r="L302" s="17"/>
      <c r="M302" s="18"/>
    </row>
    <row r="303" spans="3:13" x14ac:dyDescent="0.25">
      <c r="C303" s="10"/>
      <c r="D303" s="14" t="s">
        <v>5326</v>
      </c>
      <c r="E303" s="4">
        <v>0</v>
      </c>
      <c r="F303" s="5"/>
      <c r="G303" s="7">
        <f t="shared" si="19"/>
        <v>0</v>
      </c>
      <c r="H303" s="6" t="str">
        <f t="shared" si="18"/>
        <v/>
      </c>
      <c r="I303" s="4"/>
      <c r="J303" s="19"/>
      <c r="K303" s="19"/>
      <c r="L303" s="17"/>
      <c r="M303" s="18"/>
    </row>
    <row r="304" spans="3:13" x14ac:dyDescent="0.25">
      <c r="C304" s="10"/>
      <c r="D304" s="14" t="s">
        <v>5327</v>
      </c>
      <c r="E304" s="4">
        <v>0</v>
      </c>
      <c r="F304" s="5"/>
      <c r="G304" s="7">
        <f t="shared" si="19"/>
        <v>0</v>
      </c>
      <c r="H304" s="6" t="str">
        <f t="shared" si="18"/>
        <v/>
      </c>
      <c r="I304" s="4"/>
      <c r="J304" s="19"/>
      <c r="K304" s="19"/>
      <c r="L304" s="17"/>
      <c r="M304" s="18"/>
    </row>
    <row r="305" spans="3:13" x14ac:dyDescent="0.25">
      <c r="C305" s="10"/>
      <c r="D305" s="14" t="s">
        <v>5328</v>
      </c>
      <c r="E305" s="4">
        <v>0</v>
      </c>
      <c r="F305" s="5"/>
      <c r="G305" s="7">
        <f t="shared" si="19"/>
        <v>0</v>
      </c>
      <c r="H305" s="6" t="str">
        <f t="shared" si="18"/>
        <v/>
      </c>
      <c r="I305" s="4"/>
      <c r="J305" s="19"/>
      <c r="K305" s="19"/>
      <c r="L305" s="17"/>
      <c r="M305" s="18"/>
    </row>
    <row r="306" spans="3:13" x14ac:dyDescent="0.25">
      <c r="C306" s="10"/>
      <c r="D306" s="14" t="s">
        <v>5329</v>
      </c>
      <c r="E306" s="4">
        <v>0</v>
      </c>
      <c r="F306" s="5"/>
      <c r="G306" s="7">
        <f t="shared" si="19"/>
        <v>0</v>
      </c>
      <c r="H306" s="6" t="str">
        <f t="shared" si="18"/>
        <v/>
      </c>
      <c r="I306" s="4"/>
      <c r="J306" s="19"/>
      <c r="K306" s="19"/>
      <c r="L306" s="17"/>
      <c r="M306" s="18"/>
    </row>
    <row r="307" spans="3:13" x14ac:dyDescent="0.25">
      <c r="C307" s="10"/>
      <c r="D307" s="14" t="s">
        <v>5330</v>
      </c>
      <c r="E307" s="4" t="s">
        <v>5419</v>
      </c>
      <c r="F307" s="5"/>
      <c r="G307" s="7" t="e">
        <f t="shared" si="19"/>
        <v>#VALUE!</v>
      </c>
      <c r="H307" s="6" t="str">
        <f t="shared" si="18"/>
        <v/>
      </c>
      <c r="I307" s="4"/>
      <c r="J307" s="19"/>
      <c r="K307" s="19"/>
      <c r="L307" s="17"/>
      <c r="M307" s="18"/>
    </row>
    <row r="308" spans="3:13" x14ac:dyDescent="0.25">
      <c r="C308" s="10"/>
      <c r="D308" s="14" t="s">
        <v>5331</v>
      </c>
      <c r="E308" s="4">
        <v>0</v>
      </c>
      <c r="F308" s="5"/>
      <c r="G308" s="7">
        <f t="shared" si="19"/>
        <v>0</v>
      </c>
      <c r="H308" s="6" t="str">
        <f t="shared" si="18"/>
        <v/>
      </c>
      <c r="I308" s="4"/>
      <c r="J308" s="19"/>
      <c r="K308" s="19"/>
      <c r="L308" s="17"/>
      <c r="M308" s="18"/>
    </row>
    <row r="309" spans="3:13" x14ac:dyDescent="0.25">
      <c r="C309" s="10"/>
      <c r="D309" s="14" t="s">
        <v>5332</v>
      </c>
      <c r="E309" s="4">
        <v>0</v>
      </c>
      <c r="F309" s="5"/>
      <c r="G309" s="7">
        <f t="shared" si="19"/>
        <v>0</v>
      </c>
      <c r="H309" s="6" t="str">
        <f t="shared" si="18"/>
        <v/>
      </c>
      <c r="I309" s="4"/>
      <c r="J309" s="19"/>
      <c r="K309" s="19"/>
      <c r="L309" s="17"/>
      <c r="M309" s="18"/>
    </row>
    <row r="310" spans="3:13" x14ac:dyDescent="0.25">
      <c r="C310" s="10"/>
      <c r="D310" s="14" t="s">
        <v>5333</v>
      </c>
      <c r="E310" s="4" t="s">
        <v>5419</v>
      </c>
      <c r="F310" s="5"/>
      <c r="G310" s="7" t="e">
        <f t="shared" si="19"/>
        <v>#VALUE!</v>
      </c>
      <c r="H310" s="6" t="str">
        <f t="shared" si="18"/>
        <v/>
      </c>
      <c r="I310" s="4"/>
      <c r="J310" s="19"/>
      <c r="K310" s="19"/>
      <c r="L310" s="17"/>
      <c r="M310" s="18"/>
    </row>
    <row r="311" spans="3:13" x14ac:dyDescent="0.25">
      <c r="C311" s="10"/>
      <c r="D311" s="14" t="s">
        <v>5334</v>
      </c>
      <c r="E311" s="4">
        <v>0</v>
      </c>
      <c r="F311" s="5"/>
      <c r="G311" s="7">
        <f t="shared" si="19"/>
        <v>0</v>
      </c>
      <c r="H311" s="6" t="str">
        <f t="shared" si="18"/>
        <v/>
      </c>
      <c r="I311" s="4"/>
      <c r="J311" s="19"/>
      <c r="K311" s="19"/>
      <c r="L311" s="17"/>
      <c r="M311" s="18"/>
    </row>
    <row r="312" spans="3:13" x14ac:dyDescent="0.25">
      <c r="C312" s="10"/>
      <c r="D312" s="14" t="s">
        <v>5335</v>
      </c>
      <c r="E312" s="4">
        <v>0</v>
      </c>
      <c r="F312" s="5"/>
      <c r="G312" s="7">
        <f t="shared" si="19"/>
        <v>0</v>
      </c>
      <c r="H312" s="6" t="str">
        <f t="shared" si="18"/>
        <v/>
      </c>
      <c r="I312" s="4"/>
      <c r="J312" s="19"/>
      <c r="K312" s="19"/>
      <c r="L312" s="17"/>
      <c r="M312" s="18"/>
    </row>
    <row r="313" spans="3:13" x14ac:dyDescent="0.25">
      <c r="C313" s="10"/>
      <c r="D313" s="14" t="s">
        <v>5336</v>
      </c>
      <c r="E313" s="4" t="s">
        <v>5419</v>
      </c>
      <c r="F313" s="5"/>
      <c r="G313" s="7" t="e">
        <f t="shared" si="19"/>
        <v>#VALUE!</v>
      </c>
      <c r="H313" s="6" t="str">
        <f t="shared" si="18"/>
        <v/>
      </c>
      <c r="I313" s="4"/>
      <c r="J313" s="19"/>
      <c r="K313" s="19"/>
      <c r="L313" s="17"/>
      <c r="M313" s="18"/>
    </row>
    <row r="314" spans="3:13" x14ac:dyDescent="0.25">
      <c r="C314" s="10"/>
      <c r="D314" s="14" t="s">
        <v>5337</v>
      </c>
      <c r="E314" s="4">
        <v>0</v>
      </c>
      <c r="F314" s="5"/>
      <c r="G314" s="7">
        <f t="shared" si="19"/>
        <v>0</v>
      </c>
      <c r="H314" s="6" t="str">
        <f t="shared" si="18"/>
        <v/>
      </c>
      <c r="I314" s="4"/>
      <c r="J314" s="19"/>
      <c r="K314" s="19"/>
      <c r="L314" s="17"/>
      <c r="M314" s="18"/>
    </row>
    <row r="315" spans="3:13" x14ac:dyDescent="0.25">
      <c r="C315" s="10"/>
      <c r="D315" s="14" t="s">
        <v>5338</v>
      </c>
      <c r="E315" s="4">
        <v>0</v>
      </c>
      <c r="F315" s="5"/>
      <c r="G315" s="7">
        <f t="shared" si="19"/>
        <v>0</v>
      </c>
      <c r="H315" s="6" t="str">
        <f t="shared" si="18"/>
        <v/>
      </c>
      <c r="I315" s="4"/>
      <c r="J315" s="19"/>
      <c r="K315" s="19"/>
      <c r="L315" s="17"/>
      <c r="M315" s="18"/>
    </row>
    <row r="316" spans="3:13" x14ac:dyDescent="0.25">
      <c r="C316" s="10"/>
      <c r="D316" s="14" t="s">
        <v>5339</v>
      </c>
      <c r="E316" s="4">
        <v>0</v>
      </c>
      <c r="F316" s="5"/>
      <c r="G316" s="7">
        <f t="shared" si="19"/>
        <v>0</v>
      </c>
      <c r="H316" s="6" t="str">
        <f t="shared" si="18"/>
        <v/>
      </c>
      <c r="I316" s="4"/>
      <c r="J316" s="19"/>
      <c r="K316" s="19"/>
      <c r="L316" s="17"/>
      <c r="M316" s="18"/>
    </row>
    <row r="317" spans="3:13" x14ac:dyDescent="0.25">
      <c r="C317" s="10"/>
      <c r="D317" s="14" t="s">
        <v>5340</v>
      </c>
      <c r="E317" s="4">
        <v>0</v>
      </c>
      <c r="F317" s="5"/>
      <c r="G317" s="7">
        <f t="shared" si="19"/>
        <v>0</v>
      </c>
      <c r="H317" s="6" t="str">
        <f t="shared" si="18"/>
        <v/>
      </c>
      <c r="I317" s="4"/>
      <c r="J317" s="19"/>
      <c r="K317" s="19"/>
      <c r="L317" s="17"/>
      <c r="M317" s="18"/>
    </row>
    <row r="318" spans="3:13" x14ac:dyDescent="0.25">
      <c r="C318" s="10"/>
      <c r="D318" s="14" t="s">
        <v>5341</v>
      </c>
      <c r="E318" s="4" t="s">
        <v>5419</v>
      </c>
      <c r="F318" s="5"/>
      <c r="G318" s="7" t="e">
        <f t="shared" si="19"/>
        <v>#VALUE!</v>
      </c>
      <c r="H318" s="6" t="str">
        <f t="shared" si="18"/>
        <v/>
      </c>
      <c r="I318" s="4"/>
      <c r="J318" s="19"/>
      <c r="K318" s="19"/>
      <c r="L318" s="17"/>
      <c r="M318" s="18"/>
    </row>
    <row r="319" spans="3:13" x14ac:dyDescent="0.25">
      <c r="C319" s="10"/>
      <c r="D319" s="14" t="s">
        <v>5342</v>
      </c>
      <c r="E319" s="4" t="s">
        <v>5419</v>
      </c>
      <c r="F319" s="5"/>
      <c r="G319" s="7" t="e">
        <f t="shared" si="19"/>
        <v>#VALUE!</v>
      </c>
      <c r="H319" s="6" t="str">
        <f t="shared" si="18"/>
        <v/>
      </c>
      <c r="I319" s="4"/>
      <c r="J319" s="19"/>
      <c r="K319" s="19"/>
      <c r="L319" s="17"/>
      <c r="M319" s="18"/>
    </row>
    <row r="320" spans="3:13" x14ac:dyDescent="0.25">
      <c r="C320" s="10"/>
      <c r="D320" s="14" t="s">
        <v>5343</v>
      </c>
      <c r="E320" s="4">
        <v>0</v>
      </c>
      <c r="F320" s="5"/>
      <c r="G320" s="7">
        <f t="shared" si="19"/>
        <v>0</v>
      </c>
      <c r="H320" s="6" t="str">
        <f t="shared" si="18"/>
        <v/>
      </c>
      <c r="I320" s="4"/>
      <c r="J320" s="19"/>
      <c r="K320" s="19"/>
      <c r="L320" s="17"/>
      <c r="M320" s="18"/>
    </row>
    <row r="321" spans="3:13" x14ac:dyDescent="0.25">
      <c r="C321" s="10"/>
      <c r="D321" s="14" t="s">
        <v>5344</v>
      </c>
      <c r="E321" s="4">
        <v>0</v>
      </c>
      <c r="F321" s="5"/>
      <c r="G321" s="7">
        <f t="shared" si="19"/>
        <v>0</v>
      </c>
      <c r="H321" s="6" t="str">
        <f t="shared" si="18"/>
        <v/>
      </c>
      <c r="I321" s="4"/>
      <c r="J321" s="19"/>
      <c r="K321" s="19"/>
      <c r="L321" s="17"/>
      <c r="M321" s="18"/>
    </row>
    <row r="322" spans="3:13" x14ac:dyDescent="0.25">
      <c r="C322" s="10"/>
      <c r="D322" s="14" t="s">
        <v>5345</v>
      </c>
      <c r="E322" s="4">
        <v>0</v>
      </c>
      <c r="F322" s="5"/>
      <c r="G322" s="7">
        <f t="shared" si="19"/>
        <v>0</v>
      </c>
      <c r="H322" s="6" t="str">
        <f t="shared" si="18"/>
        <v/>
      </c>
      <c r="I322" s="4"/>
      <c r="J322" s="19"/>
      <c r="K322" s="19"/>
      <c r="L322" s="17"/>
      <c r="M322" s="18"/>
    </row>
    <row r="323" spans="3:13" x14ac:dyDescent="0.25">
      <c r="C323" s="10"/>
      <c r="D323" s="14" t="s">
        <v>5346</v>
      </c>
      <c r="E323" s="4">
        <v>0</v>
      </c>
      <c r="F323" s="5"/>
      <c r="G323" s="7">
        <f t="shared" si="19"/>
        <v>0</v>
      </c>
      <c r="H323" s="6" t="str">
        <f t="shared" si="18"/>
        <v/>
      </c>
      <c r="I323" s="4"/>
      <c r="J323" s="19"/>
      <c r="K323" s="19"/>
      <c r="L323" s="17"/>
      <c r="M323" s="18"/>
    </row>
    <row r="324" spans="3:13" x14ac:dyDescent="0.25">
      <c r="C324" s="10"/>
      <c r="D324" s="14" t="s">
        <v>5347</v>
      </c>
      <c r="E324" s="4" t="s">
        <v>5419</v>
      </c>
      <c r="F324" s="5"/>
      <c r="G324" s="7" t="e">
        <f t="shared" si="19"/>
        <v>#VALUE!</v>
      </c>
      <c r="H324" s="6" t="str">
        <f t="shared" si="18"/>
        <v/>
      </c>
      <c r="I324" s="4"/>
      <c r="J324" s="19"/>
      <c r="K324" s="19"/>
      <c r="L324" s="17"/>
      <c r="M324" s="18"/>
    </row>
    <row r="325" spans="3:13" x14ac:dyDescent="0.25">
      <c r="C325" s="10"/>
      <c r="D325" s="14" t="s">
        <v>5348</v>
      </c>
      <c r="E325" s="4">
        <v>0</v>
      </c>
      <c r="F325" s="5"/>
      <c r="G325" s="7">
        <f t="shared" si="19"/>
        <v>0</v>
      </c>
      <c r="H325" s="6" t="str">
        <f t="shared" si="18"/>
        <v/>
      </c>
      <c r="I325" s="4"/>
      <c r="J325" s="19"/>
      <c r="K325" s="19"/>
      <c r="L325" s="17"/>
      <c r="M325" s="18"/>
    </row>
    <row r="326" spans="3:13" x14ac:dyDescent="0.25">
      <c r="C326" s="10"/>
      <c r="D326" s="14" t="s">
        <v>5349</v>
      </c>
      <c r="E326" s="4">
        <v>0</v>
      </c>
      <c r="F326" s="5"/>
      <c r="G326" s="7">
        <f t="shared" si="19"/>
        <v>0</v>
      </c>
      <c r="H326" s="6" t="str">
        <f t="shared" si="18"/>
        <v/>
      </c>
      <c r="I326" s="4"/>
      <c r="J326" s="19"/>
      <c r="K326" s="19"/>
      <c r="L326" s="17"/>
      <c r="M326" s="18"/>
    </row>
    <row r="327" spans="3:13" x14ac:dyDescent="0.25">
      <c r="C327" s="10"/>
      <c r="D327" s="14" t="s">
        <v>5350</v>
      </c>
      <c r="E327" s="4" t="s">
        <v>5419</v>
      </c>
      <c r="F327" s="5"/>
      <c r="G327" s="7" t="e">
        <f t="shared" si="19"/>
        <v>#VALUE!</v>
      </c>
      <c r="H327" s="6" t="str">
        <f t="shared" si="18"/>
        <v/>
      </c>
      <c r="I327" s="4"/>
      <c r="J327" s="19"/>
      <c r="K327" s="19"/>
      <c r="L327" s="17"/>
      <c r="M327" s="18"/>
    </row>
    <row r="328" spans="3:13" x14ac:dyDescent="0.25">
      <c r="C328" s="10"/>
      <c r="D328" s="14" t="s">
        <v>5351</v>
      </c>
      <c r="E328" s="4">
        <v>0</v>
      </c>
      <c r="F328" s="5"/>
      <c r="G328" s="7">
        <f t="shared" si="19"/>
        <v>0</v>
      </c>
      <c r="H328" s="6" t="str">
        <f t="shared" si="18"/>
        <v/>
      </c>
      <c r="I328" s="4"/>
      <c r="J328" s="19"/>
      <c r="K328" s="19"/>
      <c r="L328" s="17"/>
      <c r="M328" s="18"/>
    </row>
    <row r="329" spans="3:13" x14ac:dyDescent="0.25">
      <c r="C329" s="10"/>
      <c r="D329" s="14" t="s">
        <v>5352</v>
      </c>
      <c r="E329" s="4">
        <v>0</v>
      </c>
      <c r="F329" s="5"/>
      <c r="G329" s="7">
        <f t="shared" si="19"/>
        <v>0</v>
      </c>
      <c r="H329" s="6" t="str">
        <f t="shared" si="18"/>
        <v/>
      </c>
      <c r="I329" s="4"/>
      <c r="J329" s="19"/>
      <c r="K329" s="19"/>
      <c r="L329" s="17"/>
      <c r="M329" s="18"/>
    </row>
    <row r="330" spans="3:13" x14ac:dyDescent="0.25">
      <c r="C330" s="10"/>
      <c r="D330" s="14" t="s">
        <v>5353</v>
      </c>
      <c r="E330" s="4">
        <v>0</v>
      </c>
      <c r="F330" s="5"/>
      <c r="G330" s="7">
        <f t="shared" si="19"/>
        <v>0</v>
      </c>
      <c r="H330" s="6" t="str">
        <f t="shared" si="18"/>
        <v/>
      </c>
      <c r="I330" s="4"/>
      <c r="J330" s="19"/>
      <c r="K330" s="19"/>
      <c r="L330" s="17"/>
      <c r="M330" s="18"/>
    </row>
    <row r="331" spans="3:13" x14ac:dyDescent="0.25">
      <c r="C331" s="10"/>
      <c r="D331" s="14" t="s">
        <v>5354</v>
      </c>
      <c r="E331" s="4">
        <v>0</v>
      </c>
      <c r="F331" s="5"/>
      <c r="G331" s="7">
        <f t="shared" si="19"/>
        <v>0</v>
      </c>
      <c r="H331" s="6" t="str">
        <f t="shared" si="18"/>
        <v/>
      </c>
      <c r="I331" s="4"/>
      <c r="J331" s="19"/>
      <c r="K331" s="19"/>
      <c r="L331" s="17"/>
      <c r="M331" s="18"/>
    </row>
    <row r="332" spans="3:13" x14ac:dyDescent="0.25">
      <c r="C332" s="10"/>
      <c r="D332" s="14" t="s">
        <v>5355</v>
      </c>
      <c r="E332" s="4">
        <v>0</v>
      </c>
      <c r="F332" s="5"/>
      <c r="G332" s="7">
        <f t="shared" si="19"/>
        <v>0</v>
      </c>
      <c r="H332" s="6" t="str">
        <f t="shared" si="18"/>
        <v/>
      </c>
      <c r="I332" s="4"/>
      <c r="J332" s="19"/>
      <c r="K332" s="19"/>
      <c r="L332" s="17"/>
      <c r="M332" s="18"/>
    </row>
    <row r="333" spans="3:13" x14ac:dyDescent="0.25">
      <c r="C333" s="10"/>
      <c r="D333" s="14" t="s">
        <v>5356</v>
      </c>
      <c r="E333" s="4">
        <v>0</v>
      </c>
      <c r="F333" s="5"/>
      <c r="G333" s="7">
        <f t="shared" si="19"/>
        <v>0</v>
      </c>
      <c r="H333" s="6" t="str">
        <f t="shared" si="18"/>
        <v/>
      </c>
      <c r="I333" s="4"/>
      <c r="J333" s="19"/>
      <c r="K333" s="19"/>
      <c r="L333" s="17"/>
      <c r="M333" s="18"/>
    </row>
    <row r="334" spans="3:13" x14ac:dyDescent="0.25">
      <c r="C334" s="10"/>
      <c r="D334" s="14" t="s">
        <v>5357</v>
      </c>
      <c r="E334" s="4">
        <v>0</v>
      </c>
      <c r="F334" s="5"/>
      <c r="G334" s="7">
        <f t="shared" si="19"/>
        <v>0</v>
      </c>
      <c r="H334" s="6" t="str">
        <f t="shared" si="18"/>
        <v/>
      </c>
      <c r="I334" s="4"/>
      <c r="J334" s="19"/>
      <c r="K334" s="19"/>
      <c r="L334" s="17"/>
      <c r="M334" s="18"/>
    </row>
    <row r="335" spans="3:13" x14ac:dyDescent="0.25">
      <c r="C335" s="10"/>
      <c r="D335" s="14" t="s">
        <v>5358</v>
      </c>
      <c r="E335" s="4">
        <v>0</v>
      </c>
      <c r="F335" s="5"/>
      <c r="G335" s="7">
        <f t="shared" si="19"/>
        <v>0</v>
      </c>
      <c r="H335" s="6" t="str">
        <f t="shared" si="18"/>
        <v/>
      </c>
      <c r="I335" s="4"/>
      <c r="J335" s="19"/>
      <c r="K335" s="19"/>
      <c r="L335" s="17"/>
      <c r="M335" s="18"/>
    </row>
    <row r="336" spans="3:13" x14ac:dyDescent="0.25">
      <c r="C336" s="10"/>
      <c r="D336" s="14" t="s">
        <v>5359</v>
      </c>
      <c r="E336" s="4">
        <v>0</v>
      </c>
      <c r="F336" s="5"/>
      <c r="G336" s="7">
        <f t="shared" si="19"/>
        <v>0</v>
      </c>
      <c r="H336" s="6" t="str">
        <f t="shared" si="18"/>
        <v/>
      </c>
      <c r="I336" s="4"/>
      <c r="J336" s="19"/>
      <c r="K336" s="19"/>
      <c r="L336" s="17"/>
      <c r="M336" s="18"/>
    </row>
    <row r="337" spans="3:13" x14ac:dyDescent="0.25">
      <c r="C337" s="10"/>
      <c r="D337" s="14" t="s">
        <v>5360</v>
      </c>
      <c r="E337" s="4">
        <v>0</v>
      </c>
      <c r="F337" s="5"/>
      <c r="G337" s="7">
        <f t="shared" si="19"/>
        <v>0</v>
      </c>
      <c r="H337" s="6" t="str">
        <f t="shared" si="18"/>
        <v/>
      </c>
      <c r="I337" s="4"/>
      <c r="J337" s="19"/>
      <c r="K337" s="19"/>
      <c r="L337" s="17"/>
      <c r="M337" s="18"/>
    </row>
    <row r="338" spans="3:13" x14ac:dyDescent="0.25">
      <c r="C338" s="10"/>
      <c r="D338" s="14" t="s">
        <v>5361</v>
      </c>
      <c r="E338" s="4">
        <v>0</v>
      </c>
      <c r="F338" s="5"/>
      <c r="G338" s="7">
        <f t="shared" si="19"/>
        <v>0</v>
      </c>
      <c r="H338" s="6" t="str">
        <f t="shared" si="18"/>
        <v/>
      </c>
      <c r="I338" s="4"/>
      <c r="J338" s="19"/>
      <c r="K338" s="19"/>
      <c r="L338" s="17"/>
      <c r="M338" s="18"/>
    </row>
    <row r="339" spans="3:13" x14ac:dyDescent="0.25">
      <c r="C339" s="10"/>
      <c r="D339" s="14" t="s">
        <v>5362</v>
      </c>
      <c r="E339" s="4" t="s">
        <v>5419</v>
      </c>
      <c r="F339" s="5"/>
      <c r="G339" s="7" t="e">
        <f t="shared" si="19"/>
        <v>#VALUE!</v>
      </c>
      <c r="H339" s="6" t="str">
        <f t="shared" si="18"/>
        <v/>
      </c>
      <c r="I339" s="4"/>
      <c r="J339" s="19"/>
      <c r="K339" s="19"/>
      <c r="L339" s="17"/>
      <c r="M339" s="18"/>
    </row>
    <row r="340" spans="3:13" x14ac:dyDescent="0.25">
      <c r="C340" s="10"/>
      <c r="D340" s="14" t="s">
        <v>5363</v>
      </c>
      <c r="E340" s="4" t="s">
        <v>5419</v>
      </c>
      <c r="F340" s="5"/>
      <c r="G340" s="7" t="e">
        <f t="shared" si="19"/>
        <v>#VALUE!</v>
      </c>
      <c r="H340" s="6" t="str">
        <f t="shared" si="18"/>
        <v/>
      </c>
      <c r="I340" s="4"/>
      <c r="J340" s="19"/>
      <c r="K340" s="19"/>
      <c r="L340" s="17"/>
      <c r="M340" s="18"/>
    </row>
    <row r="341" spans="3:13" x14ac:dyDescent="0.25">
      <c r="C341" s="10"/>
      <c r="D341" s="14" t="s">
        <v>5364</v>
      </c>
      <c r="E341" s="4">
        <v>0</v>
      </c>
      <c r="F341" s="5"/>
      <c r="G341" s="7">
        <f t="shared" si="19"/>
        <v>0</v>
      </c>
      <c r="H341" s="6" t="str">
        <f t="shared" si="18"/>
        <v/>
      </c>
      <c r="I341" s="4"/>
      <c r="J341" s="19"/>
      <c r="K341" s="19"/>
      <c r="L341" s="17"/>
      <c r="M341" s="18"/>
    </row>
    <row r="342" spans="3:13" x14ac:dyDescent="0.25">
      <c r="C342" s="10"/>
      <c r="D342" s="14" t="s">
        <v>5365</v>
      </c>
      <c r="E342" s="4">
        <v>0</v>
      </c>
      <c r="F342" s="5"/>
      <c r="G342" s="7">
        <f t="shared" si="19"/>
        <v>0</v>
      </c>
      <c r="H342" s="6" t="str">
        <f t="shared" si="18"/>
        <v/>
      </c>
      <c r="I342" s="4"/>
      <c r="J342" s="19"/>
      <c r="K342" s="19"/>
      <c r="L342" s="17"/>
      <c r="M342" s="18"/>
    </row>
    <row r="343" spans="3:13" x14ac:dyDescent="0.25">
      <c r="C343" s="10"/>
      <c r="D343" s="14" t="s">
        <v>5366</v>
      </c>
      <c r="E343" s="4">
        <v>0</v>
      </c>
      <c r="F343" s="5"/>
      <c r="G343" s="7">
        <f t="shared" si="19"/>
        <v>0</v>
      </c>
      <c r="H343" s="6" t="str">
        <f t="shared" si="18"/>
        <v/>
      </c>
      <c r="I343" s="4"/>
      <c r="J343" s="19"/>
      <c r="K343" s="19"/>
      <c r="L343" s="17"/>
      <c r="M343" s="18"/>
    </row>
    <row r="344" spans="3:13" x14ac:dyDescent="0.25">
      <c r="C344" s="10"/>
      <c r="D344" s="14" t="s">
        <v>5367</v>
      </c>
      <c r="E344" s="4">
        <v>0</v>
      </c>
      <c r="F344" s="5"/>
      <c r="G344" s="7">
        <f t="shared" si="19"/>
        <v>0</v>
      </c>
      <c r="H344" s="6" t="str">
        <f t="shared" si="18"/>
        <v/>
      </c>
      <c r="I344" s="4"/>
      <c r="J344" s="19"/>
      <c r="K344" s="19"/>
      <c r="L344" s="17"/>
      <c r="M344" s="18"/>
    </row>
    <row r="345" spans="3:13" x14ac:dyDescent="0.25">
      <c r="C345" s="10"/>
      <c r="D345" s="14" t="s">
        <v>5368</v>
      </c>
      <c r="E345" s="4">
        <v>0</v>
      </c>
      <c r="F345" s="5"/>
      <c r="G345" s="7">
        <f t="shared" si="19"/>
        <v>0</v>
      </c>
      <c r="H345" s="6" t="str">
        <f t="shared" si="18"/>
        <v/>
      </c>
      <c r="I345" s="4"/>
      <c r="J345" s="19"/>
      <c r="K345" s="19"/>
      <c r="L345" s="17"/>
      <c r="M345" s="18"/>
    </row>
    <row r="346" spans="3:13" x14ac:dyDescent="0.25">
      <c r="C346" s="10"/>
      <c r="D346" s="14" t="s">
        <v>5369</v>
      </c>
      <c r="E346" s="4">
        <v>0</v>
      </c>
      <c r="F346" s="5"/>
      <c r="G346" s="7">
        <f t="shared" si="19"/>
        <v>0</v>
      </c>
      <c r="H346" s="6" t="str">
        <f t="shared" si="18"/>
        <v/>
      </c>
      <c r="I346" s="4"/>
      <c r="J346" s="19"/>
      <c r="K346" s="19"/>
      <c r="L346" s="17"/>
      <c r="M346" s="18"/>
    </row>
    <row r="347" spans="3:13" x14ac:dyDescent="0.25">
      <c r="C347" s="10"/>
      <c r="D347" s="14" t="s">
        <v>5370</v>
      </c>
      <c r="E347" s="4">
        <v>0</v>
      </c>
      <c r="F347" s="5"/>
      <c r="G347" s="7">
        <f t="shared" si="19"/>
        <v>0</v>
      </c>
      <c r="H347" s="6" t="str">
        <f t="shared" si="18"/>
        <v/>
      </c>
      <c r="I347" s="4"/>
      <c r="J347" s="19"/>
      <c r="K347" s="19"/>
      <c r="L347" s="17"/>
      <c r="M347" s="18"/>
    </row>
    <row r="348" spans="3:13" x14ac:dyDescent="0.25">
      <c r="C348" s="10"/>
      <c r="D348" s="14" t="s">
        <v>5371</v>
      </c>
      <c r="E348" s="4">
        <v>0</v>
      </c>
      <c r="F348" s="5"/>
      <c r="G348" s="7">
        <f t="shared" si="19"/>
        <v>0</v>
      </c>
      <c r="H348" s="6" t="str">
        <f t="shared" ref="H348:H411" si="20">IF(F348&lt;&gt;0,(E348-F348)/F348,"")</f>
        <v/>
      </c>
      <c r="I348" s="4"/>
      <c r="J348" s="19"/>
      <c r="K348" s="19"/>
      <c r="L348" s="17"/>
      <c r="M348" s="18"/>
    </row>
    <row r="349" spans="3:13" x14ac:dyDescent="0.25">
      <c r="C349" s="10"/>
      <c r="D349" s="14" t="s">
        <v>5372</v>
      </c>
      <c r="E349" s="4">
        <v>0</v>
      </c>
      <c r="F349" s="5"/>
      <c r="G349" s="7">
        <f t="shared" si="19"/>
        <v>0</v>
      </c>
      <c r="H349" s="6" t="str">
        <f t="shared" si="20"/>
        <v/>
      </c>
      <c r="I349" s="4"/>
      <c r="J349" s="19"/>
      <c r="K349" s="19"/>
      <c r="L349" s="17"/>
      <c r="M349" s="18"/>
    </row>
    <row r="350" spans="3:13" x14ac:dyDescent="0.25">
      <c r="C350" s="10"/>
      <c r="D350" s="14" t="s">
        <v>5373</v>
      </c>
      <c r="E350" s="4">
        <v>2</v>
      </c>
      <c r="F350" s="5"/>
      <c r="G350" s="7">
        <f t="shared" ref="G350:G413" si="21">(E350-F350)</f>
        <v>2</v>
      </c>
      <c r="H350" s="6" t="str">
        <f t="shared" si="20"/>
        <v/>
      </c>
      <c r="I350" s="4"/>
      <c r="J350" s="19"/>
      <c r="K350" s="19"/>
      <c r="L350" s="17"/>
      <c r="M350" s="18"/>
    </row>
    <row r="351" spans="3:13" x14ac:dyDescent="0.25">
      <c r="C351" s="10"/>
      <c r="D351" s="14" t="s">
        <v>5374</v>
      </c>
      <c r="E351" s="4">
        <v>0</v>
      </c>
      <c r="F351" s="5"/>
      <c r="G351" s="7">
        <f t="shared" si="21"/>
        <v>0</v>
      </c>
      <c r="H351" s="6" t="str">
        <f t="shared" si="20"/>
        <v/>
      </c>
      <c r="I351" s="4"/>
      <c r="J351" s="19"/>
      <c r="K351" s="19"/>
      <c r="L351" s="17"/>
      <c r="M351" s="18"/>
    </row>
    <row r="352" spans="3:13" x14ac:dyDescent="0.25">
      <c r="C352" s="10"/>
      <c r="D352" s="14" t="s">
        <v>5375</v>
      </c>
      <c r="E352" s="4">
        <v>0</v>
      </c>
      <c r="F352" s="5"/>
      <c r="G352" s="7">
        <f t="shared" si="21"/>
        <v>0</v>
      </c>
      <c r="H352" s="6" t="str">
        <f t="shared" si="20"/>
        <v/>
      </c>
      <c r="I352" s="4"/>
      <c r="J352" s="19"/>
      <c r="K352" s="19"/>
      <c r="L352" s="17"/>
      <c r="M352" s="18"/>
    </row>
    <row r="353" spans="3:13" x14ac:dyDescent="0.25">
      <c r="C353" s="10"/>
      <c r="D353" s="14" t="s">
        <v>5376</v>
      </c>
      <c r="E353" s="4">
        <v>0</v>
      </c>
      <c r="F353" s="5"/>
      <c r="G353" s="7">
        <f t="shared" si="21"/>
        <v>0</v>
      </c>
      <c r="H353" s="6" t="str">
        <f t="shared" si="20"/>
        <v/>
      </c>
      <c r="I353" s="4"/>
      <c r="J353" s="19"/>
      <c r="K353" s="19"/>
      <c r="L353" s="17"/>
      <c r="M353" s="18"/>
    </row>
    <row r="354" spans="3:13" x14ac:dyDescent="0.25">
      <c r="C354" s="10"/>
      <c r="D354" s="14" t="s">
        <v>5377</v>
      </c>
      <c r="E354" s="4">
        <v>0</v>
      </c>
      <c r="F354" s="5"/>
      <c r="G354" s="7">
        <f t="shared" si="21"/>
        <v>0</v>
      </c>
      <c r="H354" s="6" t="str">
        <f t="shared" si="20"/>
        <v/>
      </c>
      <c r="I354" s="4"/>
      <c r="J354" s="19"/>
      <c r="K354" s="19"/>
      <c r="L354" s="17"/>
      <c r="M354" s="18"/>
    </row>
    <row r="355" spans="3:13" x14ac:dyDescent="0.25">
      <c r="C355" s="10"/>
      <c r="D355" s="14" t="s">
        <v>5378</v>
      </c>
      <c r="E355" s="4">
        <v>0</v>
      </c>
      <c r="F355" s="5"/>
      <c r="G355" s="7">
        <f t="shared" si="21"/>
        <v>0</v>
      </c>
      <c r="H355" s="6" t="str">
        <f t="shared" si="20"/>
        <v/>
      </c>
      <c r="I355" s="4"/>
      <c r="J355" s="19"/>
      <c r="K355" s="19"/>
      <c r="L355" s="17"/>
      <c r="M355" s="18"/>
    </row>
    <row r="356" spans="3:13" x14ac:dyDescent="0.25">
      <c r="C356" s="10"/>
      <c r="D356" s="14" t="s">
        <v>5379</v>
      </c>
      <c r="E356" s="4">
        <v>0</v>
      </c>
      <c r="F356" s="5"/>
      <c r="G356" s="7">
        <f t="shared" si="21"/>
        <v>0</v>
      </c>
      <c r="H356" s="6" t="str">
        <f t="shared" si="20"/>
        <v/>
      </c>
      <c r="I356" s="4"/>
      <c r="J356" s="19"/>
      <c r="K356" s="19"/>
      <c r="L356" s="17"/>
      <c r="M356" s="18"/>
    </row>
    <row r="357" spans="3:13" x14ac:dyDescent="0.25">
      <c r="C357" s="10"/>
      <c r="D357" s="14" t="s">
        <v>5380</v>
      </c>
      <c r="E357" s="4">
        <v>0</v>
      </c>
      <c r="F357" s="5"/>
      <c r="G357" s="7">
        <f t="shared" si="21"/>
        <v>0</v>
      </c>
      <c r="H357" s="6" t="str">
        <f t="shared" si="20"/>
        <v/>
      </c>
      <c r="I357" s="4"/>
      <c r="J357" s="19"/>
      <c r="K357" s="19"/>
      <c r="L357" s="17"/>
      <c r="M357" s="18"/>
    </row>
    <row r="358" spans="3:13" x14ac:dyDescent="0.25">
      <c r="C358" s="10"/>
      <c r="D358" s="14" t="s">
        <v>5381</v>
      </c>
      <c r="E358" s="4">
        <v>0</v>
      </c>
      <c r="F358" s="5"/>
      <c r="G358" s="7">
        <f t="shared" si="21"/>
        <v>0</v>
      </c>
      <c r="H358" s="6" t="str">
        <f t="shared" si="20"/>
        <v/>
      </c>
      <c r="I358" s="4"/>
      <c r="J358" s="19"/>
      <c r="K358" s="19"/>
      <c r="L358" s="17"/>
      <c r="M358" s="18"/>
    </row>
    <row r="359" spans="3:13" x14ac:dyDescent="0.25">
      <c r="C359" s="10"/>
      <c r="D359" s="14" t="s">
        <v>5382</v>
      </c>
      <c r="E359" s="4">
        <v>0</v>
      </c>
      <c r="F359" s="5"/>
      <c r="G359" s="7">
        <f t="shared" si="21"/>
        <v>0</v>
      </c>
      <c r="H359" s="6" t="str">
        <f t="shared" si="20"/>
        <v/>
      </c>
      <c r="I359" s="4"/>
      <c r="J359" s="19"/>
      <c r="K359" s="19"/>
      <c r="L359" s="17"/>
      <c r="M359" s="18"/>
    </row>
    <row r="360" spans="3:13" x14ac:dyDescent="0.25">
      <c r="C360" s="10"/>
      <c r="D360" s="14" t="s">
        <v>5383</v>
      </c>
      <c r="E360" s="4">
        <v>0</v>
      </c>
      <c r="F360" s="5"/>
      <c r="G360" s="7">
        <f t="shared" si="21"/>
        <v>0</v>
      </c>
      <c r="H360" s="6" t="str">
        <f t="shared" si="20"/>
        <v/>
      </c>
      <c r="I360" s="4"/>
      <c r="J360" s="19"/>
      <c r="K360" s="19"/>
      <c r="L360" s="17"/>
      <c r="M360" s="18"/>
    </row>
    <row r="361" spans="3:13" x14ac:dyDescent="0.25">
      <c r="C361" s="10"/>
      <c r="D361" s="14" t="s">
        <v>5384</v>
      </c>
      <c r="E361" s="4">
        <v>0</v>
      </c>
      <c r="F361" s="5"/>
      <c r="G361" s="7">
        <f t="shared" si="21"/>
        <v>0</v>
      </c>
      <c r="H361" s="6" t="str">
        <f t="shared" si="20"/>
        <v/>
      </c>
      <c r="I361" s="4"/>
      <c r="J361" s="19"/>
      <c r="K361" s="19"/>
      <c r="L361" s="17"/>
      <c r="M361" s="18"/>
    </row>
    <row r="362" spans="3:13" x14ac:dyDescent="0.25">
      <c r="C362" s="10"/>
      <c r="D362" s="14" t="s">
        <v>5385</v>
      </c>
      <c r="E362" s="4" t="s">
        <v>5419</v>
      </c>
      <c r="F362" s="5"/>
      <c r="G362" s="7" t="e">
        <f t="shared" si="21"/>
        <v>#VALUE!</v>
      </c>
      <c r="H362" s="6" t="str">
        <f t="shared" si="20"/>
        <v/>
      </c>
      <c r="I362" s="4"/>
      <c r="J362" s="19"/>
      <c r="K362" s="19"/>
      <c r="L362" s="17"/>
      <c r="M362" s="18"/>
    </row>
    <row r="363" spans="3:13" x14ac:dyDescent="0.25">
      <c r="C363" s="10"/>
      <c r="D363" s="14" t="s">
        <v>5386</v>
      </c>
      <c r="E363" s="4">
        <v>0</v>
      </c>
      <c r="F363" s="5"/>
      <c r="G363" s="7">
        <f t="shared" si="21"/>
        <v>0</v>
      </c>
      <c r="H363" s="6" t="str">
        <f t="shared" si="20"/>
        <v/>
      </c>
      <c r="I363" s="4"/>
      <c r="J363" s="19"/>
      <c r="K363" s="19"/>
      <c r="L363" s="17"/>
      <c r="M363" s="18"/>
    </row>
    <row r="364" spans="3:13" x14ac:dyDescent="0.25">
      <c r="C364" s="10"/>
      <c r="D364" s="14" t="s">
        <v>5387</v>
      </c>
      <c r="E364" s="4" t="s">
        <v>5419</v>
      </c>
      <c r="F364" s="5"/>
      <c r="G364" s="7" t="e">
        <f t="shared" si="21"/>
        <v>#VALUE!</v>
      </c>
      <c r="H364" s="6" t="str">
        <f t="shared" si="20"/>
        <v/>
      </c>
      <c r="I364" s="4"/>
      <c r="J364" s="19"/>
      <c r="K364" s="19"/>
      <c r="L364" s="17"/>
      <c r="M364" s="18"/>
    </row>
    <row r="365" spans="3:13" x14ac:dyDescent="0.25">
      <c r="C365" s="10"/>
      <c r="D365" s="14" t="s">
        <v>5388</v>
      </c>
      <c r="E365" s="4" t="s">
        <v>5419</v>
      </c>
      <c r="F365" s="5"/>
      <c r="G365" s="7" t="e">
        <f t="shared" si="21"/>
        <v>#VALUE!</v>
      </c>
      <c r="H365" s="6" t="str">
        <f t="shared" si="20"/>
        <v/>
      </c>
      <c r="I365" s="4"/>
      <c r="J365" s="19"/>
      <c r="K365" s="19"/>
      <c r="L365" s="17"/>
      <c r="M365" s="18"/>
    </row>
    <row r="366" spans="3:13" x14ac:dyDescent="0.25">
      <c r="C366" s="10"/>
      <c r="D366" s="14" t="s">
        <v>5389</v>
      </c>
      <c r="E366" s="4">
        <v>0</v>
      </c>
      <c r="F366" s="5"/>
      <c r="G366" s="7">
        <f t="shared" si="21"/>
        <v>0</v>
      </c>
      <c r="H366" s="6" t="str">
        <f t="shared" si="20"/>
        <v/>
      </c>
      <c r="I366" s="4"/>
      <c r="J366" s="19"/>
      <c r="K366" s="19"/>
      <c r="L366" s="17"/>
      <c r="M366" s="18"/>
    </row>
    <row r="367" spans="3:13" x14ac:dyDescent="0.25">
      <c r="C367" s="10"/>
      <c r="D367" s="14" t="s">
        <v>5390</v>
      </c>
      <c r="E367" s="4">
        <v>0</v>
      </c>
      <c r="F367" s="5"/>
      <c r="G367" s="7">
        <f t="shared" si="21"/>
        <v>0</v>
      </c>
      <c r="H367" s="6" t="str">
        <f t="shared" si="20"/>
        <v/>
      </c>
      <c r="I367" s="4"/>
      <c r="J367" s="19"/>
      <c r="K367" s="19"/>
      <c r="L367" s="17"/>
      <c r="M367" s="18"/>
    </row>
    <row r="368" spans="3:13" x14ac:dyDescent="0.25">
      <c r="C368" s="10"/>
      <c r="D368" s="14" t="s">
        <v>5391</v>
      </c>
      <c r="E368" s="4" t="s">
        <v>5419</v>
      </c>
      <c r="F368" s="5"/>
      <c r="G368" s="7" t="e">
        <f t="shared" si="21"/>
        <v>#VALUE!</v>
      </c>
      <c r="H368" s="6" t="str">
        <f t="shared" si="20"/>
        <v/>
      </c>
      <c r="I368" s="4"/>
      <c r="J368" s="19"/>
      <c r="K368" s="19"/>
      <c r="L368" s="17"/>
      <c r="M368" s="18"/>
    </row>
    <row r="369" spans="3:13" x14ac:dyDescent="0.25">
      <c r="C369" s="10"/>
      <c r="D369" s="14" t="s">
        <v>5392</v>
      </c>
      <c r="E369" s="4">
        <v>0</v>
      </c>
      <c r="F369" s="5"/>
      <c r="G369" s="7">
        <f t="shared" si="21"/>
        <v>0</v>
      </c>
      <c r="H369" s="6" t="str">
        <f t="shared" si="20"/>
        <v/>
      </c>
      <c r="I369" s="4"/>
      <c r="J369" s="19"/>
      <c r="K369" s="19"/>
      <c r="L369" s="17"/>
      <c r="M369" s="18"/>
    </row>
    <row r="370" spans="3:13" x14ac:dyDescent="0.25">
      <c r="C370" s="10"/>
      <c r="D370" s="14" t="s">
        <v>5393</v>
      </c>
      <c r="E370" s="4">
        <v>0</v>
      </c>
      <c r="F370" s="5"/>
      <c r="G370" s="7">
        <f t="shared" si="21"/>
        <v>0</v>
      </c>
      <c r="H370" s="6" t="str">
        <f t="shared" si="20"/>
        <v/>
      </c>
      <c r="I370" s="4"/>
      <c r="J370" s="19"/>
      <c r="K370" s="19"/>
      <c r="L370" s="17"/>
      <c r="M370" s="18"/>
    </row>
    <row r="371" spans="3:13" x14ac:dyDescent="0.25">
      <c r="C371" s="10"/>
      <c r="D371" s="14" t="s">
        <v>5394</v>
      </c>
      <c r="E371" s="4">
        <v>0</v>
      </c>
      <c r="F371" s="5"/>
      <c r="G371" s="7">
        <f t="shared" si="21"/>
        <v>0</v>
      </c>
      <c r="H371" s="6" t="str">
        <f t="shared" si="20"/>
        <v/>
      </c>
      <c r="I371" s="4"/>
      <c r="J371" s="19"/>
      <c r="K371" s="19"/>
      <c r="L371" s="17"/>
      <c r="M371" s="18"/>
    </row>
    <row r="372" spans="3:13" x14ac:dyDescent="0.25">
      <c r="C372" s="10"/>
      <c r="D372" s="14" t="s">
        <v>5395</v>
      </c>
      <c r="E372" s="4" t="s">
        <v>5419</v>
      </c>
      <c r="F372" s="5"/>
      <c r="G372" s="7" t="e">
        <f t="shared" si="21"/>
        <v>#VALUE!</v>
      </c>
      <c r="H372" s="6" t="str">
        <f t="shared" si="20"/>
        <v/>
      </c>
      <c r="I372" s="4"/>
      <c r="J372" s="19"/>
      <c r="K372" s="19"/>
      <c r="L372" s="17"/>
      <c r="M372" s="18"/>
    </row>
    <row r="373" spans="3:13" x14ac:dyDescent="0.25">
      <c r="C373" s="10"/>
      <c r="D373" s="14" t="s">
        <v>5396</v>
      </c>
      <c r="E373" s="4">
        <v>0</v>
      </c>
      <c r="F373" s="5"/>
      <c r="G373" s="7">
        <f t="shared" si="21"/>
        <v>0</v>
      </c>
      <c r="H373" s="6" t="str">
        <f t="shared" si="20"/>
        <v/>
      </c>
      <c r="I373" s="4"/>
      <c r="J373" s="19"/>
      <c r="K373" s="19"/>
      <c r="L373" s="17"/>
      <c r="M373" s="18"/>
    </row>
    <row r="374" spans="3:13" x14ac:dyDescent="0.25">
      <c r="C374" s="10"/>
      <c r="D374" s="14" t="s">
        <v>5397</v>
      </c>
      <c r="E374" s="4">
        <v>2</v>
      </c>
      <c r="F374" s="5"/>
      <c r="G374" s="7">
        <f t="shared" si="21"/>
        <v>2</v>
      </c>
      <c r="H374" s="6" t="str">
        <f t="shared" si="20"/>
        <v/>
      </c>
      <c r="I374" s="4"/>
      <c r="J374" s="19"/>
      <c r="K374" s="19"/>
      <c r="L374" s="17"/>
      <c r="M374" s="18"/>
    </row>
    <row r="375" spans="3:13" x14ac:dyDescent="0.25">
      <c r="C375" s="10"/>
      <c r="D375" s="14" t="s">
        <v>5398</v>
      </c>
      <c r="E375" s="4">
        <v>0</v>
      </c>
      <c r="F375" s="5"/>
      <c r="G375" s="7">
        <f t="shared" si="21"/>
        <v>0</v>
      </c>
      <c r="H375" s="6" t="str">
        <f t="shared" si="20"/>
        <v/>
      </c>
      <c r="I375" s="4"/>
      <c r="J375" s="19"/>
      <c r="K375" s="19"/>
      <c r="L375" s="17"/>
      <c r="M375" s="18"/>
    </row>
    <row r="376" spans="3:13" x14ac:dyDescent="0.25">
      <c r="C376" s="10"/>
      <c r="D376" s="14" t="s">
        <v>5399</v>
      </c>
      <c r="E376" s="4">
        <v>0</v>
      </c>
      <c r="F376" s="5"/>
      <c r="G376" s="7">
        <f t="shared" si="21"/>
        <v>0</v>
      </c>
      <c r="H376" s="6" t="str">
        <f t="shared" si="20"/>
        <v/>
      </c>
      <c r="I376" s="4"/>
      <c r="J376" s="19"/>
      <c r="K376" s="19"/>
      <c r="L376" s="17"/>
      <c r="M376" s="18"/>
    </row>
    <row r="377" spans="3:13" x14ac:dyDescent="0.25">
      <c r="C377" s="10"/>
      <c r="D377" s="14" t="s">
        <v>5400</v>
      </c>
      <c r="E377" s="4">
        <v>0</v>
      </c>
      <c r="F377" s="5"/>
      <c r="G377" s="7">
        <f t="shared" si="21"/>
        <v>0</v>
      </c>
      <c r="H377" s="6" t="str">
        <f t="shared" si="20"/>
        <v/>
      </c>
      <c r="I377" s="4"/>
      <c r="J377" s="19"/>
      <c r="K377" s="19"/>
      <c r="L377" s="17"/>
      <c r="M377" s="18"/>
    </row>
    <row r="378" spans="3:13" x14ac:dyDescent="0.25">
      <c r="C378" s="10"/>
      <c r="D378" s="14" t="s">
        <v>5401</v>
      </c>
      <c r="E378" s="4">
        <v>0</v>
      </c>
      <c r="F378" s="5"/>
      <c r="G378" s="7">
        <f t="shared" si="21"/>
        <v>0</v>
      </c>
      <c r="H378" s="6" t="str">
        <f t="shared" si="20"/>
        <v/>
      </c>
      <c r="I378" s="4"/>
      <c r="J378" s="19"/>
      <c r="K378" s="19"/>
      <c r="L378" s="17"/>
      <c r="M378" s="18"/>
    </row>
    <row r="379" spans="3:13" x14ac:dyDescent="0.25">
      <c r="C379" s="10"/>
      <c r="D379" s="14" t="s">
        <v>5402</v>
      </c>
      <c r="E379" s="4">
        <v>0</v>
      </c>
      <c r="F379" s="5"/>
      <c r="G379" s="7">
        <f t="shared" si="21"/>
        <v>0</v>
      </c>
      <c r="H379" s="6" t="str">
        <f t="shared" si="20"/>
        <v/>
      </c>
      <c r="I379" s="4"/>
      <c r="J379" s="19"/>
      <c r="K379" s="19"/>
      <c r="L379" s="17"/>
      <c r="M379" s="18"/>
    </row>
    <row r="380" spans="3:13" x14ac:dyDescent="0.25">
      <c r="C380" s="10"/>
      <c r="D380" s="14" t="s">
        <v>5403</v>
      </c>
      <c r="E380" s="4">
        <v>0</v>
      </c>
      <c r="F380" s="5"/>
      <c r="G380" s="7">
        <f t="shared" si="21"/>
        <v>0</v>
      </c>
      <c r="H380" s="6" t="str">
        <f t="shared" si="20"/>
        <v/>
      </c>
      <c r="I380" s="4"/>
      <c r="J380" s="19"/>
      <c r="K380" s="19"/>
      <c r="L380" s="17"/>
      <c r="M380" s="18"/>
    </row>
    <row r="381" spans="3:13" x14ac:dyDescent="0.25">
      <c r="C381" s="10"/>
      <c r="D381" s="14" t="s">
        <v>5404</v>
      </c>
      <c r="E381" s="4">
        <v>0</v>
      </c>
      <c r="F381" s="5"/>
      <c r="G381" s="7">
        <f t="shared" si="21"/>
        <v>0</v>
      </c>
      <c r="H381" s="6" t="str">
        <f t="shared" si="20"/>
        <v/>
      </c>
      <c r="I381" s="4"/>
      <c r="J381" s="19"/>
      <c r="K381" s="19"/>
      <c r="L381" s="17"/>
      <c r="M381" s="18"/>
    </row>
    <row r="382" spans="3:13" x14ac:dyDescent="0.25">
      <c r="C382" s="10"/>
      <c r="D382" s="14" t="s">
        <v>5405</v>
      </c>
      <c r="E382" s="4">
        <v>0</v>
      </c>
      <c r="F382" s="5"/>
      <c r="G382" s="7">
        <f t="shared" si="21"/>
        <v>0</v>
      </c>
      <c r="H382" s="6" t="str">
        <f t="shared" si="20"/>
        <v/>
      </c>
      <c r="I382" s="4"/>
      <c r="J382" s="19"/>
      <c r="K382" s="19"/>
      <c r="L382" s="17"/>
      <c r="M382" s="18"/>
    </row>
    <row r="383" spans="3:13" x14ac:dyDescent="0.25">
      <c r="C383" s="10"/>
      <c r="D383" s="14" t="s">
        <v>5406</v>
      </c>
      <c r="E383" s="4">
        <v>0</v>
      </c>
      <c r="F383" s="5"/>
      <c r="G383" s="7">
        <f t="shared" si="21"/>
        <v>0</v>
      </c>
      <c r="H383" s="6" t="str">
        <f t="shared" si="20"/>
        <v/>
      </c>
      <c r="I383" s="4"/>
      <c r="J383" s="19"/>
      <c r="K383" s="19"/>
      <c r="L383" s="17"/>
      <c r="M383" s="18"/>
    </row>
    <row r="384" spans="3:13" x14ac:dyDescent="0.25">
      <c r="C384" s="10"/>
      <c r="D384" s="14" t="s">
        <v>5407</v>
      </c>
      <c r="E384" s="4">
        <v>0</v>
      </c>
      <c r="F384" s="5"/>
      <c r="G384" s="7">
        <f t="shared" si="21"/>
        <v>0</v>
      </c>
      <c r="H384" s="6" t="str">
        <f t="shared" si="20"/>
        <v/>
      </c>
      <c r="I384" s="4"/>
      <c r="J384" s="19"/>
      <c r="K384" s="19"/>
      <c r="L384" s="17"/>
      <c r="M384" s="18"/>
    </row>
    <row r="385" spans="3:13" x14ac:dyDescent="0.25">
      <c r="C385" s="10"/>
      <c r="D385" s="14" t="s">
        <v>5408</v>
      </c>
      <c r="E385" s="4">
        <v>0</v>
      </c>
      <c r="F385" s="5"/>
      <c r="G385" s="7">
        <f t="shared" si="21"/>
        <v>0</v>
      </c>
      <c r="H385" s="6" t="str">
        <f t="shared" si="20"/>
        <v/>
      </c>
      <c r="I385" s="4"/>
      <c r="J385" s="19"/>
      <c r="K385" s="19"/>
      <c r="L385" s="17"/>
      <c r="M385" s="18"/>
    </row>
    <row r="386" spans="3:13" x14ac:dyDescent="0.25">
      <c r="C386" s="10"/>
      <c r="D386" s="14" t="s">
        <v>5409</v>
      </c>
      <c r="E386" s="4">
        <v>2</v>
      </c>
      <c r="F386" s="5"/>
      <c r="G386" s="7">
        <f t="shared" si="21"/>
        <v>2</v>
      </c>
      <c r="H386" s="6" t="str">
        <f t="shared" si="20"/>
        <v/>
      </c>
      <c r="I386" s="4"/>
      <c r="J386" s="19"/>
      <c r="K386" s="19"/>
      <c r="L386" s="17"/>
      <c r="M386" s="18"/>
    </row>
    <row r="387" spans="3:13" x14ac:dyDescent="0.25">
      <c r="C387" s="10"/>
      <c r="D387" s="14" t="s">
        <v>5410</v>
      </c>
      <c r="E387" s="4">
        <v>0</v>
      </c>
      <c r="F387" s="5"/>
      <c r="G387" s="7">
        <f t="shared" si="21"/>
        <v>0</v>
      </c>
      <c r="H387" s="6" t="str">
        <f t="shared" si="20"/>
        <v/>
      </c>
      <c r="I387" s="4"/>
      <c r="J387" s="19"/>
      <c r="K387" s="19"/>
      <c r="L387" s="17"/>
      <c r="M387" s="18"/>
    </row>
    <row r="388" spans="3:13" x14ac:dyDescent="0.25">
      <c r="C388" s="10"/>
      <c r="D388" s="14" t="s">
        <v>5411</v>
      </c>
      <c r="E388" s="4">
        <v>0</v>
      </c>
      <c r="F388" s="5"/>
      <c r="G388" s="7">
        <f t="shared" si="21"/>
        <v>0</v>
      </c>
      <c r="H388" s="6" t="str">
        <f t="shared" si="20"/>
        <v/>
      </c>
      <c r="I388" s="4"/>
      <c r="J388" s="19"/>
      <c r="K388" s="19"/>
      <c r="L388" s="17"/>
      <c r="M388" s="18"/>
    </row>
    <row r="389" spans="3:13" x14ac:dyDescent="0.25">
      <c r="C389" s="10"/>
      <c r="D389" s="14" t="s">
        <v>5412</v>
      </c>
      <c r="E389" s="4">
        <v>2</v>
      </c>
      <c r="F389" s="5"/>
      <c r="G389" s="7">
        <f t="shared" si="21"/>
        <v>2</v>
      </c>
      <c r="H389" s="6" t="str">
        <f t="shared" si="20"/>
        <v/>
      </c>
      <c r="I389" s="4"/>
      <c r="J389" s="19"/>
      <c r="K389" s="19"/>
      <c r="L389" s="17"/>
      <c r="M389" s="18"/>
    </row>
    <row r="390" spans="3:13" x14ac:dyDescent="0.25">
      <c r="C390" s="10"/>
      <c r="D390" s="14" t="s">
        <v>5413</v>
      </c>
      <c r="E390" s="4">
        <v>2</v>
      </c>
      <c r="F390" s="5"/>
      <c r="G390" s="7">
        <f t="shared" si="21"/>
        <v>2</v>
      </c>
      <c r="H390" s="6" t="str">
        <f t="shared" si="20"/>
        <v/>
      </c>
      <c r="I390" s="4"/>
      <c r="J390" s="19"/>
      <c r="K390" s="19"/>
      <c r="L390" s="17"/>
      <c r="M390" s="18"/>
    </row>
    <row r="391" spans="3:13" x14ac:dyDescent="0.25">
      <c r="C391" s="10"/>
      <c r="D391" s="14" t="s">
        <v>5414</v>
      </c>
      <c r="E391" s="4">
        <v>0</v>
      </c>
      <c r="F391" s="5"/>
      <c r="G391" s="7">
        <f t="shared" si="21"/>
        <v>0</v>
      </c>
      <c r="H391" s="6" t="str">
        <f t="shared" si="20"/>
        <v/>
      </c>
      <c r="I391" s="4"/>
      <c r="J391" s="19"/>
      <c r="K391" s="19"/>
      <c r="L391" s="17"/>
      <c r="M391" s="18"/>
    </row>
    <row r="392" spans="3:13" x14ac:dyDescent="0.25">
      <c r="C392" s="10"/>
      <c r="D392" s="14" t="s">
        <v>5415</v>
      </c>
      <c r="E392" s="4">
        <v>2</v>
      </c>
      <c r="F392" s="5"/>
      <c r="G392" s="7">
        <f t="shared" si="21"/>
        <v>2</v>
      </c>
      <c r="H392" s="6" t="str">
        <f t="shared" si="20"/>
        <v/>
      </c>
      <c r="I392" s="4"/>
      <c r="J392" s="19"/>
      <c r="K392" s="19"/>
      <c r="L392" s="17"/>
      <c r="M392" s="18"/>
    </row>
    <row r="393" spans="3:13" x14ac:dyDescent="0.25">
      <c r="C393" s="10"/>
      <c r="D393" s="14" t="s">
        <v>5416</v>
      </c>
      <c r="E393" s="4">
        <v>0</v>
      </c>
      <c r="F393" s="5"/>
      <c r="G393" s="7">
        <f t="shared" si="21"/>
        <v>0</v>
      </c>
      <c r="H393" s="6" t="str">
        <f t="shared" si="20"/>
        <v/>
      </c>
      <c r="I393" s="4"/>
      <c r="J393" s="19"/>
      <c r="K393" s="19"/>
      <c r="L393" s="17"/>
      <c r="M393" s="18"/>
    </row>
    <row r="394" spans="3:13" x14ac:dyDescent="0.25">
      <c r="C394" s="10"/>
      <c r="D394" s="14" t="s">
        <v>5417</v>
      </c>
      <c r="E394" s="4">
        <v>0</v>
      </c>
      <c r="F394" s="5"/>
      <c r="G394" s="7">
        <f t="shared" si="21"/>
        <v>0</v>
      </c>
      <c r="H394" s="6" t="str">
        <f t="shared" si="20"/>
        <v/>
      </c>
      <c r="I394" s="4"/>
      <c r="J394" s="19"/>
      <c r="K394" s="19"/>
      <c r="L394" s="17"/>
      <c r="M394" s="18"/>
    </row>
    <row r="395" spans="3:13" x14ac:dyDescent="0.25">
      <c r="C395" s="10"/>
      <c r="D395" s="14"/>
      <c r="E395" s="4"/>
      <c r="F395" s="5"/>
      <c r="G395" s="7">
        <f t="shared" si="21"/>
        <v>0</v>
      </c>
      <c r="H395" s="6" t="str">
        <f t="shared" si="20"/>
        <v/>
      </c>
      <c r="I395" s="4"/>
      <c r="J395" s="15"/>
      <c r="K395" s="17"/>
      <c r="L395" s="17"/>
      <c r="M395" s="18"/>
    </row>
    <row r="396" spans="3:13" x14ac:dyDescent="0.25">
      <c r="C396" s="10"/>
      <c r="D396" s="14"/>
      <c r="E396" s="4"/>
      <c r="F396" s="5"/>
      <c r="G396" s="7">
        <f t="shared" si="21"/>
        <v>0</v>
      </c>
      <c r="H396" s="6" t="str">
        <f t="shared" si="20"/>
        <v/>
      </c>
      <c r="I396" s="4"/>
      <c r="J396" s="15"/>
      <c r="K396" s="17"/>
      <c r="L396" s="17"/>
      <c r="M396" s="18"/>
    </row>
    <row r="397" spans="3:13" x14ac:dyDescent="0.25">
      <c r="C397" s="10"/>
      <c r="D397" s="14"/>
      <c r="E397" s="4"/>
      <c r="F397" s="5"/>
      <c r="G397" s="7">
        <f t="shared" si="21"/>
        <v>0</v>
      </c>
      <c r="H397" s="6" t="str">
        <f t="shared" si="20"/>
        <v/>
      </c>
      <c r="I397" s="4"/>
      <c r="J397" s="15"/>
      <c r="K397" s="17"/>
      <c r="L397" s="17"/>
      <c r="M397" s="18"/>
    </row>
    <row r="398" spans="3:13" x14ac:dyDescent="0.25">
      <c r="C398" s="10"/>
      <c r="D398" s="14"/>
      <c r="E398" s="4"/>
      <c r="F398" s="5"/>
      <c r="G398" s="7">
        <f t="shared" si="21"/>
        <v>0</v>
      </c>
      <c r="H398" s="6" t="str">
        <f t="shared" si="20"/>
        <v/>
      </c>
      <c r="I398" s="4"/>
      <c r="J398" s="15"/>
      <c r="K398" s="17"/>
      <c r="L398" s="17"/>
      <c r="M398" s="18"/>
    </row>
    <row r="399" spans="3:13" x14ac:dyDescent="0.25">
      <c r="C399" s="10"/>
      <c r="D399" s="14"/>
      <c r="E399" s="4"/>
      <c r="F399" s="5"/>
      <c r="G399" s="7">
        <f t="shared" si="21"/>
        <v>0</v>
      </c>
      <c r="H399" s="6" t="str">
        <f t="shared" si="20"/>
        <v/>
      </c>
      <c r="I399" s="4"/>
      <c r="J399" s="15"/>
      <c r="K399" s="17"/>
      <c r="L399" s="17"/>
      <c r="M399" s="18"/>
    </row>
    <row r="400" spans="3:13" x14ac:dyDescent="0.25">
      <c r="C400" s="10"/>
      <c r="D400" s="14"/>
      <c r="E400" s="4"/>
      <c r="F400" s="5"/>
      <c r="G400" s="7">
        <f t="shared" si="21"/>
        <v>0</v>
      </c>
      <c r="H400" s="6" t="str">
        <f t="shared" si="20"/>
        <v/>
      </c>
      <c r="I400" s="4"/>
      <c r="J400" s="15"/>
      <c r="K400" s="17"/>
      <c r="L400" s="17"/>
      <c r="M400" s="18"/>
    </row>
    <row r="401" spans="3:13" x14ac:dyDescent="0.25">
      <c r="C401" s="10"/>
      <c r="D401" s="14"/>
      <c r="E401" s="4"/>
      <c r="F401" s="5"/>
      <c r="G401" s="7">
        <f t="shared" si="21"/>
        <v>0</v>
      </c>
      <c r="H401" s="6" t="str">
        <f t="shared" si="20"/>
        <v/>
      </c>
      <c r="I401" s="4"/>
      <c r="J401" s="15"/>
      <c r="K401" s="17"/>
      <c r="L401" s="17"/>
      <c r="M401" s="18"/>
    </row>
    <row r="402" spans="3:13" x14ac:dyDescent="0.25">
      <c r="C402" s="10"/>
      <c r="D402" s="14"/>
      <c r="E402" s="4"/>
      <c r="F402" s="5"/>
      <c r="G402" s="7">
        <f t="shared" si="21"/>
        <v>0</v>
      </c>
      <c r="H402" s="6" t="str">
        <f t="shared" si="20"/>
        <v/>
      </c>
      <c r="I402" s="4"/>
      <c r="J402" s="15"/>
      <c r="K402" s="17"/>
      <c r="L402" s="17"/>
      <c r="M402" s="18"/>
    </row>
    <row r="403" spans="3:13" x14ac:dyDescent="0.25">
      <c r="C403" s="10"/>
      <c r="D403" s="14"/>
      <c r="E403" s="4"/>
      <c r="F403" s="5"/>
      <c r="G403" s="7">
        <f t="shared" si="21"/>
        <v>0</v>
      </c>
      <c r="H403" s="6" t="str">
        <f t="shared" si="20"/>
        <v/>
      </c>
      <c r="I403" s="4"/>
      <c r="J403" s="15"/>
      <c r="K403" s="17"/>
      <c r="L403" s="17"/>
      <c r="M403" s="18"/>
    </row>
    <row r="404" spans="3:13" x14ac:dyDescent="0.25">
      <c r="C404" s="10"/>
      <c r="D404" s="14"/>
      <c r="E404" s="4"/>
      <c r="F404" s="5"/>
      <c r="G404" s="7">
        <f t="shared" si="21"/>
        <v>0</v>
      </c>
      <c r="H404" s="6" t="str">
        <f t="shared" si="20"/>
        <v/>
      </c>
      <c r="I404" s="4"/>
      <c r="J404" s="15"/>
      <c r="K404" s="17"/>
      <c r="L404" s="17"/>
      <c r="M404" s="18"/>
    </row>
    <row r="405" spans="3:13" x14ac:dyDescent="0.25">
      <c r="C405" s="10"/>
      <c r="D405" s="14"/>
      <c r="E405" s="4"/>
      <c r="F405" s="5"/>
      <c r="G405" s="7">
        <f t="shared" si="21"/>
        <v>0</v>
      </c>
      <c r="H405" s="6" t="str">
        <f t="shared" si="20"/>
        <v/>
      </c>
      <c r="I405" s="4"/>
      <c r="J405" s="15"/>
      <c r="K405" s="17"/>
      <c r="L405" s="17"/>
      <c r="M405" s="18"/>
    </row>
    <row r="406" spans="3:13" x14ac:dyDescent="0.25">
      <c r="C406" s="10"/>
      <c r="D406" s="14"/>
      <c r="E406" s="4"/>
      <c r="F406" s="5"/>
      <c r="G406" s="7">
        <f t="shared" si="21"/>
        <v>0</v>
      </c>
      <c r="H406" s="6" t="str">
        <f t="shared" si="20"/>
        <v/>
      </c>
      <c r="I406" s="4"/>
      <c r="J406" s="15"/>
      <c r="K406" s="17"/>
      <c r="L406" s="17"/>
      <c r="M406" s="18"/>
    </row>
    <row r="407" spans="3:13" x14ac:dyDescent="0.25">
      <c r="C407" s="10"/>
      <c r="D407" s="14"/>
      <c r="E407" s="4"/>
      <c r="F407" s="5"/>
      <c r="G407" s="7">
        <f t="shared" si="21"/>
        <v>0</v>
      </c>
      <c r="H407" s="6" t="str">
        <f t="shared" si="20"/>
        <v/>
      </c>
      <c r="I407" s="4"/>
      <c r="J407" s="15"/>
      <c r="K407" s="17"/>
      <c r="L407" s="17"/>
      <c r="M407" s="18"/>
    </row>
    <row r="408" spans="3:13" x14ac:dyDescent="0.25">
      <c r="C408" s="10"/>
      <c r="D408" s="14"/>
      <c r="E408" s="4"/>
      <c r="F408" s="5"/>
      <c r="G408" s="7">
        <f t="shared" si="21"/>
        <v>0</v>
      </c>
      <c r="H408" s="6" t="str">
        <f t="shared" si="20"/>
        <v/>
      </c>
      <c r="I408" s="4"/>
      <c r="J408" s="15"/>
      <c r="K408" s="17"/>
      <c r="L408" s="17"/>
      <c r="M408" s="18"/>
    </row>
    <row r="409" spans="3:13" x14ac:dyDescent="0.25">
      <c r="C409" s="10"/>
      <c r="D409" s="14"/>
      <c r="E409" s="4"/>
      <c r="F409" s="5"/>
      <c r="G409" s="7">
        <f t="shared" si="21"/>
        <v>0</v>
      </c>
      <c r="H409" s="6" t="str">
        <f t="shared" si="20"/>
        <v/>
      </c>
      <c r="I409" s="4"/>
      <c r="J409" s="15"/>
      <c r="K409" s="17"/>
      <c r="L409" s="17"/>
      <c r="M409" s="18"/>
    </row>
    <row r="410" spans="3:13" x14ac:dyDescent="0.25">
      <c r="C410" s="10"/>
      <c r="D410" s="14"/>
      <c r="E410" s="4"/>
      <c r="F410" s="5"/>
      <c r="G410" s="7">
        <f t="shared" si="21"/>
        <v>0</v>
      </c>
      <c r="H410" s="6" t="str">
        <f t="shared" si="20"/>
        <v/>
      </c>
      <c r="I410" s="4"/>
      <c r="J410" s="15"/>
      <c r="K410" s="17"/>
      <c r="L410" s="17"/>
      <c r="M410" s="18"/>
    </row>
    <row r="411" spans="3:13" x14ac:dyDescent="0.25">
      <c r="C411" s="10"/>
      <c r="D411" s="14"/>
      <c r="E411" s="4"/>
      <c r="F411" s="5"/>
      <c r="G411" s="7">
        <f t="shared" si="21"/>
        <v>0</v>
      </c>
      <c r="H411" s="6" t="str">
        <f t="shared" si="20"/>
        <v/>
      </c>
      <c r="I411" s="4"/>
      <c r="J411" s="15"/>
      <c r="K411" s="17"/>
      <c r="L411" s="17"/>
      <c r="M411" s="18"/>
    </row>
    <row r="412" spans="3:13" x14ac:dyDescent="0.25">
      <c r="C412" s="10"/>
      <c r="D412" s="14"/>
      <c r="E412" s="4"/>
      <c r="F412" s="5"/>
      <c r="G412" s="7">
        <f t="shared" si="21"/>
        <v>0</v>
      </c>
      <c r="H412" s="6" t="str">
        <f t="shared" ref="H412:H475" si="22">IF(F412&lt;&gt;0,(E412-F412)/F412,"")</f>
        <v/>
      </c>
      <c r="I412" s="4"/>
      <c r="J412" s="15"/>
      <c r="K412" s="17"/>
      <c r="L412" s="17"/>
      <c r="M412" s="18"/>
    </row>
    <row r="413" spans="3:13" x14ac:dyDescent="0.25">
      <c r="C413" s="10"/>
      <c r="D413" s="14"/>
      <c r="E413" s="4"/>
      <c r="F413" s="5"/>
      <c r="G413" s="7">
        <f t="shared" si="21"/>
        <v>0</v>
      </c>
      <c r="H413" s="6" t="str">
        <f t="shared" si="22"/>
        <v/>
      </c>
      <c r="I413" s="4"/>
      <c r="J413" s="15"/>
      <c r="K413" s="17"/>
      <c r="L413" s="17"/>
      <c r="M413" s="18"/>
    </row>
    <row r="414" spans="3:13" x14ac:dyDescent="0.25">
      <c r="C414" s="10"/>
      <c r="D414" s="14"/>
      <c r="E414" s="4"/>
      <c r="F414" s="5"/>
      <c r="G414" s="7">
        <f t="shared" ref="G414:G477" si="23">(E414-F414)</f>
        <v>0</v>
      </c>
      <c r="H414" s="6" t="str">
        <f t="shared" si="22"/>
        <v/>
      </c>
      <c r="I414" s="4"/>
      <c r="J414" s="15"/>
      <c r="K414" s="17"/>
      <c r="L414" s="17"/>
      <c r="M414" s="18"/>
    </row>
    <row r="415" spans="3:13" x14ac:dyDescent="0.25">
      <c r="C415" s="10"/>
      <c r="D415" s="14"/>
      <c r="E415" s="4"/>
      <c r="F415" s="5"/>
      <c r="G415" s="7">
        <f t="shared" si="23"/>
        <v>0</v>
      </c>
      <c r="H415" s="6" t="str">
        <f t="shared" si="22"/>
        <v/>
      </c>
      <c r="I415" s="4"/>
      <c r="J415" s="15"/>
      <c r="K415" s="17"/>
      <c r="L415" s="17"/>
      <c r="M415" s="18"/>
    </row>
    <row r="416" spans="3:13" x14ac:dyDescent="0.25">
      <c r="C416" s="10"/>
      <c r="D416" s="14"/>
      <c r="E416" s="4"/>
      <c r="F416" s="5"/>
      <c r="G416" s="7">
        <f t="shared" si="23"/>
        <v>0</v>
      </c>
      <c r="H416" s="6" t="str">
        <f t="shared" si="22"/>
        <v/>
      </c>
      <c r="I416" s="4"/>
      <c r="J416" s="15"/>
      <c r="K416" s="17"/>
      <c r="L416" s="17"/>
      <c r="M416" s="18"/>
    </row>
    <row r="417" spans="3:13" x14ac:dyDescent="0.25">
      <c r="C417" s="10"/>
      <c r="D417" s="14"/>
      <c r="E417" s="4"/>
      <c r="F417" s="5"/>
      <c r="G417" s="7">
        <f t="shared" si="23"/>
        <v>0</v>
      </c>
      <c r="H417" s="6" t="str">
        <f t="shared" si="22"/>
        <v/>
      </c>
      <c r="I417" s="4"/>
      <c r="J417" s="15"/>
      <c r="K417" s="17"/>
      <c r="L417" s="17"/>
      <c r="M417" s="18"/>
    </row>
    <row r="418" spans="3:13" x14ac:dyDescent="0.25">
      <c r="C418" s="10"/>
      <c r="D418" s="14"/>
      <c r="E418" s="4"/>
      <c r="F418" s="5"/>
      <c r="G418" s="7">
        <f t="shared" si="23"/>
        <v>0</v>
      </c>
      <c r="H418" s="6" t="str">
        <f t="shared" si="22"/>
        <v/>
      </c>
      <c r="I418" s="4"/>
      <c r="J418" s="15"/>
      <c r="K418" s="17"/>
      <c r="L418" s="17"/>
      <c r="M418" s="18"/>
    </row>
    <row r="419" spans="3:13" x14ac:dyDescent="0.25">
      <c r="C419" s="10"/>
      <c r="D419" s="14"/>
      <c r="E419" s="4"/>
      <c r="F419" s="5"/>
      <c r="G419" s="7">
        <f t="shared" si="23"/>
        <v>0</v>
      </c>
      <c r="H419" s="6" t="str">
        <f t="shared" si="22"/>
        <v/>
      </c>
      <c r="I419" s="4"/>
      <c r="J419" s="15"/>
      <c r="K419" s="17"/>
      <c r="L419" s="17"/>
      <c r="M419" s="18"/>
    </row>
    <row r="420" spans="3:13" x14ac:dyDescent="0.25">
      <c r="C420" s="10"/>
      <c r="D420" s="14"/>
      <c r="E420" s="4"/>
      <c r="F420" s="5"/>
      <c r="G420" s="7">
        <f t="shared" si="23"/>
        <v>0</v>
      </c>
      <c r="H420" s="6" t="str">
        <f t="shared" si="22"/>
        <v/>
      </c>
      <c r="I420" s="4"/>
      <c r="J420" s="15"/>
      <c r="K420" s="17"/>
      <c r="L420" s="17"/>
      <c r="M420" s="18"/>
    </row>
    <row r="421" spans="3:13" x14ac:dyDescent="0.25">
      <c r="C421" s="10"/>
      <c r="D421" s="14"/>
      <c r="E421" s="4"/>
      <c r="F421" s="5"/>
      <c r="G421" s="7">
        <f t="shared" si="23"/>
        <v>0</v>
      </c>
      <c r="H421" s="6" t="str">
        <f t="shared" si="22"/>
        <v/>
      </c>
      <c r="I421" s="4"/>
      <c r="J421" s="15"/>
      <c r="K421" s="17"/>
      <c r="L421" s="17"/>
      <c r="M421" s="18"/>
    </row>
    <row r="422" spans="3:13" x14ac:dyDescent="0.25">
      <c r="C422" s="10"/>
      <c r="D422" s="14"/>
      <c r="E422" s="4"/>
      <c r="F422" s="5"/>
      <c r="G422" s="7">
        <f t="shared" si="23"/>
        <v>0</v>
      </c>
      <c r="H422" s="6" t="str">
        <f t="shared" si="22"/>
        <v/>
      </c>
      <c r="I422" s="4"/>
      <c r="J422" s="15"/>
      <c r="K422" s="17"/>
      <c r="L422" s="17"/>
      <c r="M422" s="18"/>
    </row>
    <row r="423" spans="3:13" x14ac:dyDescent="0.25">
      <c r="C423" s="10"/>
      <c r="D423" s="14"/>
      <c r="E423" s="4"/>
      <c r="F423" s="5"/>
      <c r="G423" s="7">
        <f t="shared" si="23"/>
        <v>0</v>
      </c>
      <c r="H423" s="6" t="str">
        <f t="shared" si="22"/>
        <v/>
      </c>
      <c r="I423" s="4"/>
      <c r="J423" s="15"/>
      <c r="K423" s="17"/>
      <c r="L423" s="17"/>
      <c r="M423" s="18"/>
    </row>
    <row r="424" spans="3:13" x14ac:dyDescent="0.25">
      <c r="C424" s="10"/>
      <c r="D424" s="14"/>
      <c r="E424" s="4"/>
      <c r="F424" s="5"/>
      <c r="G424" s="7">
        <f t="shared" si="23"/>
        <v>0</v>
      </c>
      <c r="H424" s="6" t="str">
        <f t="shared" si="22"/>
        <v/>
      </c>
      <c r="I424" s="4"/>
      <c r="J424" s="15"/>
      <c r="K424" s="17"/>
      <c r="L424" s="17"/>
      <c r="M424" s="18"/>
    </row>
    <row r="425" spans="3:13" x14ac:dyDescent="0.25">
      <c r="C425" s="10"/>
      <c r="D425" s="14"/>
      <c r="E425" s="4"/>
      <c r="F425" s="5"/>
      <c r="G425" s="7">
        <f t="shared" si="23"/>
        <v>0</v>
      </c>
      <c r="H425" s="6" t="str">
        <f t="shared" si="22"/>
        <v/>
      </c>
      <c r="I425" s="4"/>
      <c r="J425" s="15"/>
      <c r="K425" s="17"/>
      <c r="L425" s="17"/>
      <c r="M425" s="18"/>
    </row>
    <row r="426" spans="3:13" x14ac:dyDescent="0.25">
      <c r="C426" s="10"/>
      <c r="D426" s="14"/>
      <c r="E426" s="4"/>
      <c r="F426" s="5"/>
      <c r="G426" s="7">
        <f t="shared" si="23"/>
        <v>0</v>
      </c>
      <c r="H426" s="6" t="str">
        <f t="shared" si="22"/>
        <v/>
      </c>
      <c r="I426" s="4"/>
      <c r="J426" s="15"/>
      <c r="K426" s="17"/>
      <c r="L426" s="17"/>
      <c r="M426" s="18"/>
    </row>
    <row r="427" spans="3:13" x14ac:dyDescent="0.25">
      <c r="C427" s="10"/>
      <c r="D427" s="14"/>
      <c r="E427" s="4"/>
      <c r="F427" s="5"/>
      <c r="G427" s="7">
        <f t="shared" si="23"/>
        <v>0</v>
      </c>
      <c r="H427" s="6" t="str">
        <f t="shared" si="22"/>
        <v/>
      </c>
      <c r="I427" s="4"/>
      <c r="J427" s="15"/>
      <c r="K427" s="17"/>
      <c r="L427" s="17"/>
      <c r="M427" s="18"/>
    </row>
    <row r="428" spans="3:13" x14ac:dyDescent="0.25">
      <c r="C428" s="10"/>
      <c r="D428" s="14"/>
      <c r="E428" s="4"/>
      <c r="F428" s="5"/>
      <c r="G428" s="7">
        <f t="shared" si="23"/>
        <v>0</v>
      </c>
      <c r="H428" s="6" t="str">
        <f t="shared" si="22"/>
        <v/>
      </c>
      <c r="I428" s="4"/>
      <c r="J428" s="15"/>
      <c r="K428" s="17"/>
      <c r="L428" s="17"/>
      <c r="M428" s="18"/>
    </row>
    <row r="429" spans="3:13" x14ac:dyDescent="0.25">
      <c r="C429" s="10"/>
      <c r="D429" s="14"/>
      <c r="E429" s="4"/>
      <c r="F429" s="5"/>
      <c r="G429" s="7">
        <f t="shared" si="23"/>
        <v>0</v>
      </c>
      <c r="H429" s="6" t="str">
        <f t="shared" si="22"/>
        <v/>
      </c>
      <c r="I429" s="4"/>
      <c r="J429" s="15"/>
      <c r="K429" s="17"/>
      <c r="L429" s="17"/>
      <c r="M429" s="18"/>
    </row>
    <row r="430" spans="3:13" x14ac:dyDescent="0.25">
      <c r="C430" s="10"/>
      <c r="D430" s="14"/>
      <c r="E430" s="4"/>
      <c r="F430" s="5"/>
      <c r="G430" s="7">
        <f t="shared" si="23"/>
        <v>0</v>
      </c>
      <c r="H430" s="6" t="str">
        <f t="shared" si="22"/>
        <v/>
      </c>
      <c r="I430" s="4"/>
      <c r="J430" s="15"/>
      <c r="K430" s="17"/>
      <c r="L430" s="17"/>
      <c r="M430" s="18"/>
    </row>
    <row r="431" spans="3:13" x14ac:dyDescent="0.25">
      <c r="C431" s="10"/>
      <c r="D431" s="14"/>
      <c r="E431" s="4"/>
      <c r="F431" s="5"/>
      <c r="G431" s="7">
        <f t="shared" si="23"/>
        <v>0</v>
      </c>
      <c r="H431" s="6" t="str">
        <f t="shared" si="22"/>
        <v/>
      </c>
      <c r="I431" s="4"/>
      <c r="J431" s="15"/>
      <c r="K431" s="17"/>
      <c r="L431" s="17"/>
      <c r="M431" s="18"/>
    </row>
    <row r="432" spans="3:13" x14ac:dyDescent="0.25">
      <c r="C432" s="10"/>
      <c r="D432" s="14"/>
      <c r="E432" s="4"/>
      <c r="F432" s="5"/>
      <c r="G432" s="7">
        <f t="shared" si="23"/>
        <v>0</v>
      </c>
      <c r="H432" s="6" t="str">
        <f t="shared" si="22"/>
        <v/>
      </c>
      <c r="I432" s="4"/>
      <c r="J432" s="15"/>
      <c r="K432" s="17"/>
      <c r="L432" s="17"/>
      <c r="M432" s="18"/>
    </row>
    <row r="433" spans="3:13" x14ac:dyDescent="0.25">
      <c r="C433" s="10"/>
      <c r="D433" s="14"/>
      <c r="E433" s="4"/>
      <c r="F433" s="5"/>
      <c r="G433" s="7">
        <f t="shared" si="23"/>
        <v>0</v>
      </c>
      <c r="H433" s="6" t="str">
        <f t="shared" si="22"/>
        <v/>
      </c>
      <c r="I433" s="4"/>
      <c r="J433" s="15"/>
      <c r="K433" s="17"/>
      <c r="L433" s="17"/>
      <c r="M433" s="18"/>
    </row>
    <row r="434" spans="3:13" x14ac:dyDescent="0.25">
      <c r="C434" s="10"/>
      <c r="D434" s="14"/>
      <c r="E434" s="4"/>
      <c r="F434" s="5"/>
      <c r="G434" s="7">
        <f t="shared" si="23"/>
        <v>0</v>
      </c>
      <c r="H434" s="6" t="str">
        <f t="shared" si="22"/>
        <v/>
      </c>
      <c r="I434" s="4"/>
      <c r="J434" s="15"/>
      <c r="K434" s="17"/>
      <c r="L434" s="17"/>
      <c r="M434" s="18"/>
    </row>
    <row r="435" spans="3:13" x14ac:dyDescent="0.25">
      <c r="C435" s="10"/>
      <c r="D435" s="14"/>
      <c r="E435" s="4"/>
      <c r="F435" s="5"/>
      <c r="G435" s="7">
        <f t="shared" si="23"/>
        <v>0</v>
      </c>
      <c r="H435" s="6" t="str">
        <f t="shared" si="22"/>
        <v/>
      </c>
      <c r="I435" s="4"/>
      <c r="J435" s="15"/>
      <c r="K435" s="17"/>
      <c r="L435" s="17"/>
      <c r="M435" s="18"/>
    </row>
    <row r="436" spans="3:13" x14ac:dyDescent="0.25">
      <c r="C436" s="10"/>
      <c r="D436" s="14"/>
      <c r="E436" s="4"/>
      <c r="F436" s="5"/>
      <c r="G436" s="7">
        <f t="shared" si="23"/>
        <v>0</v>
      </c>
      <c r="H436" s="6" t="str">
        <f t="shared" si="22"/>
        <v/>
      </c>
      <c r="I436" s="4"/>
      <c r="J436" s="15"/>
      <c r="K436" s="17"/>
      <c r="L436" s="17"/>
      <c r="M436" s="18"/>
    </row>
    <row r="437" spans="3:13" x14ac:dyDescent="0.25">
      <c r="C437" s="10"/>
      <c r="D437" s="14"/>
      <c r="E437" s="4"/>
      <c r="F437" s="5"/>
      <c r="G437" s="7">
        <f t="shared" si="23"/>
        <v>0</v>
      </c>
      <c r="H437" s="6" t="str">
        <f t="shared" si="22"/>
        <v/>
      </c>
      <c r="I437" s="4"/>
      <c r="J437" s="15"/>
      <c r="K437" s="17"/>
      <c r="L437" s="17"/>
      <c r="M437" s="18"/>
    </row>
    <row r="438" spans="3:13" x14ac:dyDescent="0.25">
      <c r="C438" s="10"/>
      <c r="D438" s="14"/>
      <c r="E438" s="4"/>
      <c r="F438" s="5"/>
      <c r="G438" s="7">
        <f t="shared" si="23"/>
        <v>0</v>
      </c>
      <c r="H438" s="6" t="str">
        <f t="shared" si="22"/>
        <v/>
      </c>
      <c r="I438" s="4"/>
      <c r="J438" s="15"/>
      <c r="K438" s="17"/>
      <c r="L438" s="17"/>
      <c r="M438" s="18"/>
    </row>
    <row r="439" spans="3:13" x14ac:dyDescent="0.25">
      <c r="C439" s="10"/>
      <c r="D439" s="14"/>
      <c r="E439" s="4"/>
      <c r="F439" s="5"/>
      <c r="G439" s="7">
        <f t="shared" si="23"/>
        <v>0</v>
      </c>
      <c r="H439" s="6" t="str">
        <f t="shared" si="22"/>
        <v/>
      </c>
      <c r="I439" s="4"/>
      <c r="J439" s="15"/>
      <c r="K439" s="17"/>
      <c r="L439" s="17"/>
      <c r="M439" s="18"/>
    </row>
    <row r="440" spans="3:13" x14ac:dyDescent="0.25">
      <c r="C440" s="10"/>
      <c r="D440" s="14"/>
      <c r="E440" s="4"/>
      <c r="F440" s="5"/>
      <c r="G440" s="7">
        <f t="shared" si="23"/>
        <v>0</v>
      </c>
      <c r="H440" s="6" t="str">
        <f t="shared" si="22"/>
        <v/>
      </c>
      <c r="I440" s="4"/>
      <c r="J440" s="15"/>
      <c r="K440" s="17"/>
      <c r="L440" s="17"/>
      <c r="M440" s="18"/>
    </row>
    <row r="441" spans="3:13" x14ac:dyDescent="0.25">
      <c r="C441" s="10"/>
      <c r="D441" s="14"/>
      <c r="E441" s="4"/>
      <c r="F441" s="5"/>
      <c r="G441" s="7">
        <f t="shared" si="23"/>
        <v>0</v>
      </c>
      <c r="H441" s="6" t="str">
        <f t="shared" si="22"/>
        <v/>
      </c>
      <c r="I441" s="4"/>
      <c r="J441" s="15"/>
      <c r="K441" s="17"/>
      <c r="L441" s="17"/>
      <c r="M441" s="18"/>
    </row>
    <row r="442" spans="3:13" x14ac:dyDescent="0.25">
      <c r="C442" s="10"/>
      <c r="D442" s="14"/>
      <c r="E442" s="4"/>
      <c r="F442" s="5"/>
      <c r="G442" s="7">
        <f t="shared" si="23"/>
        <v>0</v>
      </c>
      <c r="H442" s="6" t="str">
        <f t="shared" si="22"/>
        <v/>
      </c>
      <c r="I442" s="4"/>
      <c r="J442" s="15"/>
      <c r="K442" s="17"/>
      <c r="L442" s="17"/>
      <c r="M442" s="18"/>
    </row>
    <row r="443" spans="3:13" x14ac:dyDescent="0.25">
      <c r="C443" s="10"/>
      <c r="D443" s="14"/>
      <c r="E443" s="4"/>
      <c r="F443" s="5"/>
      <c r="G443" s="7">
        <f t="shared" si="23"/>
        <v>0</v>
      </c>
      <c r="H443" s="6" t="str">
        <f t="shared" si="22"/>
        <v/>
      </c>
      <c r="I443" s="4"/>
      <c r="J443" s="15"/>
      <c r="K443" s="17"/>
      <c r="L443" s="17"/>
      <c r="M443" s="18"/>
    </row>
    <row r="444" spans="3:13" x14ac:dyDescent="0.25">
      <c r="C444" s="10"/>
      <c r="D444" s="14"/>
      <c r="E444" s="4"/>
      <c r="F444" s="5"/>
      <c r="G444" s="7">
        <f t="shared" si="23"/>
        <v>0</v>
      </c>
      <c r="H444" s="6" t="str">
        <f t="shared" si="22"/>
        <v/>
      </c>
      <c r="I444" s="4"/>
      <c r="J444" s="15"/>
      <c r="K444" s="17"/>
      <c r="L444" s="17"/>
      <c r="M444" s="18"/>
    </row>
    <row r="445" spans="3:13" x14ac:dyDescent="0.25">
      <c r="C445" s="10"/>
      <c r="D445" s="14"/>
      <c r="E445" s="4"/>
      <c r="F445" s="5"/>
      <c r="G445" s="7">
        <f t="shared" si="23"/>
        <v>0</v>
      </c>
      <c r="H445" s="6" t="str">
        <f t="shared" si="22"/>
        <v/>
      </c>
      <c r="I445" s="4"/>
      <c r="J445" s="15"/>
      <c r="K445" s="17"/>
      <c r="L445" s="17"/>
      <c r="M445" s="18"/>
    </row>
    <row r="446" spans="3:13" x14ac:dyDescent="0.25">
      <c r="C446" s="10"/>
      <c r="D446" s="14"/>
      <c r="E446" s="4"/>
      <c r="F446" s="5"/>
      <c r="G446" s="7">
        <f t="shared" si="23"/>
        <v>0</v>
      </c>
      <c r="H446" s="6" t="str">
        <f t="shared" si="22"/>
        <v/>
      </c>
      <c r="I446" s="4"/>
      <c r="J446" s="15"/>
      <c r="K446" s="17"/>
      <c r="L446" s="17"/>
      <c r="M446" s="18"/>
    </row>
    <row r="447" spans="3:13" x14ac:dyDescent="0.25">
      <c r="C447" s="10"/>
      <c r="D447" s="14"/>
      <c r="E447" s="4"/>
      <c r="F447" s="5"/>
      <c r="G447" s="7">
        <f t="shared" si="23"/>
        <v>0</v>
      </c>
      <c r="H447" s="6" t="str">
        <f t="shared" si="22"/>
        <v/>
      </c>
      <c r="I447" s="4"/>
      <c r="J447" s="15"/>
      <c r="K447" s="17"/>
      <c r="L447" s="17"/>
      <c r="M447" s="18"/>
    </row>
    <row r="448" spans="3:13" x14ac:dyDescent="0.25">
      <c r="C448" s="10"/>
      <c r="D448" s="14"/>
      <c r="E448" s="4"/>
      <c r="F448" s="5"/>
      <c r="G448" s="7">
        <f t="shared" si="23"/>
        <v>0</v>
      </c>
      <c r="H448" s="6" t="str">
        <f t="shared" si="22"/>
        <v/>
      </c>
      <c r="I448" s="4"/>
      <c r="J448" s="15"/>
      <c r="K448" s="17"/>
      <c r="L448" s="17"/>
      <c r="M448" s="18"/>
    </row>
    <row r="449" spans="3:13" x14ac:dyDescent="0.25">
      <c r="C449" s="10"/>
      <c r="D449" s="14"/>
      <c r="E449" s="4"/>
      <c r="F449" s="5"/>
      <c r="G449" s="7">
        <f t="shared" si="23"/>
        <v>0</v>
      </c>
      <c r="H449" s="6" t="str">
        <f t="shared" si="22"/>
        <v/>
      </c>
      <c r="I449" s="4"/>
      <c r="J449" s="15"/>
      <c r="K449" s="17"/>
      <c r="L449" s="17"/>
      <c r="M449" s="18"/>
    </row>
    <row r="450" spans="3:13" x14ac:dyDescent="0.25">
      <c r="C450" s="10"/>
      <c r="D450" s="14"/>
      <c r="E450" s="4"/>
      <c r="F450" s="5"/>
      <c r="G450" s="7">
        <f t="shared" si="23"/>
        <v>0</v>
      </c>
      <c r="H450" s="6" t="str">
        <f t="shared" si="22"/>
        <v/>
      </c>
      <c r="I450" s="4"/>
      <c r="J450" s="15"/>
      <c r="K450" s="17"/>
      <c r="L450" s="17"/>
      <c r="M450" s="18"/>
    </row>
    <row r="451" spans="3:13" x14ac:dyDescent="0.25">
      <c r="C451" s="10"/>
      <c r="D451" s="14"/>
      <c r="E451" s="4"/>
      <c r="F451" s="5"/>
      <c r="G451" s="7">
        <f t="shared" si="23"/>
        <v>0</v>
      </c>
      <c r="H451" s="6" t="str">
        <f t="shared" si="22"/>
        <v/>
      </c>
      <c r="I451" s="4"/>
      <c r="J451" s="15"/>
      <c r="K451" s="17"/>
      <c r="L451" s="17"/>
      <c r="M451" s="18"/>
    </row>
    <row r="452" spans="3:13" x14ac:dyDescent="0.25">
      <c r="C452" s="10"/>
      <c r="D452" s="14"/>
      <c r="E452" s="4"/>
      <c r="F452" s="5"/>
      <c r="G452" s="7">
        <f t="shared" si="23"/>
        <v>0</v>
      </c>
      <c r="H452" s="6" t="str">
        <f t="shared" si="22"/>
        <v/>
      </c>
      <c r="I452" s="4"/>
      <c r="J452" s="15"/>
      <c r="K452" s="17"/>
      <c r="L452" s="17"/>
      <c r="M452" s="18"/>
    </row>
    <row r="453" spans="3:13" x14ac:dyDescent="0.25">
      <c r="C453" s="10"/>
      <c r="D453" s="14"/>
      <c r="E453" s="4"/>
      <c r="F453" s="5"/>
      <c r="G453" s="7">
        <f t="shared" si="23"/>
        <v>0</v>
      </c>
      <c r="H453" s="6" t="str">
        <f t="shared" si="22"/>
        <v/>
      </c>
      <c r="I453" s="4"/>
      <c r="J453" s="15"/>
      <c r="K453" s="17"/>
      <c r="L453" s="17"/>
      <c r="M453" s="18"/>
    </row>
    <row r="454" spans="3:13" x14ac:dyDescent="0.25">
      <c r="C454" s="10"/>
      <c r="D454" s="14"/>
      <c r="E454" s="4"/>
      <c r="F454" s="5"/>
      <c r="G454" s="7">
        <f t="shared" si="23"/>
        <v>0</v>
      </c>
      <c r="H454" s="6" t="str">
        <f t="shared" si="22"/>
        <v/>
      </c>
      <c r="I454" s="4"/>
      <c r="J454" s="15"/>
      <c r="K454" s="17"/>
      <c r="L454" s="17"/>
      <c r="M454" s="18"/>
    </row>
    <row r="455" spans="3:13" x14ac:dyDescent="0.25">
      <c r="C455" s="10"/>
      <c r="D455" s="14"/>
      <c r="E455" s="4"/>
      <c r="F455" s="5"/>
      <c r="G455" s="7">
        <f t="shared" si="23"/>
        <v>0</v>
      </c>
      <c r="H455" s="6" t="str">
        <f t="shared" si="22"/>
        <v/>
      </c>
      <c r="I455" s="4"/>
      <c r="J455" s="15"/>
      <c r="K455" s="17"/>
      <c r="L455" s="17"/>
      <c r="M455" s="18"/>
    </row>
    <row r="456" spans="3:13" x14ac:dyDescent="0.25">
      <c r="C456" s="10"/>
      <c r="D456" s="14"/>
      <c r="E456" s="4"/>
      <c r="F456" s="5"/>
      <c r="G456" s="7">
        <f t="shared" si="23"/>
        <v>0</v>
      </c>
      <c r="H456" s="6" t="str">
        <f t="shared" si="22"/>
        <v/>
      </c>
      <c r="I456" s="4"/>
      <c r="J456" s="15"/>
      <c r="K456" s="17"/>
      <c r="L456" s="17"/>
      <c r="M456" s="18"/>
    </row>
    <row r="457" spans="3:13" x14ac:dyDescent="0.25">
      <c r="C457" s="10"/>
      <c r="D457" s="14"/>
      <c r="E457" s="4"/>
      <c r="F457" s="5"/>
      <c r="G457" s="7">
        <f t="shared" si="23"/>
        <v>0</v>
      </c>
      <c r="H457" s="6" t="str">
        <f t="shared" si="22"/>
        <v/>
      </c>
      <c r="I457" s="4"/>
      <c r="J457" s="15"/>
      <c r="K457" s="17"/>
      <c r="L457" s="17"/>
      <c r="M457" s="18"/>
    </row>
    <row r="458" spans="3:13" x14ac:dyDescent="0.25">
      <c r="C458" s="10"/>
      <c r="D458" s="14"/>
      <c r="E458" s="4"/>
      <c r="F458" s="5"/>
      <c r="G458" s="7">
        <f t="shared" si="23"/>
        <v>0</v>
      </c>
      <c r="H458" s="6" t="str">
        <f t="shared" si="22"/>
        <v/>
      </c>
      <c r="I458" s="4"/>
      <c r="J458" s="15"/>
      <c r="K458" s="17"/>
      <c r="L458" s="17"/>
      <c r="M458" s="18"/>
    </row>
    <row r="459" spans="3:13" x14ac:dyDescent="0.25">
      <c r="C459" s="10"/>
      <c r="D459" s="14"/>
      <c r="E459" s="4"/>
      <c r="F459" s="5"/>
      <c r="G459" s="7">
        <f t="shared" si="23"/>
        <v>0</v>
      </c>
      <c r="H459" s="6" t="str">
        <f t="shared" si="22"/>
        <v/>
      </c>
      <c r="I459" s="4"/>
      <c r="J459" s="15"/>
      <c r="K459" s="17"/>
      <c r="L459" s="17"/>
      <c r="M459" s="18"/>
    </row>
    <row r="460" spans="3:13" x14ac:dyDescent="0.25">
      <c r="C460" s="10"/>
      <c r="D460" s="14"/>
      <c r="E460" s="4"/>
      <c r="F460" s="5"/>
      <c r="G460" s="7">
        <f t="shared" si="23"/>
        <v>0</v>
      </c>
      <c r="H460" s="6" t="str">
        <f t="shared" si="22"/>
        <v/>
      </c>
      <c r="I460" s="4"/>
      <c r="J460" s="15"/>
      <c r="K460" s="17"/>
      <c r="L460" s="17"/>
      <c r="M460" s="18"/>
    </row>
    <row r="461" spans="3:13" x14ac:dyDescent="0.25">
      <c r="C461" s="10"/>
      <c r="D461" s="14"/>
      <c r="E461" s="4"/>
      <c r="F461" s="5"/>
      <c r="G461" s="7">
        <f t="shared" si="23"/>
        <v>0</v>
      </c>
      <c r="H461" s="6" t="str">
        <f t="shared" si="22"/>
        <v/>
      </c>
      <c r="I461" s="4"/>
      <c r="J461" s="15"/>
      <c r="K461" s="17"/>
      <c r="L461" s="17"/>
      <c r="M461" s="18"/>
    </row>
    <row r="462" spans="3:13" x14ac:dyDescent="0.25">
      <c r="C462" s="10"/>
      <c r="D462" s="14"/>
      <c r="E462" s="4"/>
      <c r="F462" s="5"/>
      <c r="G462" s="7">
        <f t="shared" si="23"/>
        <v>0</v>
      </c>
      <c r="H462" s="6" t="str">
        <f t="shared" si="22"/>
        <v/>
      </c>
      <c r="I462" s="4"/>
      <c r="J462" s="15"/>
      <c r="K462" s="17"/>
      <c r="L462" s="17"/>
      <c r="M462" s="18"/>
    </row>
    <row r="463" spans="3:13" x14ac:dyDescent="0.25">
      <c r="C463" s="10"/>
      <c r="D463" s="14"/>
      <c r="E463" s="4"/>
      <c r="F463" s="5"/>
      <c r="G463" s="7">
        <f t="shared" si="23"/>
        <v>0</v>
      </c>
      <c r="H463" s="6" t="str">
        <f t="shared" si="22"/>
        <v/>
      </c>
      <c r="I463" s="4"/>
      <c r="J463" s="15"/>
      <c r="K463" s="17"/>
      <c r="L463" s="17"/>
      <c r="M463" s="18"/>
    </row>
    <row r="464" spans="3:13" x14ac:dyDescent="0.25">
      <c r="C464" s="10"/>
      <c r="D464" s="14"/>
      <c r="E464" s="4"/>
      <c r="F464" s="5"/>
      <c r="G464" s="7">
        <f t="shared" si="23"/>
        <v>0</v>
      </c>
      <c r="H464" s="6" t="str">
        <f t="shared" si="22"/>
        <v/>
      </c>
      <c r="I464" s="4"/>
      <c r="J464" s="15"/>
      <c r="K464" s="17"/>
      <c r="L464" s="17"/>
      <c r="M464" s="18"/>
    </row>
    <row r="465" spans="3:13" x14ac:dyDescent="0.25">
      <c r="C465" s="10"/>
      <c r="D465" s="14"/>
      <c r="E465" s="4"/>
      <c r="F465" s="5"/>
      <c r="G465" s="7">
        <f t="shared" si="23"/>
        <v>0</v>
      </c>
      <c r="H465" s="6" t="str">
        <f t="shared" si="22"/>
        <v/>
      </c>
      <c r="I465" s="4"/>
      <c r="J465" s="15"/>
      <c r="K465" s="17"/>
      <c r="L465" s="17"/>
      <c r="M465" s="18"/>
    </row>
    <row r="466" spans="3:13" x14ac:dyDescent="0.25">
      <c r="C466" s="10"/>
      <c r="D466" s="14"/>
      <c r="E466" s="4"/>
      <c r="F466" s="5"/>
      <c r="G466" s="7">
        <f t="shared" si="23"/>
        <v>0</v>
      </c>
      <c r="H466" s="6" t="str">
        <f t="shared" si="22"/>
        <v/>
      </c>
      <c r="I466" s="4"/>
      <c r="J466" s="15"/>
      <c r="K466" s="17"/>
      <c r="L466" s="17"/>
      <c r="M466" s="18"/>
    </row>
    <row r="467" spans="3:13" x14ac:dyDescent="0.25">
      <c r="C467" s="10"/>
      <c r="D467" s="14"/>
      <c r="E467" s="4"/>
      <c r="F467" s="5"/>
      <c r="G467" s="7">
        <f t="shared" si="23"/>
        <v>0</v>
      </c>
      <c r="H467" s="6" t="str">
        <f t="shared" si="22"/>
        <v/>
      </c>
      <c r="I467" s="4"/>
      <c r="J467" s="15"/>
      <c r="K467" s="17"/>
      <c r="L467" s="17"/>
      <c r="M467" s="18"/>
    </row>
    <row r="468" spans="3:13" x14ac:dyDescent="0.25">
      <c r="C468" s="10"/>
      <c r="D468" s="14"/>
      <c r="E468" s="4"/>
      <c r="F468" s="5"/>
      <c r="G468" s="7">
        <f t="shared" si="23"/>
        <v>0</v>
      </c>
      <c r="H468" s="6" t="str">
        <f t="shared" si="22"/>
        <v/>
      </c>
      <c r="I468" s="4"/>
      <c r="J468" s="15"/>
      <c r="K468" s="17"/>
      <c r="L468" s="17"/>
      <c r="M468" s="18"/>
    </row>
    <row r="469" spans="3:13" x14ac:dyDescent="0.25">
      <c r="C469" s="10"/>
      <c r="D469" s="14"/>
      <c r="E469" s="4"/>
      <c r="F469" s="5"/>
      <c r="G469" s="7">
        <f t="shared" si="23"/>
        <v>0</v>
      </c>
      <c r="H469" s="6" t="str">
        <f t="shared" si="22"/>
        <v/>
      </c>
      <c r="I469" s="4"/>
      <c r="J469" s="15"/>
      <c r="K469" s="17"/>
      <c r="L469" s="17"/>
      <c r="M469" s="18"/>
    </row>
    <row r="470" spans="3:13" x14ac:dyDescent="0.25">
      <c r="C470" s="10"/>
      <c r="D470" s="14"/>
      <c r="E470" s="4"/>
      <c r="F470" s="5"/>
      <c r="G470" s="7">
        <f t="shared" si="23"/>
        <v>0</v>
      </c>
      <c r="H470" s="6" t="str">
        <f t="shared" si="22"/>
        <v/>
      </c>
      <c r="I470" s="4"/>
      <c r="J470" s="15"/>
      <c r="K470" s="17"/>
      <c r="L470" s="17"/>
      <c r="M470" s="18"/>
    </row>
    <row r="471" spans="3:13" x14ac:dyDescent="0.25">
      <c r="C471" s="10"/>
      <c r="D471" s="14"/>
      <c r="E471" s="4"/>
      <c r="F471" s="5"/>
      <c r="G471" s="7">
        <f t="shared" si="23"/>
        <v>0</v>
      </c>
      <c r="H471" s="6" t="str">
        <f t="shared" si="22"/>
        <v/>
      </c>
      <c r="I471" s="4"/>
      <c r="J471" s="15"/>
      <c r="K471" s="17"/>
      <c r="L471" s="17"/>
      <c r="M471" s="18"/>
    </row>
    <row r="472" spans="3:13" x14ac:dyDescent="0.25">
      <c r="C472" s="10"/>
      <c r="D472" s="14"/>
      <c r="E472" s="4"/>
      <c r="F472" s="5"/>
      <c r="G472" s="7">
        <f t="shared" si="23"/>
        <v>0</v>
      </c>
      <c r="H472" s="6" t="str">
        <f t="shared" si="22"/>
        <v/>
      </c>
      <c r="I472" s="4"/>
      <c r="J472" s="15"/>
      <c r="K472" s="17"/>
      <c r="L472" s="17"/>
      <c r="M472" s="18"/>
    </row>
    <row r="473" spans="3:13" x14ac:dyDescent="0.25">
      <c r="C473" s="10"/>
      <c r="D473" s="14"/>
      <c r="E473" s="4"/>
      <c r="F473" s="5"/>
      <c r="G473" s="7">
        <f t="shared" si="23"/>
        <v>0</v>
      </c>
      <c r="H473" s="6" t="str">
        <f t="shared" si="22"/>
        <v/>
      </c>
      <c r="I473" s="4"/>
      <c r="J473" s="15"/>
      <c r="K473" s="17"/>
      <c r="L473" s="17"/>
      <c r="M473" s="18"/>
    </row>
    <row r="474" spans="3:13" x14ac:dyDescent="0.25">
      <c r="C474" s="10"/>
      <c r="D474" s="14"/>
      <c r="E474" s="4"/>
      <c r="F474" s="5"/>
      <c r="G474" s="7">
        <f t="shared" si="23"/>
        <v>0</v>
      </c>
      <c r="H474" s="6" t="str">
        <f t="shared" si="22"/>
        <v/>
      </c>
      <c r="I474" s="4"/>
      <c r="J474" s="15"/>
      <c r="K474" s="17"/>
      <c r="L474" s="17"/>
      <c r="M474" s="18"/>
    </row>
    <row r="475" spans="3:13" x14ac:dyDescent="0.25">
      <c r="C475" s="10"/>
      <c r="D475" s="14"/>
      <c r="E475" s="4"/>
      <c r="F475" s="5"/>
      <c r="G475" s="7">
        <f t="shared" si="23"/>
        <v>0</v>
      </c>
      <c r="H475" s="6" t="str">
        <f t="shared" si="22"/>
        <v/>
      </c>
      <c r="I475" s="4"/>
      <c r="J475" s="15"/>
      <c r="K475" s="17"/>
      <c r="L475" s="17"/>
      <c r="M475" s="18"/>
    </row>
    <row r="476" spans="3:13" x14ac:dyDescent="0.25">
      <c r="C476" s="10"/>
      <c r="D476" s="14"/>
      <c r="E476" s="4"/>
      <c r="F476" s="5"/>
      <c r="G476" s="7">
        <f t="shared" si="23"/>
        <v>0</v>
      </c>
      <c r="H476" s="6" t="str">
        <f t="shared" ref="H476:H490" si="24">IF(F476&lt;&gt;0,(E476-F476)/F476,"")</f>
        <v/>
      </c>
      <c r="I476" s="4"/>
      <c r="J476" s="15"/>
      <c r="K476" s="17"/>
      <c r="L476" s="17"/>
      <c r="M476" s="18"/>
    </row>
    <row r="477" spans="3:13" x14ac:dyDescent="0.25">
      <c r="C477" s="10"/>
      <c r="D477" s="14"/>
      <c r="E477" s="4"/>
      <c r="F477" s="5"/>
      <c r="G477" s="7">
        <f t="shared" si="23"/>
        <v>0</v>
      </c>
      <c r="H477" s="6" t="str">
        <f t="shared" si="24"/>
        <v/>
      </c>
      <c r="I477" s="4"/>
      <c r="J477" s="15"/>
      <c r="K477" s="17"/>
      <c r="L477" s="17"/>
      <c r="M477" s="18"/>
    </row>
    <row r="478" spans="3:13" x14ac:dyDescent="0.25">
      <c r="C478" s="10"/>
      <c r="D478" s="14"/>
      <c r="E478" s="4"/>
      <c r="F478" s="5"/>
      <c r="G478" s="7">
        <f t="shared" ref="G478:G490" si="25">(E478-F478)</f>
        <v>0</v>
      </c>
      <c r="H478" s="6" t="str">
        <f t="shared" si="24"/>
        <v/>
      </c>
      <c r="I478" s="4"/>
      <c r="J478" s="15"/>
      <c r="K478" s="17"/>
      <c r="L478" s="17"/>
      <c r="M478" s="18"/>
    </row>
    <row r="479" spans="3:13" x14ac:dyDescent="0.25">
      <c r="C479" s="10"/>
      <c r="D479" s="14"/>
      <c r="E479" s="4"/>
      <c r="F479" s="5"/>
      <c r="G479" s="7">
        <f t="shared" si="25"/>
        <v>0</v>
      </c>
      <c r="H479" s="6" t="str">
        <f t="shared" si="24"/>
        <v/>
      </c>
      <c r="I479" s="4"/>
      <c r="J479" s="15"/>
      <c r="K479" s="17"/>
      <c r="L479" s="17"/>
      <c r="M479" s="18"/>
    </row>
    <row r="480" spans="3:13" x14ac:dyDescent="0.25">
      <c r="C480" s="10"/>
      <c r="D480" s="14"/>
      <c r="E480" s="4"/>
      <c r="F480" s="5"/>
      <c r="G480" s="7">
        <f t="shared" si="25"/>
        <v>0</v>
      </c>
      <c r="H480" s="6" t="str">
        <f t="shared" si="24"/>
        <v/>
      </c>
      <c r="I480" s="4"/>
      <c r="J480" s="15"/>
      <c r="K480" s="17"/>
      <c r="L480" s="17"/>
      <c r="M480" s="18"/>
    </row>
    <row r="481" spans="3:13" x14ac:dyDescent="0.25">
      <c r="C481" s="10"/>
      <c r="D481" s="14"/>
      <c r="E481" s="4"/>
      <c r="F481" s="5"/>
      <c r="G481" s="7">
        <f t="shared" si="25"/>
        <v>0</v>
      </c>
      <c r="H481" s="6" t="str">
        <f t="shared" si="24"/>
        <v/>
      </c>
      <c r="I481" s="4"/>
      <c r="J481" s="15"/>
      <c r="K481" s="17"/>
      <c r="L481" s="17"/>
      <c r="M481" s="18"/>
    </row>
    <row r="482" spans="3:13" x14ac:dyDescent="0.25">
      <c r="C482" s="10"/>
      <c r="D482" s="14"/>
      <c r="E482" s="4"/>
      <c r="F482" s="5"/>
      <c r="G482" s="7">
        <f t="shared" si="25"/>
        <v>0</v>
      </c>
      <c r="H482" s="6" t="str">
        <f t="shared" si="24"/>
        <v/>
      </c>
      <c r="I482" s="4"/>
      <c r="J482" s="15"/>
      <c r="K482" s="17"/>
      <c r="L482" s="17"/>
      <c r="M482" s="18"/>
    </row>
    <row r="483" spans="3:13" x14ac:dyDescent="0.25">
      <c r="C483" s="10"/>
      <c r="D483" s="14"/>
      <c r="E483" s="4"/>
      <c r="F483" s="5"/>
      <c r="G483" s="7">
        <f t="shared" si="25"/>
        <v>0</v>
      </c>
      <c r="H483" s="6" t="str">
        <f t="shared" si="24"/>
        <v/>
      </c>
      <c r="I483" s="4"/>
      <c r="J483" s="15"/>
      <c r="K483" s="17"/>
      <c r="L483" s="17"/>
      <c r="M483" s="18"/>
    </row>
    <row r="484" spans="3:13" x14ac:dyDescent="0.25">
      <c r="C484" s="10"/>
      <c r="D484" s="14"/>
      <c r="E484" s="4"/>
      <c r="F484" s="5"/>
      <c r="G484" s="7">
        <f t="shared" si="25"/>
        <v>0</v>
      </c>
      <c r="H484" s="6" t="str">
        <f t="shared" si="24"/>
        <v/>
      </c>
      <c r="I484" s="4"/>
      <c r="J484" s="15"/>
      <c r="K484" s="17"/>
      <c r="L484" s="17"/>
      <c r="M484" s="18"/>
    </row>
    <row r="485" spans="3:13" x14ac:dyDescent="0.25">
      <c r="C485" s="10"/>
      <c r="D485" s="14"/>
      <c r="E485" s="4"/>
      <c r="F485" s="5"/>
      <c r="G485" s="7">
        <f t="shared" si="25"/>
        <v>0</v>
      </c>
      <c r="H485" s="6" t="str">
        <f t="shared" si="24"/>
        <v/>
      </c>
      <c r="I485" s="4"/>
      <c r="J485" s="15"/>
      <c r="K485" s="17"/>
      <c r="L485" s="17"/>
      <c r="M485" s="18"/>
    </row>
    <row r="486" spans="3:13" x14ac:dyDescent="0.25">
      <c r="C486" s="10"/>
      <c r="D486" s="14"/>
      <c r="E486" s="4"/>
      <c r="F486" s="5"/>
      <c r="G486" s="7">
        <f t="shared" si="25"/>
        <v>0</v>
      </c>
      <c r="H486" s="6" t="str">
        <f t="shared" si="24"/>
        <v/>
      </c>
      <c r="I486" s="4"/>
      <c r="J486" s="15"/>
      <c r="K486" s="17"/>
      <c r="L486" s="17"/>
      <c r="M486" s="18"/>
    </row>
    <row r="487" spans="3:13" x14ac:dyDescent="0.25">
      <c r="C487" s="10"/>
      <c r="D487" s="14"/>
      <c r="E487" s="4"/>
      <c r="F487" s="5"/>
      <c r="G487" s="7">
        <f t="shared" si="25"/>
        <v>0</v>
      </c>
      <c r="H487" s="6" t="str">
        <f t="shared" si="24"/>
        <v/>
      </c>
      <c r="I487" s="4"/>
      <c r="J487" s="15"/>
      <c r="K487" s="17"/>
      <c r="L487" s="17"/>
      <c r="M487" s="18"/>
    </row>
    <row r="488" spans="3:13" x14ac:dyDescent="0.25">
      <c r="C488" s="10"/>
      <c r="D488" s="14"/>
      <c r="E488" s="4"/>
      <c r="F488" s="5"/>
      <c r="G488" s="7">
        <f t="shared" si="25"/>
        <v>0</v>
      </c>
      <c r="H488" s="6" t="str">
        <f t="shared" si="24"/>
        <v/>
      </c>
      <c r="I488" s="4"/>
      <c r="J488" s="15"/>
      <c r="K488" s="17"/>
      <c r="L488" s="17"/>
      <c r="M488" s="18"/>
    </row>
    <row r="489" spans="3:13" x14ac:dyDescent="0.25">
      <c r="C489" s="10"/>
      <c r="D489" s="14"/>
      <c r="E489" s="4"/>
      <c r="F489" s="5"/>
      <c r="G489" s="7">
        <f t="shared" si="25"/>
        <v>0</v>
      </c>
      <c r="H489" s="6" t="str">
        <f t="shared" si="24"/>
        <v/>
      </c>
      <c r="I489" s="4"/>
      <c r="J489" s="15"/>
      <c r="K489" s="17"/>
      <c r="L489" s="17"/>
      <c r="M489" s="18"/>
    </row>
    <row r="490" spans="3:13" x14ac:dyDescent="0.25">
      <c r="C490" s="10"/>
      <c r="D490" s="14"/>
      <c r="E490" s="4"/>
      <c r="F490" s="5"/>
      <c r="G490" s="7">
        <f t="shared" si="25"/>
        <v>0</v>
      </c>
      <c r="H490" s="6" t="str">
        <f t="shared" si="24"/>
        <v/>
      </c>
      <c r="I490" s="4"/>
      <c r="J490" s="15"/>
      <c r="K490" s="17"/>
      <c r="L490" s="17"/>
      <c r="M490" s="18"/>
    </row>
  </sheetData>
  <autoFilter ref="C5:M490">
    <filterColumn colId="4" showButton="0"/>
    <filterColumn colId="8">
      <filters blank="1">
        <filter val="D8070_Overview_Display_Translated.xaml"/>
        <filter val="D8071_Overview_Display_Translated.xaml"/>
        <filter val="D8207_Overview_Display_Translated.xaml"/>
        <filter val="D8213_Overview_Display_Translated.xaml"/>
        <filter val="D8300_Overview_Display_Translated.xaml"/>
        <filter val="D8301_Overview_Display_Translated.xaml"/>
        <filter val="D8520_Graphic_Display_Translated.xaml"/>
        <filter val="EWSS380_Graphic_Display_Translated.xaml"/>
        <filter val="F___G_Graphic_Display_Translated.xaml"/>
        <filter val="KOH_FINISHING_BACK_END_Graphic_Display_Translated.xaml"/>
        <filter val="MCC380_Graphic_Display_Translated.xaml"/>
        <filter val="P8000_Overview_Display_Translated.xaml"/>
        <filter val="P8001_HS800101_Detail_Display_Translated.xaml"/>
        <filter val="P8001_Overview_Display_Translated.xaml"/>
        <filter val="P8134_Overview_Display_Translated.xaml"/>
        <filter val="P8244_Overview_Display_Translated.xaml"/>
        <filter val="P8307_Graphic_Display_Translated.xaml"/>
        <filter val="P8324_Overview_Display_Translated.xaml"/>
        <filter val="R302_Agitator_Equipment_Module_Graphic_Display_Translated.xaml"/>
        <filter val="R8103_Overview_Display_Translated.xaml"/>
        <filter val="R8103_Recycle_Pump_Graphic_Display_Translated.xaml"/>
        <filter val="R8103_TW_Loop_Graphic_Display_Translated.xaml"/>
        <filter val="R8203_Agitator_Equipment_Module_Graphic_Display_Translated.xaml"/>
        <filter val="R8203_Overview_Display_Translated.xaml"/>
        <filter val="R8203_Recycle_Pump_Graphic_Display_Translated.xaml"/>
        <filter val="R8203_TW_Loop_Graphic_Display_Translated.xaml"/>
        <filter val="R8302_Recycle_Pump_Graphic_Display_Translated.xaml"/>
        <filter val="R8302_TW_Loop_Graphic_Display_Translated.xaml"/>
        <filter val="SUM8960_Graphic_Display_Translated.xaml"/>
        <filter val="SUM8961_Graphic_Display_Translated.xaml"/>
        <filter val="T8212_Overview_Display_Translated.xaml"/>
        <filter val="T8219_Overview_Display_Translated.xaml"/>
        <filter val="T8307_Overview_Display_Translated.xaml"/>
        <filter val="Util380_1_Graphic_Display_Translated.xaml"/>
        <filter val="Util380_3_Graphic_Display_Translated.xaml"/>
        <filter val="V8020_Overview_Display_Translated.xaml"/>
        <filter val="V8030_Overview_Display_Translated.xaml"/>
        <filter val="V8040_Overview_Display_Translated.xaml"/>
        <filter val="V8120_Overview_Display_Translated.xaml"/>
        <filter val="V8225_Overview_Display_Translated.xaml"/>
        <filter val="V8500_Graphic_Display_Translated.xaml"/>
      </filters>
    </filterColumn>
  </autoFilter>
  <dataConsolidate link="1"/>
  <mergeCells count="10">
    <mergeCell ref="L5:L6"/>
    <mergeCell ref="M5:M6"/>
    <mergeCell ref="G5:H5"/>
    <mergeCell ref="D5:D6"/>
    <mergeCell ref="C5:C6"/>
    <mergeCell ref="E5:E6"/>
    <mergeCell ref="F5:F6"/>
    <mergeCell ref="J5:J6"/>
    <mergeCell ref="K5:K6"/>
    <mergeCell ref="I5:I6"/>
  </mergeCells>
  <conditionalFormatting sqref="J5:M5">
    <cfRule type="cellIs" dxfId="12" priority="7" stopIfTrue="1" operator="equal">
      <formula>"NO"</formula>
    </cfRule>
  </conditionalFormatting>
  <conditionalFormatting sqref="H7:H490">
    <cfRule type="cellIs" dxfId="11" priority="2" stopIfTrue="1" operator="equal">
      <formula>0</formula>
    </cfRule>
  </conditionalFormatting>
  <pageMargins left="0.7" right="0.7" top="0.75" bottom="0.75" header="0.3" footer="0.3"/>
  <pageSetup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025" r:id="rId4" name="_ActiveXWrapper1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9525</xdr:rowOff>
              </from>
              <to>
                <xdr:col>0</xdr:col>
                <xdr:colOff>1104900</xdr:colOff>
                <xdr:row>5</xdr:row>
                <xdr:rowOff>123825</xdr:rowOff>
              </to>
            </anchor>
          </controlPr>
        </control>
      </mc:Choice>
      <mc:Fallback>
        <control shapeId="1025" r:id="rId4" name="_ActiveXWrapper1"/>
      </mc:Fallback>
    </mc:AlternateContent>
    <mc:AlternateContent xmlns:mc="http://schemas.openxmlformats.org/markup-compatibility/2006">
      <mc:Choice Requires="x14">
        <control shapeId="1026" r:id="rId6" name="_ActiveXWrapper2">
          <controlPr defaultSize="0" autoLine="0" autoPict="0" r:id="rId7">
            <anchor moveWithCells="1">
              <from>
                <xdr:col>1</xdr:col>
                <xdr:colOff>0</xdr:colOff>
                <xdr:row>4</xdr:row>
                <xdr:rowOff>19050</xdr:rowOff>
              </from>
              <to>
                <xdr:col>1</xdr:col>
                <xdr:colOff>971550</xdr:colOff>
                <xdr:row>5</xdr:row>
                <xdr:rowOff>123825</xdr:rowOff>
              </to>
            </anchor>
          </controlPr>
        </control>
      </mc:Choice>
      <mc:Fallback>
        <control shapeId="1026" r:id="rId6" name="_ActiveXWrapper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1462"/>
  <sheetViews>
    <sheetView workbookViewId="0">
      <pane ySplit="1" topLeftCell="A29" activePane="bottomLeft" state="frozen"/>
      <selection pane="bottomLeft" activeCell="C51" sqref="C51:C52"/>
    </sheetView>
  </sheetViews>
  <sheetFormatPr defaultRowHeight="15" x14ac:dyDescent="0.25"/>
  <cols>
    <col min="1" max="1" width="3.42578125" customWidth="1"/>
    <col min="2" max="2" width="62" customWidth="1"/>
    <col min="3" max="3" width="26.28515625" customWidth="1"/>
    <col min="4" max="4" width="15.7109375" bestFit="1" customWidth="1"/>
  </cols>
  <sheetData>
    <row r="1" spans="2:6" x14ac:dyDescent="0.25">
      <c r="B1" t="s">
        <v>1644</v>
      </c>
      <c r="C1" t="s">
        <v>1639</v>
      </c>
      <c r="D1" t="s">
        <v>1645</v>
      </c>
    </row>
    <row r="2" spans="2:6" x14ac:dyDescent="0.25">
      <c r="B2" s="22" t="s">
        <v>2036</v>
      </c>
      <c r="C2" s="22" t="s">
        <v>2037</v>
      </c>
      <c r="D2" t="str">
        <f>+IF(OR(IFERROR(FIND(".IO",Table2[[#This Row],[Sheet Location]],1)&gt;0,FALSE),B2="DI"),"IO","no")</f>
        <v>no</v>
      </c>
    </row>
    <row r="3" spans="2:6" x14ac:dyDescent="0.25">
      <c r="B3" s="22" t="s">
        <v>2038</v>
      </c>
      <c r="C3" s="22" t="s">
        <v>2039</v>
      </c>
      <c r="D3" t="str">
        <f>+IF(OR(IFERROR(FIND(".IO",Table2[[#This Row],[Sheet Location]],1)&gt;0,FALSE),B3="DI"),"IO","no")</f>
        <v>no</v>
      </c>
    </row>
    <row r="4" spans="2:6" x14ac:dyDescent="0.25">
      <c r="B4" s="22" t="s">
        <v>2040</v>
      </c>
      <c r="C4" s="22" t="s">
        <v>2041</v>
      </c>
      <c r="D4" t="str">
        <f>+IF(OR(IFERROR(FIND(".IO",Table2[[#This Row],[Sheet Location]],1)&gt;0,FALSE),B4="DI"),"IO","no")</f>
        <v>IO</v>
      </c>
      <c r="F4">
        <f>+FIND(".IO",Table2[[#This Row],[Sheet Location]],1)</f>
        <v>17</v>
      </c>
    </row>
    <row r="5" spans="2:6" x14ac:dyDescent="0.25">
      <c r="B5" s="22" t="s">
        <v>2040</v>
      </c>
      <c r="C5" s="22" t="s">
        <v>2042</v>
      </c>
      <c r="D5" t="str">
        <f>+IF(OR(IFERROR(FIND(".IO",Table2[[#This Row],[Sheet Location]],1)&gt;0,FALSE),B5="DI"),"IO","no")</f>
        <v>IO</v>
      </c>
    </row>
    <row r="6" spans="2:6" x14ac:dyDescent="0.25">
      <c r="B6" s="22" t="s">
        <v>2040</v>
      </c>
      <c r="C6" s="22" t="s">
        <v>2043</v>
      </c>
      <c r="D6" t="str">
        <f>+IF(OR(IFERROR(FIND(".IO",Table2[[#This Row],[Sheet Location]],1)&gt;0,FALSE),B6="DI"),"IO","no")</f>
        <v>IO</v>
      </c>
    </row>
    <row r="7" spans="2:6" x14ac:dyDescent="0.25">
      <c r="B7" s="22" t="s">
        <v>2040</v>
      </c>
      <c r="C7" s="22" t="s">
        <v>2044</v>
      </c>
      <c r="D7" t="str">
        <f>+IF(OR(IFERROR(FIND(".IO",Table2[[#This Row],[Sheet Location]],1)&gt;0,FALSE),B7="DI"),"IO","no")</f>
        <v>IO</v>
      </c>
    </row>
    <row r="8" spans="2:6" x14ac:dyDescent="0.25">
      <c r="B8" s="22" t="s">
        <v>2040</v>
      </c>
      <c r="C8" s="22" t="s">
        <v>2045</v>
      </c>
      <c r="D8" t="str">
        <f>+IF(OR(IFERROR(FIND(".IO",Table2[[#This Row],[Sheet Location]],1)&gt;0,FALSE),B8="DI"),"IO","no")</f>
        <v>IO</v>
      </c>
    </row>
    <row r="9" spans="2:6" x14ac:dyDescent="0.25">
      <c r="B9" s="22" t="s">
        <v>2046</v>
      </c>
      <c r="C9" s="22" t="s">
        <v>2047</v>
      </c>
      <c r="D9" t="str">
        <f>+IF(OR(IFERROR(FIND(".IO",Table2[[#This Row],[Sheet Location]],1)&gt;0,FALSE),B9="DI"),"IO","no")</f>
        <v>IO</v>
      </c>
    </row>
    <row r="10" spans="2:6" x14ac:dyDescent="0.25">
      <c r="B10" s="22" t="s">
        <v>2048</v>
      </c>
      <c r="C10" s="22" t="s">
        <v>2049</v>
      </c>
      <c r="D10" t="str">
        <f>+IF(OR(IFERROR(FIND(".IO",Table2[[#This Row],[Sheet Location]],1)&gt;0,FALSE),B10="DI"),"IO","no")</f>
        <v>IO</v>
      </c>
    </row>
    <row r="11" spans="2:6" x14ac:dyDescent="0.25">
      <c r="B11" s="22" t="s">
        <v>2048</v>
      </c>
      <c r="C11" s="22" t="s">
        <v>2050</v>
      </c>
      <c r="D11" t="str">
        <f>+IF(OR(IFERROR(FIND(".IO",Table2[[#This Row],[Sheet Location]],1)&gt;0,FALSE),B11="DI"),"IO","no")</f>
        <v>IO</v>
      </c>
    </row>
    <row r="12" spans="2:6" x14ac:dyDescent="0.25">
      <c r="B12" s="22" t="s">
        <v>2040</v>
      </c>
      <c r="C12" s="22" t="s">
        <v>2051</v>
      </c>
      <c r="D12" t="str">
        <f>+IF(OR(IFERROR(FIND(".IO",Table2[[#This Row],[Sheet Location]],1)&gt;0,FALSE),B12="DI"),"IO","no")</f>
        <v>IO</v>
      </c>
    </row>
    <row r="13" spans="2:6" x14ac:dyDescent="0.25">
      <c r="B13" s="22" t="s">
        <v>2052</v>
      </c>
      <c r="C13" s="22" t="s">
        <v>2053</v>
      </c>
      <c r="D13" t="str">
        <f>+IF(OR(IFERROR(FIND(".IO",Table2[[#This Row],[Sheet Location]],1)&gt;0,FALSE),B13="DI"),"IO","no")</f>
        <v>IO</v>
      </c>
    </row>
    <row r="14" spans="2:6" x14ac:dyDescent="0.25">
      <c r="B14" s="22" t="s">
        <v>2052</v>
      </c>
      <c r="C14" s="22" t="s">
        <v>2054</v>
      </c>
      <c r="D14" t="str">
        <f>+IF(OR(IFERROR(FIND(".IO",Table2[[#This Row],[Sheet Location]],1)&gt;0,FALSE),B14="DI"),"IO","no")</f>
        <v>IO</v>
      </c>
    </row>
    <row r="15" spans="2:6" x14ac:dyDescent="0.25">
      <c r="B15" s="22" t="s">
        <v>2052</v>
      </c>
      <c r="C15" s="22" t="s">
        <v>2055</v>
      </c>
      <c r="D15" t="str">
        <f>+IF(OR(IFERROR(FIND(".IO",Table2[[#This Row],[Sheet Location]],1)&gt;0,FALSE),B15="DI"),"IO","no")</f>
        <v>IO</v>
      </c>
    </row>
    <row r="16" spans="2:6" x14ac:dyDescent="0.25">
      <c r="B16" s="22" t="s">
        <v>2052</v>
      </c>
      <c r="C16" s="22" t="s">
        <v>2056</v>
      </c>
      <c r="D16" t="str">
        <f>+IF(OR(IFERROR(FIND(".IO",Table2[[#This Row],[Sheet Location]],1)&gt;0,FALSE),B16="DI"),"IO","no")</f>
        <v>IO</v>
      </c>
    </row>
    <row r="17" spans="2:4" x14ac:dyDescent="0.25">
      <c r="B17" s="22" t="s">
        <v>2052</v>
      </c>
      <c r="C17" s="22" t="s">
        <v>2057</v>
      </c>
      <c r="D17" t="str">
        <f>+IF(OR(IFERROR(FIND(".IO",Table2[[#This Row],[Sheet Location]],1)&gt;0,FALSE),B17="DI"),"IO","no")</f>
        <v>IO</v>
      </c>
    </row>
    <row r="18" spans="2:4" x14ac:dyDescent="0.25">
      <c r="B18" s="22" t="s">
        <v>2058</v>
      </c>
      <c r="C18" s="22" t="s">
        <v>2059</v>
      </c>
      <c r="D18" t="str">
        <f>+IF(OR(IFERROR(FIND(".IO",Table2[[#This Row],[Sheet Location]],1)&gt;0,FALSE),B18="DI"),"IO","no")</f>
        <v>no</v>
      </c>
    </row>
    <row r="19" spans="2:4" x14ac:dyDescent="0.25">
      <c r="B19" s="22" t="s">
        <v>2060</v>
      </c>
      <c r="C19" s="22" t="s">
        <v>2061</v>
      </c>
      <c r="D19" t="str">
        <f>+IF(OR(IFERROR(FIND(".IO",Table2[[#This Row],[Sheet Location]],1)&gt;0,FALSE),B19="DI"),"IO","no")</f>
        <v>no</v>
      </c>
    </row>
    <row r="20" spans="2:4" x14ac:dyDescent="0.25">
      <c r="B20" s="22" t="s">
        <v>2062</v>
      </c>
      <c r="C20" s="22" t="s">
        <v>2063</v>
      </c>
      <c r="D20" t="str">
        <f>+IF(OR(IFERROR(FIND(".IO",Table2[[#This Row],[Sheet Location]],1)&gt;0,FALSE),B20="DI"),"IO","no")</f>
        <v>no</v>
      </c>
    </row>
    <row r="21" spans="2:4" x14ac:dyDescent="0.25">
      <c r="B21" s="22" t="s">
        <v>2064</v>
      </c>
      <c r="C21" s="22" t="s">
        <v>2065</v>
      </c>
      <c r="D21" t="str">
        <f>+IF(OR(IFERROR(FIND(".IO",Table2[[#This Row],[Sheet Location]],1)&gt;0,FALSE),B21="DI"),"IO","no")</f>
        <v>no</v>
      </c>
    </row>
    <row r="22" spans="2:4" x14ac:dyDescent="0.25">
      <c r="B22" s="22" t="s">
        <v>2048</v>
      </c>
      <c r="C22" s="22" t="s">
        <v>2066</v>
      </c>
      <c r="D22" t="str">
        <f>+IF(OR(IFERROR(FIND(".IO",Table2[[#This Row],[Sheet Location]],1)&gt;0,FALSE),B22="DI"),"IO","no")</f>
        <v>IO</v>
      </c>
    </row>
    <row r="23" spans="2:4" x14ac:dyDescent="0.25">
      <c r="B23" s="22" t="s">
        <v>2048</v>
      </c>
      <c r="C23" s="22" t="s">
        <v>2067</v>
      </c>
      <c r="D23" t="str">
        <f>+IF(OR(IFERROR(FIND(".IO",Table2[[#This Row],[Sheet Location]],1)&gt;0,FALSE),B23="DI"),"IO","no")</f>
        <v>IO</v>
      </c>
    </row>
    <row r="24" spans="2:4" x14ac:dyDescent="0.25">
      <c r="B24" s="22" t="s">
        <v>2048</v>
      </c>
      <c r="C24" s="22" t="s">
        <v>2068</v>
      </c>
      <c r="D24" t="str">
        <f>+IF(OR(IFERROR(FIND(".IO",Table2[[#This Row],[Sheet Location]],1)&gt;0,FALSE),B24="DI"),"IO","no")</f>
        <v>IO</v>
      </c>
    </row>
    <row r="25" spans="2:4" x14ac:dyDescent="0.25">
      <c r="B25" s="22" t="s">
        <v>2048</v>
      </c>
      <c r="C25" s="22" t="s">
        <v>2069</v>
      </c>
      <c r="D25" t="str">
        <f>+IF(OR(IFERROR(FIND(".IO",Table2[[#This Row],[Sheet Location]],1)&gt;0,FALSE),B25="DI"),"IO","no")</f>
        <v>IO</v>
      </c>
    </row>
    <row r="26" spans="2:4" x14ac:dyDescent="0.25">
      <c r="B26" s="22" t="s">
        <v>2040</v>
      </c>
      <c r="C26" s="22" t="s">
        <v>2070</v>
      </c>
      <c r="D26" t="str">
        <f>+IF(OR(IFERROR(FIND(".IO",Table2[[#This Row],[Sheet Location]],1)&gt;0,FALSE),B26="DI"),"IO","no")</f>
        <v>IO</v>
      </c>
    </row>
    <row r="27" spans="2:4" x14ac:dyDescent="0.25">
      <c r="B27" s="22" t="s">
        <v>2040</v>
      </c>
      <c r="C27" s="22" t="s">
        <v>2071</v>
      </c>
      <c r="D27" t="str">
        <f>+IF(OR(IFERROR(FIND(".IO",Table2[[#This Row],[Sheet Location]],1)&gt;0,FALSE),B27="DI"),"IO","no")</f>
        <v>IO</v>
      </c>
    </row>
    <row r="28" spans="2:4" x14ac:dyDescent="0.25">
      <c r="B28" s="22" t="s">
        <v>2072</v>
      </c>
      <c r="C28" s="22" t="s">
        <v>2073</v>
      </c>
      <c r="D28" t="str">
        <f>+IF(OR(IFERROR(FIND(".IO",Table2[[#This Row],[Sheet Location]],1)&gt;0,FALSE),B28="DI"),"IO","no")</f>
        <v>no</v>
      </c>
    </row>
    <row r="29" spans="2:4" x14ac:dyDescent="0.25">
      <c r="B29" s="22" t="s">
        <v>2074</v>
      </c>
      <c r="C29" s="22" t="s">
        <v>2075</v>
      </c>
      <c r="D29" t="str">
        <f>+IF(OR(IFERROR(FIND(".IO",Table2[[#This Row],[Sheet Location]],1)&gt;0,FALSE),B29="DI"),"IO","no")</f>
        <v>no</v>
      </c>
    </row>
    <row r="30" spans="2:4" x14ac:dyDescent="0.25">
      <c r="B30" s="22" t="s">
        <v>2048</v>
      </c>
      <c r="C30" s="22" t="s">
        <v>2076</v>
      </c>
      <c r="D30" t="str">
        <f>+IF(OR(IFERROR(FIND(".IO",Table2[[#This Row],[Sheet Location]],1)&gt;0,FALSE),B30="DI"),"IO","no")</f>
        <v>IO</v>
      </c>
    </row>
    <row r="31" spans="2:4" x14ac:dyDescent="0.25">
      <c r="B31" s="22" t="s">
        <v>2077</v>
      </c>
      <c r="C31" s="22" t="s">
        <v>2078</v>
      </c>
      <c r="D31" t="str">
        <f>+IF(OR(IFERROR(FIND(".IO",Table2[[#This Row],[Sheet Location]],1)&gt;0,FALSE),B31="DI"),"IO","no")</f>
        <v>no</v>
      </c>
    </row>
    <row r="32" spans="2:4" x14ac:dyDescent="0.25">
      <c r="B32" s="22" t="s">
        <v>2077</v>
      </c>
      <c r="C32" s="22" t="s">
        <v>2079</v>
      </c>
      <c r="D32" t="str">
        <f>+IF(OR(IFERROR(FIND(".IO",Table2[[#This Row],[Sheet Location]],1)&gt;0,FALSE),B32="DI"),"IO","no")</f>
        <v>no</v>
      </c>
    </row>
    <row r="33" spans="2:4" x14ac:dyDescent="0.25">
      <c r="B33" s="22" t="s">
        <v>2077</v>
      </c>
      <c r="C33" s="22" t="s">
        <v>2080</v>
      </c>
      <c r="D33" t="str">
        <f>+IF(OR(IFERROR(FIND(".IO",Table2[[#This Row],[Sheet Location]],1)&gt;0,FALSE),B33="DI"),"IO","no")</f>
        <v>no</v>
      </c>
    </row>
    <row r="34" spans="2:4" x14ac:dyDescent="0.25">
      <c r="B34" s="22" t="s">
        <v>2081</v>
      </c>
      <c r="C34" s="22" t="s">
        <v>2082</v>
      </c>
      <c r="D34" t="str">
        <f>+IF(OR(IFERROR(FIND(".IO",Table2[[#This Row],[Sheet Location]],1)&gt;0,FALSE),B34="DI"),"IO","no")</f>
        <v>no</v>
      </c>
    </row>
    <row r="35" spans="2:4" x14ac:dyDescent="0.25">
      <c r="B35" s="22" t="s">
        <v>2081</v>
      </c>
      <c r="C35" s="22" t="s">
        <v>2083</v>
      </c>
      <c r="D35" t="str">
        <f>+IF(OR(IFERROR(FIND(".IO",Table2[[#This Row],[Sheet Location]],1)&gt;0,FALSE),B35="DI"),"IO","no")</f>
        <v>no</v>
      </c>
    </row>
    <row r="36" spans="2:4" x14ac:dyDescent="0.25">
      <c r="B36" s="22" t="s">
        <v>2040</v>
      </c>
      <c r="C36" s="22" t="s">
        <v>2084</v>
      </c>
      <c r="D36" t="str">
        <f>+IF(OR(IFERROR(FIND(".IO",Table2[[#This Row],[Sheet Location]],1)&gt;0,FALSE),B36="DI"),"IO","no")</f>
        <v>IO</v>
      </c>
    </row>
    <row r="37" spans="2:4" x14ac:dyDescent="0.25">
      <c r="B37" s="22" t="s">
        <v>2085</v>
      </c>
      <c r="C37" s="22" t="s">
        <v>2086</v>
      </c>
      <c r="D37" t="str">
        <f>+IF(OR(IFERROR(FIND(".IO",Table2[[#This Row],[Sheet Location]],1)&gt;0,FALSE),B37="DI"),"IO","no")</f>
        <v>no</v>
      </c>
    </row>
    <row r="38" spans="2:4" x14ac:dyDescent="0.25">
      <c r="B38" s="22" t="s">
        <v>2085</v>
      </c>
      <c r="C38" s="22" t="s">
        <v>2087</v>
      </c>
      <c r="D38" t="str">
        <f>+IF(OR(IFERROR(FIND(".IO",Table2[[#This Row],[Sheet Location]],1)&gt;0,FALSE),B38="DI"),"IO","no")</f>
        <v>no</v>
      </c>
    </row>
    <row r="39" spans="2:4" x14ac:dyDescent="0.25">
      <c r="B39" s="22" t="s">
        <v>2048</v>
      </c>
      <c r="C39" s="22" t="s">
        <v>2088</v>
      </c>
      <c r="D39" t="str">
        <f>+IF(OR(IFERROR(FIND(".IO",Table2[[#This Row],[Sheet Location]],1)&gt;0,FALSE),B39="DI"),"IO","no")</f>
        <v>IO</v>
      </c>
    </row>
    <row r="40" spans="2:4" x14ac:dyDescent="0.25">
      <c r="B40" s="22" t="s">
        <v>2048</v>
      </c>
      <c r="C40" s="22" t="s">
        <v>2089</v>
      </c>
      <c r="D40" t="str">
        <f>+IF(OR(IFERROR(FIND(".IO",Table2[[#This Row],[Sheet Location]],1)&gt;0,FALSE),B40="DI"),"IO","no")</f>
        <v>IO</v>
      </c>
    </row>
    <row r="41" spans="2:4" x14ac:dyDescent="0.25">
      <c r="B41" s="22" t="s">
        <v>2090</v>
      </c>
      <c r="C41" s="22" t="s">
        <v>2091</v>
      </c>
      <c r="D41" t="str">
        <f>+IF(OR(IFERROR(FIND(".IO",Table2[[#This Row],[Sheet Location]],1)&gt;0,FALSE),B41="DI"),"IO","no")</f>
        <v>no</v>
      </c>
    </row>
    <row r="42" spans="2:4" x14ac:dyDescent="0.25">
      <c r="B42" s="22" t="s">
        <v>2092</v>
      </c>
      <c r="C42" s="22" t="s">
        <v>2093</v>
      </c>
      <c r="D42" t="str">
        <f>+IF(OR(IFERROR(FIND(".IO",Table2[[#This Row],[Sheet Location]],1)&gt;0,FALSE),B42="DI"),"IO","no")</f>
        <v>no</v>
      </c>
    </row>
    <row r="43" spans="2:4" x14ac:dyDescent="0.25">
      <c r="B43" s="22" t="s">
        <v>2048</v>
      </c>
      <c r="C43" s="22" t="s">
        <v>2094</v>
      </c>
      <c r="D43" t="str">
        <f>+IF(OR(IFERROR(FIND(".IO",Table2[[#This Row],[Sheet Location]],1)&gt;0,FALSE),B43="DI"),"IO","no")</f>
        <v>IO</v>
      </c>
    </row>
    <row r="44" spans="2:4" x14ac:dyDescent="0.25">
      <c r="B44" s="22" t="s">
        <v>2048</v>
      </c>
      <c r="C44" s="22" t="s">
        <v>2095</v>
      </c>
      <c r="D44" t="str">
        <f>+IF(OR(IFERROR(FIND(".IO",Table2[[#This Row],[Sheet Location]],1)&gt;0,FALSE),B44="DI"),"IO","no")</f>
        <v>IO</v>
      </c>
    </row>
    <row r="45" spans="2:4" x14ac:dyDescent="0.25">
      <c r="B45" s="22" t="s">
        <v>2048</v>
      </c>
      <c r="C45" s="22" t="s">
        <v>2096</v>
      </c>
      <c r="D45" t="str">
        <f>+IF(OR(IFERROR(FIND(".IO",Table2[[#This Row],[Sheet Location]],1)&gt;0,FALSE),B45="DI"),"IO","no")</f>
        <v>IO</v>
      </c>
    </row>
    <row r="46" spans="2:4" x14ac:dyDescent="0.25">
      <c r="B46" s="22" t="s">
        <v>2097</v>
      </c>
      <c r="C46" s="22" t="s">
        <v>2098</v>
      </c>
      <c r="D46" t="str">
        <f>+IF(OR(IFERROR(FIND(".IO",Table2[[#This Row],[Sheet Location]],1)&gt;0,FALSE),B46="DI"),"IO","no")</f>
        <v>no</v>
      </c>
    </row>
    <row r="47" spans="2:4" x14ac:dyDescent="0.25">
      <c r="B47" s="22" t="s">
        <v>2048</v>
      </c>
      <c r="C47" s="22" t="s">
        <v>2099</v>
      </c>
      <c r="D47" t="str">
        <f>+IF(OR(IFERROR(FIND(".IO",Table2[[#This Row],[Sheet Location]],1)&gt;0,FALSE),B47="DI"),"IO","no")</f>
        <v>IO</v>
      </c>
    </row>
    <row r="48" spans="2:4" x14ac:dyDescent="0.25">
      <c r="B48" s="22" t="s">
        <v>2048</v>
      </c>
      <c r="C48" s="22" t="s">
        <v>2100</v>
      </c>
      <c r="D48" t="str">
        <f>+IF(OR(IFERROR(FIND(".IO",Table2[[#This Row],[Sheet Location]],1)&gt;0,FALSE),B48="DI"),"IO","no")</f>
        <v>IO</v>
      </c>
    </row>
    <row r="49" spans="2:4" x14ac:dyDescent="0.25">
      <c r="B49" s="22" t="s">
        <v>2101</v>
      </c>
      <c r="C49" s="22" t="s">
        <v>2102</v>
      </c>
      <c r="D49" t="str">
        <f>+IF(OR(IFERROR(FIND(".IO",Table2[[#This Row],[Sheet Location]],1)&gt;0,FALSE),B49="DI"),"IO","no")</f>
        <v>no</v>
      </c>
    </row>
    <row r="50" spans="2:4" x14ac:dyDescent="0.25">
      <c r="B50" s="22" t="s">
        <v>2040</v>
      </c>
      <c r="C50" s="22" t="s">
        <v>2103</v>
      </c>
      <c r="D50" t="str">
        <f>+IF(OR(IFERROR(FIND(".IO",Table2[[#This Row],[Sheet Location]],1)&gt;0,FALSE),B50="DI"),"IO","no")</f>
        <v>IO</v>
      </c>
    </row>
    <row r="51" spans="2:4" x14ac:dyDescent="0.25">
      <c r="B51" s="22" t="s">
        <v>2040</v>
      </c>
      <c r="C51" s="22" t="s">
        <v>2104</v>
      </c>
      <c r="D51" t="str">
        <f>+IF(OR(IFERROR(FIND(".IO",Table2[[#This Row],[Sheet Location]],1)&gt;0,FALSE),B51="DI"),"IO","no")</f>
        <v>IO</v>
      </c>
    </row>
    <row r="52" spans="2:4" x14ac:dyDescent="0.25">
      <c r="B52" s="22" t="s">
        <v>2105</v>
      </c>
      <c r="C52" s="22" t="s">
        <v>2106</v>
      </c>
      <c r="D52" t="str">
        <f>+IF(OR(IFERROR(FIND(".IO",Table2[[#This Row],[Sheet Location]],1)&gt;0,FALSE),B52="DI"),"IO","no")</f>
        <v>no</v>
      </c>
    </row>
    <row r="53" spans="2:4" x14ac:dyDescent="0.25">
      <c r="B53" s="22" t="s">
        <v>2107</v>
      </c>
      <c r="C53" s="22" t="s">
        <v>2108</v>
      </c>
      <c r="D53" t="str">
        <f>+IF(OR(IFERROR(FIND(".IO",Table2[[#This Row],[Sheet Location]],1)&gt;0,FALSE),B53="DI"),"IO","no")</f>
        <v>no</v>
      </c>
    </row>
    <row r="54" spans="2:4" x14ac:dyDescent="0.25">
      <c r="B54" s="22" t="s">
        <v>2109</v>
      </c>
      <c r="C54" s="22" t="s">
        <v>2110</v>
      </c>
      <c r="D54" t="str">
        <f>+IF(OR(IFERROR(FIND(".IO",Table2[[#This Row],[Sheet Location]],1)&gt;0,FALSE),B54="DI"),"IO","no")</f>
        <v>no</v>
      </c>
    </row>
    <row r="55" spans="2:4" x14ac:dyDescent="0.25">
      <c r="B55" s="22" t="s">
        <v>2111</v>
      </c>
      <c r="C55" s="22" t="s">
        <v>2112</v>
      </c>
      <c r="D55" t="str">
        <f>+IF(OR(IFERROR(FIND(".IO",Table2[[#This Row],[Sheet Location]],1)&gt;0,FALSE),B55="DI"),"IO","no")</f>
        <v>no</v>
      </c>
    </row>
    <row r="56" spans="2:4" x14ac:dyDescent="0.25">
      <c r="B56" s="22" t="s">
        <v>2113</v>
      </c>
      <c r="C56" s="22" t="s">
        <v>2114</v>
      </c>
      <c r="D56" t="str">
        <f>+IF(OR(IFERROR(FIND(".IO",Table2[[#This Row],[Sheet Location]],1)&gt;0,FALSE),B56="DI"),"IO","no")</f>
        <v>no</v>
      </c>
    </row>
    <row r="57" spans="2:4" x14ac:dyDescent="0.25">
      <c r="B57" s="22" t="s">
        <v>2040</v>
      </c>
      <c r="C57" s="22" t="s">
        <v>2115</v>
      </c>
      <c r="D57" t="str">
        <f>+IF(OR(IFERROR(FIND(".IO",Table2[[#This Row],[Sheet Location]],1)&gt;0,FALSE),B57="DI"),"IO","no")</f>
        <v>IO</v>
      </c>
    </row>
    <row r="58" spans="2:4" x14ac:dyDescent="0.25">
      <c r="B58" s="22" t="s">
        <v>2058</v>
      </c>
      <c r="C58" s="22" t="s">
        <v>2116</v>
      </c>
      <c r="D58" t="str">
        <f>+IF(OR(IFERROR(FIND(".IO",Table2[[#This Row],[Sheet Location]],1)&gt;0,FALSE),B58="DI"),"IO","no")</f>
        <v>no</v>
      </c>
    </row>
    <row r="59" spans="2:4" x14ac:dyDescent="0.25">
      <c r="B59" s="22" t="s">
        <v>2040</v>
      </c>
      <c r="C59" s="22" t="s">
        <v>2117</v>
      </c>
      <c r="D59" t="str">
        <f>+IF(OR(IFERROR(FIND(".IO",Table2[[#This Row],[Sheet Location]],1)&gt;0,FALSE),B59="DI"),"IO","no")</f>
        <v>IO</v>
      </c>
    </row>
    <row r="60" spans="2:4" x14ac:dyDescent="0.25">
      <c r="B60" s="22" t="s">
        <v>2040</v>
      </c>
      <c r="C60" s="22" t="s">
        <v>2118</v>
      </c>
      <c r="D60" t="str">
        <f>+IF(OR(IFERROR(FIND(".IO",Table2[[#This Row],[Sheet Location]],1)&gt;0,FALSE),B60="DI"),"IO","no")</f>
        <v>IO</v>
      </c>
    </row>
    <row r="61" spans="2:4" x14ac:dyDescent="0.25">
      <c r="B61" s="22" t="s">
        <v>2119</v>
      </c>
      <c r="C61" s="22" t="s">
        <v>2120</v>
      </c>
      <c r="D61" t="str">
        <f>+IF(OR(IFERROR(FIND(".IO",Table2[[#This Row],[Sheet Location]],1)&gt;0,FALSE),B61="DI"),"IO","no")</f>
        <v>no</v>
      </c>
    </row>
    <row r="62" spans="2:4" x14ac:dyDescent="0.25">
      <c r="B62" s="22" t="s">
        <v>2040</v>
      </c>
      <c r="C62" s="22" t="s">
        <v>2121</v>
      </c>
      <c r="D62" t="str">
        <f>+IF(OR(IFERROR(FIND(".IO",Table2[[#This Row],[Sheet Location]],1)&gt;0,FALSE),B62="DI"),"IO","no")</f>
        <v>IO</v>
      </c>
    </row>
    <row r="63" spans="2:4" x14ac:dyDescent="0.25">
      <c r="B63" s="22" t="s">
        <v>2122</v>
      </c>
      <c r="C63" s="22" t="s">
        <v>2123</v>
      </c>
      <c r="D63" t="str">
        <f>+IF(OR(IFERROR(FIND(".IO",Table2[[#This Row],[Sheet Location]],1)&gt;0,FALSE),B63="DI"),"IO","no")</f>
        <v>no</v>
      </c>
    </row>
    <row r="64" spans="2:4" x14ac:dyDescent="0.25">
      <c r="B64" s="22" t="s">
        <v>2124</v>
      </c>
      <c r="C64" s="22" t="s">
        <v>2125</v>
      </c>
      <c r="D64" t="str">
        <f>+IF(OR(IFERROR(FIND(".IO",Table2[[#This Row],[Sheet Location]],1)&gt;0,FALSE),B64="DI"),"IO","no")</f>
        <v>no</v>
      </c>
    </row>
    <row r="65" spans="2:4" x14ac:dyDescent="0.25">
      <c r="B65" s="22" t="s">
        <v>2126</v>
      </c>
      <c r="C65" s="22" t="s">
        <v>2127</v>
      </c>
      <c r="D65" t="str">
        <f>+IF(OR(IFERROR(FIND(".IO",Table2[[#This Row],[Sheet Location]],1)&gt;0,FALSE),B65="DI"),"IO","no")</f>
        <v>no</v>
      </c>
    </row>
    <row r="66" spans="2:4" x14ac:dyDescent="0.25">
      <c r="B66" s="22" t="s">
        <v>2128</v>
      </c>
      <c r="C66" s="22" t="s">
        <v>2129</v>
      </c>
      <c r="D66" t="str">
        <f>+IF(OR(IFERROR(FIND(".IO",Table2[[#This Row],[Sheet Location]],1)&gt;0,FALSE),B66="DI"),"IO","no")</f>
        <v>no</v>
      </c>
    </row>
    <row r="67" spans="2:4" x14ac:dyDescent="0.25">
      <c r="B67" s="22" t="s">
        <v>2130</v>
      </c>
      <c r="C67" s="22" t="s">
        <v>2131</v>
      </c>
      <c r="D67" t="str">
        <f>+IF(OR(IFERROR(FIND(".IO",Table2[[#This Row],[Sheet Location]],1)&gt;0,FALSE),B67="DI"),"IO","no")</f>
        <v>no</v>
      </c>
    </row>
    <row r="68" spans="2:4" x14ac:dyDescent="0.25">
      <c r="B68" s="22" t="s">
        <v>2132</v>
      </c>
      <c r="C68" s="22" t="s">
        <v>2133</v>
      </c>
      <c r="D68" t="str">
        <f>+IF(OR(IFERROR(FIND(".IO",Table2[[#This Row],[Sheet Location]],1)&gt;0,FALSE),B68="DI"),"IO","no")</f>
        <v>no</v>
      </c>
    </row>
    <row r="69" spans="2:4" x14ac:dyDescent="0.25">
      <c r="B69" s="22" t="s">
        <v>2134</v>
      </c>
      <c r="C69" s="22" t="s">
        <v>2135</v>
      </c>
      <c r="D69" t="str">
        <f>+IF(OR(IFERROR(FIND(".IO",Table2[[#This Row],[Sheet Location]],1)&gt;0,FALSE),B69="DI"),"IO","no")</f>
        <v>no</v>
      </c>
    </row>
    <row r="70" spans="2:4" x14ac:dyDescent="0.25">
      <c r="B70" s="22" t="s">
        <v>2134</v>
      </c>
      <c r="C70" s="22" t="s">
        <v>2136</v>
      </c>
      <c r="D70" t="str">
        <f>+IF(OR(IFERROR(FIND(".IO",Table2[[#This Row],[Sheet Location]],1)&gt;0,FALSE),B70="DI"),"IO","no")</f>
        <v>no</v>
      </c>
    </row>
    <row r="71" spans="2:4" ht="30" x14ac:dyDescent="0.25">
      <c r="B71" s="22" t="s">
        <v>3833</v>
      </c>
      <c r="C71" s="22" t="s">
        <v>2138</v>
      </c>
      <c r="D71" t="str">
        <f>+IF(OR(IFERROR(FIND(".IO",Table2[[#This Row],[Sheet Location]],1)&gt;0,FALSE),B71="DI"),"IO","no")</f>
        <v>IO</v>
      </c>
    </row>
    <row r="72" spans="2:4" ht="30" x14ac:dyDescent="0.25">
      <c r="B72" s="22" t="s">
        <v>3833</v>
      </c>
      <c r="C72" s="22" t="s">
        <v>2139</v>
      </c>
      <c r="D72" t="str">
        <f>+IF(OR(IFERROR(FIND(".IO",Table2[[#This Row],[Sheet Location]],1)&gt;0,FALSE),B72="DI"),"IO","no")</f>
        <v>IO</v>
      </c>
    </row>
    <row r="73" spans="2:4" ht="30" x14ac:dyDescent="0.25">
      <c r="B73" s="22" t="s">
        <v>3833</v>
      </c>
      <c r="C73" s="22" t="s">
        <v>2140</v>
      </c>
      <c r="D73" t="str">
        <f>+IF(OR(IFERROR(FIND(".IO",Table2[[#This Row],[Sheet Location]],1)&gt;0,FALSE),B73="DI"),"IO","no")</f>
        <v>IO</v>
      </c>
    </row>
    <row r="74" spans="2:4" x14ac:dyDescent="0.25">
      <c r="B74" s="22" t="s">
        <v>2052</v>
      </c>
      <c r="C74" s="22" t="s">
        <v>2141</v>
      </c>
      <c r="D74" t="str">
        <f>+IF(OR(IFERROR(FIND(".IO",Table2[[#This Row],[Sheet Location]],1)&gt;0,FALSE),B74="DI"),"IO","no")</f>
        <v>IO</v>
      </c>
    </row>
    <row r="75" spans="2:4" x14ac:dyDescent="0.25">
      <c r="B75" s="22" t="s">
        <v>2052</v>
      </c>
      <c r="C75" s="22" t="s">
        <v>2142</v>
      </c>
      <c r="D75" t="str">
        <f>+IF(OR(IFERROR(FIND(".IO",Table2[[#This Row],[Sheet Location]],1)&gt;0,FALSE),B75="DI"),"IO","no")</f>
        <v>IO</v>
      </c>
    </row>
    <row r="76" spans="2:4" x14ac:dyDescent="0.25">
      <c r="B76" s="22" t="s">
        <v>2052</v>
      </c>
      <c r="C76" s="22" t="s">
        <v>2143</v>
      </c>
      <c r="D76" t="str">
        <f>+IF(OR(IFERROR(FIND(".IO",Table2[[#This Row],[Sheet Location]],1)&gt;0,FALSE),B76="DI"),"IO","no")</f>
        <v>IO</v>
      </c>
    </row>
    <row r="77" spans="2:4" x14ac:dyDescent="0.25">
      <c r="B77" s="22" t="s">
        <v>2052</v>
      </c>
      <c r="C77" s="22" t="s">
        <v>2144</v>
      </c>
      <c r="D77" t="str">
        <f>+IF(OR(IFERROR(FIND(".IO",Table2[[#This Row],[Sheet Location]],1)&gt;0,FALSE),B77="DI"),"IO","no")</f>
        <v>IO</v>
      </c>
    </row>
    <row r="78" spans="2:4" x14ac:dyDescent="0.25">
      <c r="B78" s="22" t="s">
        <v>2052</v>
      </c>
      <c r="C78" s="22" t="s">
        <v>2145</v>
      </c>
      <c r="D78" t="str">
        <f>+IF(OR(IFERROR(FIND(".IO",Table2[[#This Row],[Sheet Location]],1)&gt;0,FALSE),B78="DI"),"IO","no")</f>
        <v>IO</v>
      </c>
    </row>
    <row r="79" spans="2:4" x14ac:dyDescent="0.25">
      <c r="B79" s="22" t="s">
        <v>2072</v>
      </c>
      <c r="C79" s="22" t="s">
        <v>2146</v>
      </c>
      <c r="D79" t="str">
        <f>+IF(OR(IFERROR(FIND(".IO",Table2[[#This Row],[Sheet Location]],1)&gt;0,FALSE),B79="DI"),"IO","no")</f>
        <v>no</v>
      </c>
    </row>
    <row r="80" spans="2:4" x14ac:dyDescent="0.25">
      <c r="B80" s="22" t="s">
        <v>2072</v>
      </c>
      <c r="C80" s="22" t="s">
        <v>2147</v>
      </c>
      <c r="D80" t="str">
        <f>+IF(OR(IFERROR(FIND(".IO",Table2[[#This Row],[Sheet Location]],1)&gt;0,FALSE),B80="DI"),"IO","no")</f>
        <v>no</v>
      </c>
    </row>
    <row r="81" spans="2:4" x14ac:dyDescent="0.25">
      <c r="B81" s="22" t="s">
        <v>2074</v>
      </c>
      <c r="C81" s="22" t="s">
        <v>2148</v>
      </c>
      <c r="D81" t="str">
        <f>+IF(OR(IFERROR(FIND(".IO",Table2[[#This Row],[Sheet Location]],1)&gt;0,FALSE),B81="DI"),"IO","no")</f>
        <v>no</v>
      </c>
    </row>
    <row r="82" spans="2:4" x14ac:dyDescent="0.25">
      <c r="B82" s="22" t="s">
        <v>2074</v>
      </c>
      <c r="C82" s="22" t="s">
        <v>2149</v>
      </c>
      <c r="D82" t="str">
        <f>+IF(OR(IFERROR(FIND(".IO",Table2[[#This Row],[Sheet Location]],1)&gt;0,FALSE),B82="DI"),"IO","no")</f>
        <v>no</v>
      </c>
    </row>
    <row r="83" spans="2:4" x14ac:dyDescent="0.25">
      <c r="B83" s="22" t="s">
        <v>2052</v>
      </c>
      <c r="C83" s="22" t="s">
        <v>2150</v>
      </c>
      <c r="D83" t="str">
        <f>+IF(OR(IFERROR(FIND(".IO",Table2[[#This Row],[Sheet Location]],1)&gt;0,FALSE),B83="DI"),"IO","no")</f>
        <v>IO</v>
      </c>
    </row>
    <row r="84" spans="2:4" x14ac:dyDescent="0.25">
      <c r="B84" s="22" t="s">
        <v>2151</v>
      </c>
      <c r="C84" s="22" t="s">
        <v>2152</v>
      </c>
      <c r="D84" t="str">
        <f>+IF(OR(IFERROR(FIND(".IO",Table2[[#This Row],[Sheet Location]],1)&gt;0,FALSE),B84="DI"),"IO","no")</f>
        <v>no</v>
      </c>
    </row>
    <row r="85" spans="2:4" x14ac:dyDescent="0.25">
      <c r="B85" s="22" t="s">
        <v>2153</v>
      </c>
      <c r="C85" s="22" t="s">
        <v>2154</v>
      </c>
      <c r="D85" t="str">
        <f>+IF(OR(IFERROR(FIND(".IO",Table2[[#This Row],[Sheet Location]],1)&gt;0,FALSE),B85="DI"),"IO","no")</f>
        <v>no</v>
      </c>
    </row>
    <row r="86" spans="2:4" x14ac:dyDescent="0.25">
      <c r="B86" s="22" t="s">
        <v>2052</v>
      </c>
      <c r="C86" s="22" t="s">
        <v>2155</v>
      </c>
      <c r="D86" t="str">
        <f>+IF(OR(IFERROR(FIND(".IO",Table2[[#This Row],[Sheet Location]],1)&gt;0,FALSE),B86="DI"),"IO","no")</f>
        <v>IO</v>
      </c>
    </row>
    <row r="87" spans="2:4" x14ac:dyDescent="0.25">
      <c r="B87" s="22" t="s">
        <v>2040</v>
      </c>
      <c r="C87" s="22" t="s">
        <v>2156</v>
      </c>
      <c r="D87" t="str">
        <f>+IF(OR(IFERROR(FIND(".IO",Table2[[#This Row],[Sheet Location]],1)&gt;0,FALSE),B87="DI"),"IO","no")</f>
        <v>IO</v>
      </c>
    </row>
    <row r="88" spans="2:4" x14ac:dyDescent="0.25">
      <c r="B88" s="22" t="s">
        <v>2046</v>
      </c>
      <c r="C88" s="22" t="s">
        <v>2157</v>
      </c>
      <c r="D88" t="str">
        <f>+IF(OR(IFERROR(FIND(".IO",Table2[[#This Row],[Sheet Location]],1)&gt;0,FALSE),B88="DI"),"IO","no")</f>
        <v>IO</v>
      </c>
    </row>
    <row r="89" spans="2:4" x14ac:dyDescent="0.25">
      <c r="B89" s="22" t="s">
        <v>2046</v>
      </c>
      <c r="C89" s="22" t="s">
        <v>2158</v>
      </c>
      <c r="D89" t="str">
        <f>+IF(OR(IFERROR(FIND(".IO",Table2[[#This Row],[Sheet Location]],1)&gt;0,FALSE),B89="DI"),"IO","no")</f>
        <v>IO</v>
      </c>
    </row>
    <row r="90" spans="2:4" x14ac:dyDescent="0.25">
      <c r="B90" s="22" t="s">
        <v>2159</v>
      </c>
      <c r="C90" s="22" t="s">
        <v>2160</v>
      </c>
      <c r="D90" t="str">
        <f>+IF(OR(IFERROR(FIND(".IO",Table2[[#This Row],[Sheet Location]],1)&gt;0,FALSE),B90="DI"),"IO","no")</f>
        <v>no</v>
      </c>
    </row>
    <row r="91" spans="2:4" x14ac:dyDescent="0.25">
      <c r="B91" s="22" t="s">
        <v>2153</v>
      </c>
      <c r="C91" s="22" t="s">
        <v>2161</v>
      </c>
      <c r="D91" t="str">
        <f>+IF(OR(IFERROR(FIND(".IO",Table2[[#This Row],[Sheet Location]],1)&gt;0,FALSE),B91="DI"),"IO","no")</f>
        <v>no</v>
      </c>
    </row>
    <row r="92" spans="2:4" x14ac:dyDescent="0.25">
      <c r="B92" s="22" t="s">
        <v>2040</v>
      </c>
      <c r="C92" s="22" t="s">
        <v>2162</v>
      </c>
      <c r="D92" t="str">
        <f>+IF(OR(IFERROR(FIND(".IO",Table2[[#This Row],[Sheet Location]],1)&gt;0,FALSE),B92="DI"),"IO","no")</f>
        <v>IO</v>
      </c>
    </row>
    <row r="93" spans="2:4" x14ac:dyDescent="0.25">
      <c r="B93" s="22" t="s">
        <v>2052</v>
      </c>
      <c r="C93" s="22" t="s">
        <v>2163</v>
      </c>
      <c r="D93" t="str">
        <f>+IF(OR(IFERROR(FIND(".IO",Table2[[#This Row],[Sheet Location]],1)&gt;0,FALSE),B93="DI"),"IO","no")</f>
        <v>IO</v>
      </c>
    </row>
    <row r="94" spans="2:4" x14ac:dyDescent="0.25">
      <c r="B94" s="22" t="s">
        <v>2052</v>
      </c>
      <c r="C94" s="22" t="s">
        <v>2164</v>
      </c>
      <c r="D94" t="str">
        <f>+IF(OR(IFERROR(FIND(".IO",Table2[[#This Row],[Sheet Location]],1)&gt;0,FALSE),B94="DI"),"IO","no")</f>
        <v>IO</v>
      </c>
    </row>
    <row r="95" spans="2:4" x14ac:dyDescent="0.25">
      <c r="B95" s="22" t="s">
        <v>2052</v>
      </c>
      <c r="C95" s="22" t="s">
        <v>2165</v>
      </c>
      <c r="D95" t="str">
        <f>+IF(OR(IFERROR(FIND(".IO",Table2[[#This Row],[Sheet Location]],1)&gt;0,FALSE),B95="DI"),"IO","no")</f>
        <v>IO</v>
      </c>
    </row>
    <row r="96" spans="2:4" x14ac:dyDescent="0.25">
      <c r="B96" s="22" t="s">
        <v>2040</v>
      </c>
      <c r="C96" s="22" t="s">
        <v>2166</v>
      </c>
      <c r="D96" t="str">
        <f>+IF(OR(IFERROR(FIND(".IO",Table2[[#This Row],[Sheet Location]],1)&gt;0,FALSE),B96="DI"),"IO","no")</f>
        <v>IO</v>
      </c>
    </row>
    <row r="97" spans="2:4" x14ac:dyDescent="0.25">
      <c r="B97" s="22" t="s">
        <v>2040</v>
      </c>
      <c r="C97" s="22" t="s">
        <v>2167</v>
      </c>
      <c r="D97" t="str">
        <f>+IF(OR(IFERROR(FIND(".IO",Table2[[#This Row],[Sheet Location]],1)&gt;0,FALSE),B97="DI"),"IO","no")</f>
        <v>IO</v>
      </c>
    </row>
    <row r="98" spans="2:4" x14ac:dyDescent="0.25">
      <c r="B98" s="22" t="s">
        <v>2040</v>
      </c>
      <c r="C98" s="22" t="s">
        <v>2168</v>
      </c>
      <c r="D98" t="str">
        <f>+IF(OR(IFERROR(FIND(".IO",Table2[[#This Row],[Sheet Location]],1)&gt;0,FALSE),B98="DI"),"IO","no")</f>
        <v>IO</v>
      </c>
    </row>
    <row r="99" spans="2:4" x14ac:dyDescent="0.25">
      <c r="B99" s="22" t="s">
        <v>2040</v>
      </c>
      <c r="C99" s="22" t="s">
        <v>2169</v>
      </c>
      <c r="D99" t="str">
        <f>+IF(OR(IFERROR(FIND(".IO",Table2[[#This Row],[Sheet Location]],1)&gt;0,FALSE),B99="DI"),"IO","no")</f>
        <v>IO</v>
      </c>
    </row>
    <row r="100" spans="2:4" x14ac:dyDescent="0.25">
      <c r="B100" s="22" t="s">
        <v>2040</v>
      </c>
      <c r="C100" s="22" t="s">
        <v>2170</v>
      </c>
      <c r="D100" t="str">
        <f>+IF(OR(IFERROR(FIND(".IO",Table2[[#This Row],[Sheet Location]],1)&gt;0,FALSE),B100="DI"),"IO","no")</f>
        <v>IO</v>
      </c>
    </row>
    <row r="101" spans="2:4" x14ac:dyDescent="0.25">
      <c r="B101" s="22" t="s">
        <v>2040</v>
      </c>
      <c r="C101" s="22" t="s">
        <v>2171</v>
      </c>
      <c r="D101" t="str">
        <f>+IF(OR(IFERROR(FIND(".IO",Table2[[#This Row],[Sheet Location]],1)&gt;0,FALSE),B101="DI"),"IO","no")</f>
        <v>IO</v>
      </c>
    </row>
    <row r="102" spans="2:4" x14ac:dyDescent="0.25">
      <c r="B102" s="22" t="s">
        <v>2172</v>
      </c>
      <c r="C102" s="22" t="s">
        <v>2173</v>
      </c>
      <c r="D102" t="str">
        <f>+IF(OR(IFERROR(FIND(".IO",Table2[[#This Row],[Sheet Location]],1)&gt;0,FALSE),B102="DI"),"IO","no")</f>
        <v>no</v>
      </c>
    </row>
    <row r="103" spans="2:4" x14ac:dyDescent="0.25">
      <c r="B103" s="22" t="s">
        <v>2174</v>
      </c>
      <c r="C103" s="22" t="s">
        <v>2175</v>
      </c>
      <c r="D103" t="str">
        <f>+IF(OR(IFERROR(FIND(".IO",Table2[[#This Row],[Sheet Location]],1)&gt;0,FALSE),B103="DI"),"IO","no")</f>
        <v>no</v>
      </c>
    </row>
    <row r="104" spans="2:4" x14ac:dyDescent="0.25">
      <c r="B104" s="22" t="s">
        <v>2052</v>
      </c>
      <c r="C104" s="22" t="s">
        <v>2176</v>
      </c>
      <c r="D104" t="str">
        <f>+IF(OR(IFERROR(FIND(".IO",Table2[[#This Row],[Sheet Location]],1)&gt;0,FALSE),B104="DI"),"IO","no")</f>
        <v>IO</v>
      </c>
    </row>
    <row r="105" spans="2:4" x14ac:dyDescent="0.25">
      <c r="B105" s="22" t="s">
        <v>2177</v>
      </c>
      <c r="C105" s="22" t="s">
        <v>2178</v>
      </c>
      <c r="D105" t="str">
        <f>+IF(OR(IFERROR(FIND(".IO",Table2[[#This Row],[Sheet Location]],1)&gt;0,FALSE),B105="DI"),"IO","no")</f>
        <v>no</v>
      </c>
    </row>
    <row r="106" spans="2:4" x14ac:dyDescent="0.25">
      <c r="B106" s="22" t="s">
        <v>2177</v>
      </c>
      <c r="C106" s="22" t="s">
        <v>2179</v>
      </c>
      <c r="D106" t="str">
        <f>+IF(OR(IFERROR(FIND(".IO",Table2[[#This Row],[Sheet Location]],1)&gt;0,FALSE),B106="DI"),"IO","no")</f>
        <v>no</v>
      </c>
    </row>
    <row r="107" spans="2:4" x14ac:dyDescent="0.25">
      <c r="B107" s="22" t="s">
        <v>2180</v>
      </c>
      <c r="C107" s="22" t="s">
        <v>2181</v>
      </c>
      <c r="D107" t="str">
        <f>+IF(OR(IFERROR(FIND(".IO",Table2[[#This Row],[Sheet Location]],1)&gt;0,FALSE),B107="DI"),"IO","no")</f>
        <v>no</v>
      </c>
    </row>
    <row r="108" spans="2:4" x14ac:dyDescent="0.25">
      <c r="B108" s="22" t="s">
        <v>2180</v>
      </c>
      <c r="C108" s="22" t="s">
        <v>2182</v>
      </c>
      <c r="D108" t="str">
        <f>+IF(OR(IFERROR(FIND(".IO",Table2[[#This Row],[Sheet Location]],1)&gt;0,FALSE),B108="DI"),"IO","no")</f>
        <v>no</v>
      </c>
    </row>
    <row r="109" spans="2:4" x14ac:dyDescent="0.25">
      <c r="B109" s="22" t="s">
        <v>2183</v>
      </c>
      <c r="C109" s="22" t="s">
        <v>2184</v>
      </c>
      <c r="D109" t="str">
        <f>+IF(OR(IFERROR(FIND(".IO",Table2[[#This Row],[Sheet Location]],1)&gt;0,FALSE),B109="DI"),"IO","no")</f>
        <v>no</v>
      </c>
    </row>
    <row r="110" spans="2:4" x14ac:dyDescent="0.25">
      <c r="B110" s="22" t="s">
        <v>2097</v>
      </c>
      <c r="C110" s="22" t="s">
        <v>2185</v>
      </c>
      <c r="D110" t="str">
        <f>+IF(OR(IFERROR(FIND(".IO",Table2[[#This Row],[Sheet Location]],1)&gt;0,FALSE),B110="DI"),"IO","no")</f>
        <v>no</v>
      </c>
    </row>
    <row r="111" spans="2:4" x14ac:dyDescent="0.25">
      <c r="B111" s="22" t="s">
        <v>2137</v>
      </c>
      <c r="C111" s="22" t="s">
        <v>2186</v>
      </c>
      <c r="D111" t="str">
        <f>+IF(OR(IFERROR(FIND(".IO",Table2[[#This Row],[Sheet Location]],1)&gt;0,FALSE),B111="DI"),"IO","no")</f>
        <v>no</v>
      </c>
    </row>
    <row r="112" spans="2:4" x14ac:dyDescent="0.25">
      <c r="B112" s="22" t="s">
        <v>2137</v>
      </c>
      <c r="C112" s="22" t="s">
        <v>2187</v>
      </c>
      <c r="D112" t="str">
        <f>+IF(OR(IFERROR(FIND(".IO",Table2[[#This Row],[Sheet Location]],1)&gt;0,FALSE),B112="DI"),"IO","no")</f>
        <v>no</v>
      </c>
    </row>
    <row r="113" spans="2:4" x14ac:dyDescent="0.25">
      <c r="B113" s="22" t="s">
        <v>2188</v>
      </c>
      <c r="C113" s="22" t="s">
        <v>2189</v>
      </c>
      <c r="D113" t="str">
        <f>+IF(OR(IFERROR(FIND(".IO",Table2[[#This Row],[Sheet Location]],1)&gt;0,FALSE),B113="DI"),"IO","no")</f>
        <v>no</v>
      </c>
    </row>
    <row r="114" spans="2:4" x14ac:dyDescent="0.25">
      <c r="B114" s="22" t="s">
        <v>2048</v>
      </c>
      <c r="C114" s="22" t="s">
        <v>2190</v>
      </c>
      <c r="D114" t="str">
        <f>+IF(OR(IFERROR(FIND(".IO",Table2[[#This Row],[Sheet Location]],1)&gt;0,FALSE),B114="DI"),"IO","no")</f>
        <v>IO</v>
      </c>
    </row>
    <row r="115" spans="2:4" x14ac:dyDescent="0.25">
      <c r="B115" s="22" t="s">
        <v>2048</v>
      </c>
      <c r="C115" s="22" t="s">
        <v>2191</v>
      </c>
      <c r="D115" t="str">
        <f>+IF(OR(IFERROR(FIND(".IO",Table2[[#This Row],[Sheet Location]],1)&gt;0,FALSE),B115="DI"),"IO","no")</f>
        <v>IO</v>
      </c>
    </row>
    <row r="116" spans="2:4" x14ac:dyDescent="0.25">
      <c r="B116" s="22" t="s">
        <v>2048</v>
      </c>
      <c r="C116" s="22" t="s">
        <v>2192</v>
      </c>
      <c r="D116" t="str">
        <f>+IF(OR(IFERROR(FIND(".IO",Table2[[#This Row],[Sheet Location]],1)&gt;0,FALSE),B116="DI"),"IO","no")</f>
        <v>IO</v>
      </c>
    </row>
    <row r="117" spans="2:4" x14ac:dyDescent="0.25">
      <c r="B117" s="22" t="s">
        <v>2048</v>
      </c>
      <c r="C117" s="22" t="s">
        <v>2193</v>
      </c>
      <c r="D117" t="str">
        <f>+IF(OR(IFERROR(FIND(".IO",Table2[[#This Row],[Sheet Location]],1)&gt;0,FALSE),B117="DI"),"IO","no")</f>
        <v>IO</v>
      </c>
    </row>
    <row r="118" spans="2:4" x14ac:dyDescent="0.25">
      <c r="B118" s="22" t="s">
        <v>2048</v>
      </c>
      <c r="C118" s="22" t="s">
        <v>2194</v>
      </c>
      <c r="D118" t="str">
        <f>+IF(OR(IFERROR(FIND(".IO",Table2[[#This Row],[Sheet Location]],1)&gt;0,FALSE),B118="DI"),"IO","no")</f>
        <v>IO</v>
      </c>
    </row>
    <row r="119" spans="2:4" x14ac:dyDescent="0.25">
      <c r="B119" s="22" t="s">
        <v>2048</v>
      </c>
      <c r="C119" s="22" t="s">
        <v>2195</v>
      </c>
      <c r="D119" t="str">
        <f>+IF(OR(IFERROR(FIND(".IO",Table2[[#This Row],[Sheet Location]],1)&gt;0,FALSE),B119="DI"),"IO","no")</f>
        <v>IO</v>
      </c>
    </row>
    <row r="120" spans="2:4" x14ac:dyDescent="0.25">
      <c r="B120" s="22" t="s">
        <v>2048</v>
      </c>
      <c r="C120" s="22" t="s">
        <v>2196</v>
      </c>
      <c r="D120" t="str">
        <f>+IF(OR(IFERROR(FIND(".IO",Table2[[#This Row],[Sheet Location]],1)&gt;0,FALSE),B120="DI"),"IO","no")</f>
        <v>IO</v>
      </c>
    </row>
    <row r="121" spans="2:4" x14ac:dyDescent="0.25">
      <c r="B121" s="22" t="s">
        <v>2048</v>
      </c>
      <c r="C121" s="22" t="s">
        <v>2197</v>
      </c>
      <c r="D121" t="str">
        <f>+IF(OR(IFERROR(FIND(".IO",Table2[[#This Row],[Sheet Location]],1)&gt;0,FALSE),B121="DI"),"IO","no")</f>
        <v>IO</v>
      </c>
    </row>
    <row r="122" spans="2:4" x14ac:dyDescent="0.25">
      <c r="B122" s="22" t="s">
        <v>2040</v>
      </c>
      <c r="C122" s="22" t="s">
        <v>2198</v>
      </c>
      <c r="D122" t="str">
        <f>+IF(OR(IFERROR(FIND(".IO",Table2[[#This Row],[Sheet Location]],1)&gt;0,FALSE),B122="DI"),"IO","no")</f>
        <v>IO</v>
      </c>
    </row>
    <row r="123" spans="2:4" x14ac:dyDescent="0.25">
      <c r="B123" s="22" t="s">
        <v>2040</v>
      </c>
      <c r="C123" s="22" t="s">
        <v>2199</v>
      </c>
      <c r="D123" t="str">
        <f>+IF(OR(IFERROR(FIND(".IO",Table2[[#This Row],[Sheet Location]],1)&gt;0,FALSE),B123="DI"),"IO","no")</f>
        <v>IO</v>
      </c>
    </row>
    <row r="124" spans="2:4" x14ac:dyDescent="0.25">
      <c r="B124" s="22" t="s">
        <v>2040</v>
      </c>
      <c r="C124" s="22" t="s">
        <v>2200</v>
      </c>
      <c r="D124" t="str">
        <f>+IF(OR(IFERROR(FIND(".IO",Table2[[#This Row],[Sheet Location]],1)&gt;0,FALSE),B124="DI"),"IO","no")</f>
        <v>IO</v>
      </c>
    </row>
    <row r="125" spans="2:4" x14ac:dyDescent="0.25">
      <c r="B125" s="22" t="s">
        <v>2137</v>
      </c>
      <c r="C125" s="22" t="s">
        <v>2201</v>
      </c>
      <c r="D125" t="str">
        <f>+IF(OR(IFERROR(FIND(".IO",Table2[[#This Row],[Sheet Location]],1)&gt;0,FALSE),B125="DI"),"IO","no")</f>
        <v>no</v>
      </c>
    </row>
    <row r="126" spans="2:4" x14ac:dyDescent="0.25">
      <c r="B126" s="22" t="s">
        <v>2046</v>
      </c>
      <c r="C126" s="22" t="s">
        <v>2202</v>
      </c>
      <c r="D126" t="str">
        <f>+IF(OR(IFERROR(FIND(".IO",Table2[[#This Row],[Sheet Location]],1)&gt;0,FALSE),B126="DI"),"IO","no")</f>
        <v>IO</v>
      </c>
    </row>
    <row r="127" spans="2:4" x14ac:dyDescent="0.25">
      <c r="B127" s="22" t="s">
        <v>2046</v>
      </c>
      <c r="C127" s="22" t="s">
        <v>2203</v>
      </c>
      <c r="D127" t="str">
        <f>+IF(OR(IFERROR(FIND(".IO",Table2[[#This Row],[Sheet Location]],1)&gt;0,FALSE),B127="DI"),"IO","no")</f>
        <v>IO</v>
      </c>
    </row>
    <row r="128" spans="2:4" x14ac:dyDescent="0.25">
      <c r="B128" s="22" t="s">
        <v>2046</v>
      </c>
      <c r="C128" s="22" t="s">
        <v>2204</v>
      </c>
      <c r="D128" t="str">
        <f>+IF(OR(IFERROR(FIND(".IO",Table2[[#This Row],[Sheet Location]],1)&gt;0,FALSE),B128="DI"),"IO","no")</f>
        <v>IO</v>
      </c>
    </row>
    <row r="129" spans="2:4" x14ac:dyDescent="0.25">
      <c r="B129" s="22" t="s">
        <v>2046</v>
      </c>
      <c r="C129" s="22" t="s">
        <v>2205</v>
      </c>
      <c r="D129" t="str">
        <f>+IF(OR(IFERROR(FIND(".IO",Table2[[#This Row],[Sheet Location]],1)&gt;0,FALSE),B129="DI"),"IO","no")</f>
        <v>IO</v>
      </c>
    </row>
    <row r="130" spans="2:4" x14ac:dyDescent="0.25">
      <c r="B130" s="22" t="s">
        <v>2159</v>
      </c>
      <c r="C130" s="22" t="s">
        <v>2206</v>
      </c>
      <c r="D130" t="str">
        <f>+IF(OR(IFERROR(FIND(".IO",Table2[[#This Row],[Sheet Location]],1)&gt;0,FALSE),B130="DI"),"IO","no")</f>
        <v>no</v>
      </c>
    </row>
    <row r="131" spans="2:4" x14ac:dyDescent="0.25">
      <c r="B131" s="22" t="s">
        <v>2159</v>
      </c>
      <c r="C131" s="22" t="s">
        <v>2207</v>
      </c>
      <c r="D131" t="str">
        <f>+IF(OR(IFERROR(FIND(".IO",Table2[[#This Row],[Sheet Location]],1)&gt;0,FALSE),B131="DI"),"IO","no")</f>
        <v>no</v>
      </c>
    </row>
    <row r="132" spans="2:4" x14ac:dyDescent="0.25">
      <c r="B132" s="22" t="s">
        <v>2040</v>
      </c>
      <c r="C132" s="22" t="s">
        <v>2208</v>
      </c>
      <c r="D132" t="str">
        <f>+IF(OR(IFERROR(FIND(".IO",Table2[[#This Row],[Sheet Location]],1)&gt;0,FALSE),B132="DI"),"IO","no")</f>
        <v>IO</v>
      </c>
    </row>
    <row r="133" spans="2:4" x14ac:dyDescent="0.25">
      <c r="B133" s="22" t="s">
        <v>2040</v>
      </c>
      <c r="C133" s="22" t="s">
        <v>2209</v>
      </c>
      <c r="D133" t="str">
        <f>+IF(OR(IFERROR(FIND(".IO",Table2[[#This Row],[Sheet Location]],1)&gt;0,FALSE),B133="DI"),"IO","no")</f>
        <v>IO</v>
      </c>
    </row>
    <row r="134" spans="2:4" x14ac:dyDescent="0.25">
      <c r="B134" s="22" t="s">
        <v>2210</v>
      </c>
      <c r="C134" s="22" t="s">
        <v>2211</v>
      </c>
      <c r="D134" t="str">
        <f>+IF(OR(IFERROR(FIND(".IO",Table2[[#This Row],[Sheet Location]],1)&gt;0,FALSE),B134="DI"),"IO","no")</f>
        <v>no</v>
      </c>
    </row>
    <row r="135" spans="2:4" x14ac:dyDescent="0.25">
      <c r="B135" s="22" t="s">
        <v>2212</v>
      </c>
      <c r="C135" s="22" t="s">
        <v>2213</v>
      </c>
      <c r="D135" t="str">
        <f>+IF(OR(IFERROR(FIND(".IO",Table2[[#This Row],[Sheet Location]],1)&gt;0,FALSE),B135="DI"),"IO","no")</f>
        <v>no</v>
      </c>
    </row>
    <row r="136" spans="2:4" x14ac:dyDescent="0.25">
      <c r="B136" s="22" t="s">
        <v>2212</v>
      </c>
      <c r="C136" s="22" t="s">
        <v>2214</v>
      </c>
      <c r="D136" t="str">
        <f>+IF(OR(IFERROR(FIND(".IO",Table2[[#This Row],[Sheet Location]],1)&gt;0,FALSE),B136="DI"),"IO","no")</f>
        <v>no</v>
      </c>
    </row>
    <row r="137" spans="2:4" x14ac:dyDescent="0.25">
      <c r="B137" s="22" t="s">
        <v>2052</v>
      </c>
      <c r="C137" s="22" t="s">
        <v>2215</v>
      </c>
      <c r="D137" t="str">
        <f>+IF(OR(IFERROR(FIND(".IO",Table2[[#This Row],[Sheet Location]],1)&gt;0,FALSE),B137="DI"),"IO","no")</f>
        <v>IO</v>
      </c>
    </row>
    <row r="138" spans="2:4" x14ac:dyDescent="0.25">
      <c r="B138" s="22" t="s">
        <v>2052</v>
      </c>
      <c r="C138" s="22" t="s">
        <v>2216</v>
      </c>
      <c r="D138" t="str">
        <f>+IF(OR(IFERROR(FIND(".IO",Table2[[#This Row],[Sheet Location]],1)&gt;0,FALSE),B138="DI"),"IO","no")</f>
        <v>IO</v>
      </c>
    </row>
    <row r="139" spans="2:4" x14ac:dyDescent="0.25">
      <c r="B139" s="22" t="s">
        <v>2052</v>
      </c>
      <c r="C139" s="22" t="s">
        <v>2217</v>
      </c>
      <c r="D139" t="str">
        <f>+IF(OR(IFERROR(FIND(".IO",Table2[[#This Row],[Sheet Location]],1)&gt;0,FALSE),B139="DI"),"IO","no")</f>
        <v>IO</v>
      </c>
    </row>
    <row r="140" spans="2:4" x14ac:dyDescent="0.25">
      <c r="B140" s="22" t="s">
        <v>2052</v>
      </c>
      <c r="C140" s="22" t="s">
        <v>2218</v>
      </c>
      <c r="D140" t="str">
        <f>+IF(OR(IFERROR(FIND(".IO",Table2[[#This Row],[Sheet Location]],1)&gt;0,FALSE),B140="DI"),"IO","no")</f>
        <v>IO</v>
      </c>
    </row>
    <row r="141" spans="2:4" x14ac:dyDescent="0.25">
      <c r="B141" s="22" t="s">
        <v>2052</v>
      </c>
      <c r="C141" s="22" t="s">
        <v>2219</v>
      </c>
      <c r="D141" t="str">
        <f>+IF(OR(IFERROR(FIND(".IO",Table2[[#This Row],[Sheet Location]],1)&gt;0,FALSE),B141="DI"),"IO","no")</f>
        <v>IO</v>
      </c>
    </row>
    <row r="142" spans="2:4" x14ac:dyDescent="0.25">
      <c r="B142" s="22" t="s">
        <v>2052</v>
      </c>
      <c r="C142" s="22" t="s">
        <v>2220</v>
      </c>
      <c r="D142" t="str">
        <f>+IF(OR(IFERROR(FIND(".IO",Table2[[#This Row],[Sheet Location]],1)&gt;0,FALSE),B142="DI"),"IO","no")</f>
        <v>IO</v>
      </c>
    </row>
    <row r="143" spans="2:4" x14ac:dyDescent="0.25">
      <c r="B143" s="22" t="s">
        <v>2052</v>
      </c>
      <c r="C143" s="22" t="s">
        <v>2221</v>
      </c>
      <c r="D143" t="str">
        <f>+IF(OR(IFERROR(FIND(".IO",Table2[[#This Row],[Sheet Location]],1)&gt;0,FALSE),B143="DI"),"IO","no")</f>
        <v>IO</v>
      </c>
    </row>
    <row r="144" spans="2:4" x14ac:dyDescent="0.25">
      <c r="B144" s="22" t="s">
        <v>2052</v>
      </c>
      <c r="C144" s="22" t="s">
        <v>2222</v>
      </c>
      <c r="D144" t="str">
        <f>+IF(OR(IFERROR(FIND(".IO",Table2[[#This Row],[Sheet Location]],1)&gt;0,FALSE),B144="DI"),"IO","no")</f>
        <v>IO</v>
      </c>
    </row>
    <row r="145" spans="2:4" x14ac:dyDescent="0.25">
      <c r="B145" s="22" t="s">
        <v>2052</v>
      </c>
      <c r="C145" s="22" t="s">
        <v>2223</v>
      </c>
      <c r="D145" t="str">
        <f>+IF(OR(IFERROR(FIND(".IO",Table2[[#This Row],[Sheet Location]],1)&gt;0,FALSE),B145="DI"),"IO","no")</f>
        <v>IO</v>
      </c>
    </row>
    <row r="146" spans="2:4" x14ac:dyDescent="0.25">
      <c r="B146" s="22" t="s">
        <v>2052</v>
      </c>
      <c r="C146" s="22" t="s">
        <v>2224</v>
      </c>
      <c r="D146" t="str">
        <f>+IF(OR(IFERROR(FIND(".IO",Table2[[#This Row],[Sheet Location]],1)&gt;0,FALSE),B146="DI"),"IO","no")</f>
        <v>IO</v>
      </c>
    </row>
    <row r="147" spans="2:4" x14ac:dyDescent="0.25">
      <c r="B147" s="22" t="s">
        <v>2052</v>
      </c>
      <c r="C147" s="22" t="s">
        <v>2225</v>
      </c>
      <c r="D147" t="str">
        <f>+IF(OR(IFERROR(FIND(".IO",Table2[[#This Row],[Sheet Location]],1)&gt;0,FALSE),B147="DI"),"IO","no")</f>
        <v>IO</v>
      </c>
    </row>
    <row r="148" spans="2:4" x14ac:dyDescent="0.25">
      <c r="B148" s="22" t="s">
        <v>2052</v>
      </c>
      <c r="C148" s="22" t="s">
        <v>2226</v>
      </c>
      <c r="D148" t="str">
        <f>+IF(OR(IFERROR(FIND(".IO",Table2[[#This Row],[Sheet Location]],1)&gt;0,FALSE),B148="DI"),"IO","no")</f>
        <v>IO</v>
      </c>
    </row>
    <row r="149" spans="2:4" x14ac:dyDescent="0.25">
      <c r="B149" s="22" t="s">
        <v>2052</v>
      </c>
      <c r="C149" s="22" t="s">
        <v>2227</v>
      </c>
      <c r="D149" t="str">
        <f>+IF(OR(IFERROR(FIND(".IO",Table2[[#This Row],[Sheet Location]],1)&gt;0,FALSE),B149="DI"),"IO","no")</f>
        <v>IO</v>
      </c>
    </row>
    <row r="150" spans="2:4" x14ac:dyDescent="0.25">
      <c r="B150" s="22" t="s">
        <v>2052</v>
      </c>
      <c r="C150" s="22" t="s">
        <v>2228</v>
      </c>
      <c r="D150" t="str">
        <f>+IF(OR(IFERROR(FIND(".IO",Table2[[#This Row],[Sheet Location]],1)&gt;0,FALSE),B150="DI"),"IO","no")</f>
        <v>IO</v>
      </c>
    </row>
    <row r="151" spans="2:4" x14ac:dyDescent="0.25">
      <c r="B151" s="22" t="s">
        <v>2052</v>
      </c>
      <c r="C151" s="22" t="s">
        <v>2229</v>
      </c>
      <c r="D151" t="str">
        <f>+IF(OR(IFERROR(FIND(".IO",Table2[[#This Row],[Sheet Location]],1)&gt;0,FALSE),B151="DI"),"IO","no")</f>
        <v>IO</v>
      </c>
    </row>
    <row r="152" spans="2:4" x14ac:dyDescent="0.25">
      <c r="B152" s="22" t="s">
        <v>2052</v>
      </c>
      <c r="C152" s="22" t="s">
        <v>2230</v>
      </c>
      <c r="D152" t="str">
        <f>+IF(OR(IFERROR(FIND(".IO",Table2[[#This Row],[Sheet Location]],1)&gt;0,FALSE),B152="DI"),"IO","no")</f>
        <v>IO</v>
      </c>
    </row>
    <row r="153" spans="2:4" x14ac:dyDescent="0.25">
      <c r="B153" s="22" t="s">
        <v>2052</v>
      </c>
      <c r="C153" s="22" t="s">
        <v>2231</v>
      </c>
      <c r="D153" t="str">
        <f>+IF(OR(IFERROR(FIND(".IO",Table2[[#This Row],[Sheet Location]],1)&gt;0,FALSE),B153="DI"),"IO","no")</f>
        <v>IO</v>
      </c>
    </row>
    <row r="154" spans="2:4" x14ac:dyDescent="0.25">
      <c r="B154" s="22" t="s">
        <v>2052</v>
      </c>
      <c r="C154" s="22" t="s">
        <v>2232</v>
      </c>
      <c r="D154" t="str">
        <f>+IF(OR(IFERROR(FIND(".IO",Table2[[#This Row],[Sheet Location]],1)&gt;0,FALSE),B154="DI"),"IO","no")</f>
        <v>IO</v>
      </c>
    </row>
    <row r="155" spans="2:4" x14ac:dyDescent="0.25">
      <c r="B155" s="22" t="s">
        <v>2052</v>
      </c>
      <c r="C155" s="22" t="s">
        <v>2233</v>
      </c>
      <c r="D155" t="str">
        <f>+IF(OR(IFERROR(FIND(".IO",Table2[[#This Row],[Sheet Location]],1)&gt;0,FALSE),B155="DI"),"IO","no")</f>
        <v>IO</v>
      </c>
    </row>
    <row r="156" spans="2:4" x14ac:dyDescent="0.25">
      <c r="B156" s="22" t="s">
        <v>2052</v>
      </c>
      <c r="C156" s="22" t="s">
        <v>2234</v>
      </c>
      <c r="D156" t="str">
        <f>+IF(OR(IFERROR(FIND(".IO",Table2[[#This Row],[Sheet Location]],1)&gt;0,FALSE),B156="DI"),"IO","no")</f>
        <v>IO</v>
      </c>
    </row>
    <row r="157" spans="2:4" x14ac:dyDescent="0.25">
      <c r="B157" s="22" t="s">
        <v>2052</v>
      </c>
      <c r="C157" s="22" t="s">
        <v>2235</v>
      </c>
      <c r="D157" t="str">
        <f>+IF(OR(IFERROR(FIND(".IO",Table2[[#This Row],[Sheet Location]],1)&gt;0,FALSE),B157="DI"),"IO","no")</f>
        <v>IO</v>
      </c>
    </row>
    <row r="158" spans="2:4" x14ac:dyDescent="0.25">
      <c r="B158" s="22" t="s">
        <v>2052</v>
      </c>
      <c r="C158" s="22" t="s">
        <v>2236</v>
      </c>
      <c r="D158" t="str">
        <f>+IF(OR(IFERROR(FIND(".IO",Table2[[#This Row],[Sheet Location]],1)&gt;0,FALSE),B158="DI"),"IO","no")</f>
        <v>IO</v>
      </c>
    </row>
    <row r="159" spans="2:4" x14ac:dyDescent="0.25">
      <c r="B159" s="22" t="s">
        <v>2052</v>
      </c>
      <c r="C159" s="22" t="s">
        <v>2237</v>
      </c>
      <c r="D159" t="str">
        <f>+IF(OR(IFERROR(FIND(".IO",Table2[[#This Row],[Sheet Location]],1)&gt;0,FALSE),B159="DI"),"IO","no")</f>
        <v>IO</v>
      </c>
    </row>
    <row r="160" spans="2:4" x14ac:dyDescent="0.25">
      <c r="B160" s="22" t="s">
        <v>2052</v>
      </c>
      <c r="C160" s="22" t="s">
        <v>2238</v>
      </c>
      <c r="D160" t="str">
        <f>+IF(OR(IFERROR(FIND(".IO",Table2[[#This Row],[Sheet Location]],1)&gt;0,FALSE),B160="DI"),"IO","no")</f>
        <v>IO</v>
      </c>
    </row>
    <row r="161" spans="2:4" x14ac:dyDescent="0.25">
      <c r="B161" s="22" t="s">
        <v>2052</v>
      </c>
      <c r="C161" s="22" t="s">
        <v>2239</v>
      </c>
      <c r="D161" t="str">
        <f>+IF(OR(IFERROR(FIND(".IO",Table2[[#This Row],[Sheet Location]],1)&gt;0,FALSE),B161="DI"),"IO","no")</f>
        <v>IO</v>
      </c>
    </row>
    <row r="162" spans="2:4" x14ac:dyDescent="0.25">
      <c r="B162" s="22" t="s">
        <v>2052</v>
      </c>
      <c r="C162" s="22" t="s">
        <v>2240</v>
      </c>
      <c r="D162" t="str">
        <f>+IF(OR(IFERROR(FIND(".IO",Table2[[#This Row],[Sheet Location]],1)&gt;0,FALSE),B162="DI"),"IO","no")</f>
        <v>IO</v>
      </c>
    </row>
    <row r="163" spans="2:4" x14ac:dyDescent="0.25">
      <c r="B163" s="22" t="s">
        <v>2052</v>
      </c>
      <c r="C163" s="22" t="s">
        <v>2241</v>
      </c>
      <c r="D163" t="str">
        <f>+IF(OR(IFERROR(FIND(".IO",Table2[[#This Row],[Sheet Location]],1)&gt;0,FALSE),B163="DI"),"IO","no")</f>
        <v>IO</v>
      </c>
    </row>
    <row r="164" spans="2:4" x14ac:dyDescent="0.25">
      <c r="B164" s="22" t="s">
        <v>2052</v>
      </c>
      <c r="C164" s="22" t="s">
        <v>2242</v>
      </c>
      <c r="D164" t="str">
        <f>+IF(OR(IFERROR(FIND(".IO",Table2[[#This Row],[Sheet Location]],1)&gt;0,FALSE),B164="DI"),"IO","no")</f>
        <v>IO</v>
      </c>
    </row>
    <row r="165" spans="2:4" x14ac:dyDescent="0.25">
      <c r="B165" s="22" t="s">
        <v>2052</v>
      </c>
      <c r="C165" s="22" t="s">
        <v>2243</v>
      </c>
      <c r="D165" t="str">
        <f>+IF(OR(IFERROR(FIND(".IO",Table2[[#This Row],[Sheet Location]],1)&gt;0,FALSE),B165="DI"),"IO","no")</f>
        <v>IO</v>
      </c>
    </row>
    <row r="166" spans="2:4" x14ac:dyDescent="0.25">
      <c r="B166" s="22" t="s">
        <v>2052</v>
      </c>
      <c r="C166" s="22" t="s">
        <v>2244</v>
      </c>
      <c r="D166" t="str">
        <f>+IF(OR(IFERROR(FIND(".IO",Table2[[#This Row],[Sheet Location]],1)&gt;0,FALSE),B166="DI"),"IO","no")</f>
        <v>IO</v>
      </c>
    </row>
    <row r="167" spans="2:4" x14ac:dyDescent="0.25">
      <c r="B167" s="22" t="s">
        <v>2052</v>
      </c>
      <c r="C167" s="22" t="s">
        <v>2245</v>
      </c>
      <c r="D167" t="str">
        <f>+IF(OR(IFERROR(FIND(".IO",Table2[[#This Row],[Sheet Location]],1)&gt;0,FALSE),B167="DI"),"IO","no")</f>
        <v>IO</v>
      </c>
    </row>
    <row r="168" spans="2:4" x14ac:dyDescent="0.25">
      <c r="B168" s="22" t="s">
        <v>2052</v>
      </c>
      <c r="C168" s="22" t="s">
        <v>2246</v>
      </c>
      <c r="D168" t="str">
        <f>+IF(OR(IFERROR(FIND(".IO",Table2[[#This Row],[Sheet Location]],1)&gt;0,FALSE),B168="DI"),"IO","no")</f>
        <v>IO</v>
      </c>
    </row>
    <row r="169" spans="2:4" x14ac:dyDescent="0.25">
      <c r="B169" s="22" t="s">
        <v>2052</v>
      </c>
      <c r="C169" s="22" t="s">
        <v>2247</v>
      </c>
      <c r="D169" t="str">
        <f>+IF(OR(IFERROR(FIND(".IO",Table2[[#This Row],[Sheet Location]],1)&gt;0,FALSE),B169="DI"),"IO","no")</f>
        <v>IO</v>
      </c>
    </row>
    <row r="170" spans="2:4" x14ac:dyDescent="0.25">
      <c r="B170" s="22" t="s">
        <v>2052</v>
      </c>
      <c r="C170" s="22" t="s">
        <v>2248</v>
      </c>
      <c r="D170" t="str">
        <f>+IF(OR(IFERROR(FIND(".IO",Table2[[#This Row],[Sheet Location]],1)&gt;0,FALSE),B170="DI"),"IO","no")</f>
        <v>IO</v>
      </c>
    </row>
    <row r="171" spans="2:4" x14ac:dyDescent="0.25">
      <c r="B171" s="22" t="s">
        <v>2052</v>
      </c>
      <c r="C171" s="22" t="s">
        <v>2249</v>
      </c>
      <c r="D171" t="str">
        <f>+IF(OR(IFERROR(FIND(".IO",Table2[[#This Row],[Sheet Location]],1)&gt;0,FALSE),B171="DI"),"IO","no")</f>
        <v>IO</v>
      </c>
    </row>
    <row r="172" spans="2:4" x14ac:dyDescent="0.25">
      <c r="B172" s="22" t="s">
        <v>2052</v>
      </c>
      <c r="C172" s="22" t="s">
        <v>2250</v>
      </c>
      <c r="D172" t="str">
        <f>+IF(OR(IFERROR(FIND(".IO",Table2[[#This Row],[Sheet Location]],1)&gt;0,FALSE),B172="DI"),"IO","no")</f>
        <v>IO</v>
      </c>
    </row>
    <row r="173" spans="2:4" x14ac:dyDescent="0.25">
      <c r="B173" s="22" t="s">
        <v>2052</v>
      </c>
      <c r="C173" s="22" t="s">
        <v>2251</v>
      </c>
      <c r="D173" t="str">
        <f>+IF(OR(IFERROR(FIND(".IO",Table2[[#This Row],[Sheet Location]],1)&gt;0,FALSE),B173="DI"),"IO","no")</f>
        <v>IO</v>
      </c>
    </row>
    <row r="174" spans="2:4" x14ac:dyDescent="0.25">
      <c r="B174" s="22" t="s">
        <v>2052</v>
      </c>
      <c r="C174" s="22" t="s">
        <v>2252</v>
      </c>
      <c r="D174" t="str">
        <f>+IF(OR(IFERROR(FIND(".IO",Table2[[#This Row],[Sheet Location]],1)&gt;0,FALSE),B174="DI"),"IO","no")</f>
        <v>IO</v>
      </c>
    </row>
    <row r="175" spans="2:4" x14ac:dyDescent="0.25">
      <c r="B175" s="22" t="s">
        <v>2052</v>
      </c>
      <c r="C175" s="22" t="s">
        <v>2253</v>
      </c>
      <c r="D175" t="str">
        <f>+IF(OR(IFERROR(FIND(".IO",Table2[[#This Row],[Sheet Location]],1)&gt;0,FALSE),B175="DI"),"IO","no")</f>
        <v>IO</v>
      </c>
    </row>
    <row r="176" spans="2:4" x14ac:dyDescent="0.25">
      <c r="B176" s="22" t="s">
        <v>2052</v>
      </c>
      <c r="C176" s="22" t="s">
        <v>2254</v>
      </c>
      <c r="D176" t="str">
        <f>+IF(OR(IFERROR(FIND(".IO",Table2[[#This Row],[Sheet Location]],1)&gt;0,FALSE),B176="DI"),"IO","no")</f>
        <v>IO</v>
      </c>
    </row>
    <row r="177" spans="2:4" x14ac:dyDescent="0.25">
      <c r="B177" s="22" t="s">
        <v>2052</v>
      </c>
      <c r="C177" s="22" t="s">
        <v>2255</v>
      </c>
      <c r="D177" t="str">
        <f>+IF(OR(IFERROR(FIND(".IO",Table2[[#This Row],[Sheet Location]],1)&gt;0,FALSE),B177="DI"),"IO","no")</f>
        <v>IO</v>
      </c>
    </row>
    <row r="178" spans="2:4" x14ac:dyDescent="0.25">
      <c r="B178" s="22" t="s">
        <v>2052</v>
      </c>
      <c r="C178" s="22" t="s">
        <v>2256</v>
      </c>
      <c r="D178" t="str">
        <f>+IF(OR(IFERROR(FIND(".IO",Table2[[#This Row],[Sheet Location]],1)&gt;0,FALSE),B178="DI"),"IO","no")</f>
        <v>IO</v>
      </c>
    </row>
    <row r="179" spans="2:4" x14ac:dyDescent="0.25">
      <c r="B179" s="22" t="s">
        <v>2052</v>
      </c>
      <c r="C179" s="22" t="s">
        <v>2257</v>
      </c>
      <c r="D179" t="str">
        <f>+IF(OR(IFERROR(FIND(".IO",Table2[[#This Row],[Sheet Location]],1)&gt;0,FALSE),B179="DI"),"IO","no")</f>
        <v>IO</v>
      </c>
    </row>
    <row r="180" spans="2:4" x14ac:dyDescent="0.25">
      <c r="B180" s="22" t="s">
        <v>2052</v>
      </c>
      <c r="C180" s="22" t="s">
        <v>2258</v>
      </c>
      <c r="D180" t="str">
        <f>+IF(OR(IFERROR(FIND(".IO",Table2[[#This Row],[Sheet Location]],1)&gt;0,FALSE),B180="DI"),"IO","no")</f>
        <v>IO</v>
      </c>
    </row>
    <row r="181" spans="2:4" x14ac:dyDescent="0.25">
      <c r="B181" s="22" t="s">
        <v>2036</v>
      </c>
      <c r="C181" s="22" t="s">
        <v>2259</v>
      </c>
      <c r="D181" t="str">
        <f>+IF(OR(IFERROR(FIND(".IO",Table2[[#This Row],[Sheet Location]],1)&gt;0,FALSE),B181="DI"),"IO","no")</f>
        <v>no</v>
      </c>
    </row>
    <row r="182" spans="2:4" x14ac:dyDescent="0.25">
      <c r="B182" s="22" t="s">
        <v>2052</v>
      </c>
      <c r="C182" s="22" t="s">
        <v>2260</v>
      </c>
      <c r="D182" t="str">
        <f>+IF(OR(IFERROR(FIND(".IO",Table2[[#This Row],[Sheet Location]],1)&gt;0,FALSE),B182="DI"),"IO","no")</f>
        <v>IO</v>
      </c>
    </row>
    <row r="183" spans="2:4" x14ac:dyDescent="0.25">
      <c r="B183" s="22" t="s">
        <v>2261</v>
      </c>
      <c r="C183" s="22" t="s">
        <v>2262</v>
      </c>
      <c r="D183" t="str">
        <f>+IF(OR(IFERROR(FIND(".IO",Table2[[#This Row],[Sheet Location]],1)&gt;0,FALSE),B183="DI"),"IO","no")</f>
        <v>no</v>
      </c>
    </row>
    <row r="184" spans="2:4" x14ac:dyDescent="0.25">
      <c r="B184" s="22" t="s">
        <v>2137</v>
      </c>
      <c r="C184" s="22" t="s">
        <v>2263</v>
      </c>
      <c r="D184" t="str">
        <f>+IF(OR(IFERROR(FIND(".IO",Table2[[#This Row],[Sheet Location]],1)&gt;0,FALSE),B184="DI"),"IO","no")</f>
        <v>no</v>
      </c>
    </row>
    <row r="185" spans="2:4" x14ac:dyDescent="0.25">
      <c r="B185" s="22" t="s">
        <v>2072</v>
      </c>
      <c r="C185" s="22" t="s">
        <v>2264</v>
      </c>
      <c r="D185" t="str">
        <f>+IF(OR(IFERROR(FIND(".IO",Table2[[#This Row],[Sheet Location]],1)&gt;0,FALSE),B185="DI"),"IO","no")</f>
        <v>no</v>
      </c>
    </row>
    <row r="186" spans="2:4" x14ac:dyDescent="0.25">
      <c r="B186" s="22" t="s">
        <v>2074</v>
      </c>
      <c r="C186" s="22" t="s">
        <v>2265</v>
      </c>
      <c r="D186" t="str">
        <f>+IF(OR(IFERROR(FIND(".IO",Table2[[#This Row],[Sheet Location]],1)&gt;0,FALSE),B186="DI"),"IO","no")</f>
        <v>no</v>
      </c>
    </row>
    <row r="187" spans="2:4" x14ac:dyDescent="0.25">
      <c r="B187" s="22" t="s">
        <v>2040</v>
      </c>
      <c r="C187" s="22" t="s">
        <v>2266</v>
      </c>
      <c r="D187" t="str">
        <f>+IF(OR(IFERROR(FIND(".IO",Table2[[#This Row],[Sheet Location]],1)&gt;0,FALSE),B187="DI"),"IO","no")</f>
        <v>IO</v>
      </c>
    </row>
    <row r="188" spans="2:4" x14ac:dyDescent="0.25">
      <c r="B188" s="22" t="s">
        <v>2172</v>
      </c>
      <c r="C188" s="22" t="s">
        <v>2267</v>
      </c>
      <c r="D188" t="str">
        <f>+IF(OR(IFERROR(FIND(".IO",Table2[[#This Row],[Sheet Location]],1)&gt;0,FALSE),B188="DI"),"IO","no")</f>
        <v>no</v>
      </c>
    </row>
    <row r="189" spans="2:4" x14ac:dyDescent="0.25">
      <c r="B189" s="22" t="s">
        <v>2172</v>
      </c>
      <c r="C189" s="22" t="s">
        <v>2268</v>
      </c>
      <c r="D189" t="str">
        <f>+IF(OR(IFERROR(FIND(".IO",Table2[[#This Row],[Sheet Location]],1)&gt;0,FALSE),B189="DI"),"IO","no")</f>
        <v>no</v>
      </c>
    </row>
    <row r="190" spans="2:4" x14ac:dyDescent="0.25">
      <c r="B190" s="22" t="s">
        <v>2153</v>
      </c>
      <c r="C190" s="22" t="s">
        <v>2269</v>
      </c>
      <c r="D190" t="str">
        <f>+IF(OR(IFERROR(FIND(".IO",Table2[[#This Row],[Sheet Location]],1)&gt;0,FALSE),B190="DI"),"IO","no")</f>
        <v>no</v>
      </c>
    </row>
    <row r="191" spans="2:4" x14ac:dyDescent="0.25">
      <c r="B191" s="22" t="s">
        <v>2174</v>
      </c>
      <c r="C191" s="22" t="s">
        <v>2270</v>
      </c>
      <c r="D191" t="str">
        <f>+IF(OR(IFERROR(FIND(".IO",Table2[[#This Row],[Sheet Location]],1)&gt;0,FALSE),B191="DI"),"IO","no")</f>
        <v>no</v>
      </c>
    </row>
    <row r="192" spans="2:4" x14ac:dyDescent="0.25">
      <c r="B192" s="22" t="s">
        <v>2174</v>
      </c>
      <c r="C192" s="22" t="s">
        <v>2271</v>
      </c>
      <c r="D192" t="str">
        <f>+IF(OR(IFERROR(FIND(".IO",Table2[[#This Row],[Sheet Location]],1)&gt;0,FALSE),B192="DI"),"IO","no")</f>
        <v>no</v>
      </c>
    </row>
    <row r="193" spans="2:4" x14ac:dyDescent="0.25">
      <c r="B193" s="22" t="s">
        <v>2052</v>
      </c>
      <c r="C193" s="22" t="s">
        <v>2272</v>
      </c>
      <c r="D193" t="str">
        <f>+IF(OR(IFERROR(FIND(".IO",Table2[[#This Row],[Sheet Location]],1)&gt;0,FALSE),B193="DI"),"IO","no")</f>
        <v>IO</v>
      </c>
    </row>
    <row r="194" spans="2:4" x14ac:dyDescent="0.25">
      <c r="B194" s="22" t="s">
        <v>2052</v>
      </c>
      <c r="C194" s="22" t="s">
        <v>2273</v>
      </c>
      <c r="D194" t="str">
        <f>+IF(OR(IFERROR(FIND(".IO",Table2[[#This Row],[Sheet Location]],1)&gt;0,FALSE),B194="DI"),"IO","no")</f>
        <v>IO</v>
      </c>
    </row>
    <row r="195" spans="2:4" x14ac:dyDescent="0.25">
      <c r="B195" s="22" t="s">
        <v>2052</v>
      </c>
      <c r="C195" s="22" t="s">
        <v>2274</v>
      </c>
      <c r="D195" t="str">
        <f>+IF(OR(IFERROR(FIND(".IO",Table2[[#This Row],[Sheet Location]],1)&gt;0,FALSE),B195="DI"),"IO","no")</f>
        <v>IO</v>
      </c>
    </row>
    <row r="196" spans="2:4" x14ac:dyDescent="0.25">
      <c r="B196" s="22" t="s">
        <v>2052</v>
      </c>
      <c r="C196" s="22" t="s">
        <v>2275</v>
      </c>
      <c r="D196" t="str">
        <f>+IF(OR(IFERROR(FIND(".IO",Table2[[#This Row],[Sheet Location]],1)&gt;0,FALSE),B196="DI"),"IO","no")</f>
        <v>IO</v>
      </c>
    </row>
    <row r="197" spans="2:4" x14ac:dyDescent="0.25">
      <c r="B197" s="22" t="s">
        <v>2052</v>
      </c>
      <c r="C197" s="22" t="s">
        <v>2276</v>
      </c>
      <c r="D197" t="str">
        <f>+IF(OR(IFERROR(FIND(".IO",Table2[[#This Row],[Sheet Location]],1)&gt;0,FALSE),B197="DI"),"IO","no")</f>
        <v>IO</v>
      </c>
    </row>
    <row r="198" spans="2:4" x14ac:dyDescent="0.25">
      <c r="B198" s="22" t="s">
        <v>2052</v>
      </c>
      <c r="C198" s="22" t="s">
        <v>2277</v>
      </c>
      <c r="D198" t="str">
        <f>+IF(OR(IFERROR(FIND(".IO",Table2[[#This Row],[Sheet Location]],1)&gt;0,FALSE),B198="DI"),"IO","no")</f>
        <v>IO</v>
      </c>
    </row>
    <row r="199" spans="2:4" x14ac:dyDescent="0.25">
      <c r="B199" s="22" t="s">
        <v>2052</v>
      </c>
      <c r="C199" s="22" t="s">
        <v>2278</v>
      </c>
      <c r="D199" t="str">
        <f>+IF(OR(IFERROR(FIND(".IO",Table2[[#This Row],[Sheet Location]],1)&gt;0,FALSE),B199="DI"),"IO","no")</f>
        <v>IO</v>
      </c>
    </row>
    <row r="200" spans="2:4" x14ac:dyDescent="0.25">
      <c r="B200" s="22" t="s">
        <v>2052</v>
      </c>
      <c r="C200" s="22" t="s">
        <v>2279</v>
      </c>
      <c r="D200" t="str">
        <f>+IF(OR(IFERROR(FIND(".IO",Table2[[#This Row],[Sheet Location]],1)&gt;0,FALSE),B200="DI"),"IO","no")</f>
        <v>IO</v>
      </c>
    </row>
    <row r="201" spans="2:4" x14ac:dyDescent="0.25">
      <c r="B201" s="22" t="s">
        <v>2052</v>
      </c>
      <c r="C201" s="22" t="s">
        <v>2280</v>
      </c>
      <c r="D201" t="str">
        <f>+IF(OR(IFERROR(FIND(".IO",Table2[[#This Row],[Sheet Location]],1)&gt;0,FALSE),B201="DI"),"IO","no")</f>
        <v>IO</v>
      </c>
    </row>
    <row r="202" spans="2:4" x14ac:dyDescent="0.25">
      <c r="B202" s="22" t="s">
        <v>2052</v>
      </c>
      <c r="C202" s="22" t="s">
        <v>2281</v>
      </c>
      <c r="D202" t="str">
        <f>+IF(OR(IFERROR(FIND(".IO",Table2[[#This Row],[Sheet Location]],1)&gt;0,FALSE),B202="DI"),"IO","no")</f>
        <v>IO</v>
      </c>
    </row>
    <row r="203" spans="2:4" x14ac:dyDescent="0.25">
      <c r="B203" s="22" t="s">
        <v>2052</v>
      </c>
      <c r="C203" s="22" t="s">
        <v>2282</v>
      </c>
      <c r="D203" t="str">
        <f>+IF(OR(IFERROR(FIND(".IO",Table2[[#This Row],[Sheet Location]],1)&gt;0,FALSE),B203="DI"),"IO","no")</f>
        <v>IO</v>
      </c>
    </row>
    <row r="204" spans="2:4" x14ac:dyDescent="0.25">
      <c r="B204" s="22" t="s">
        <v>2052</v>
      </c>
      <c r="C204" s="22" t="s">
        <v>2283</v>
      </c>
      <c r="D204" t="str">
        <f>+IF(OR(IFERROR(FIND(".IO",Table2[[#This Row],[Sheet Location]],1)&gt;0,FALSE),B204="DI"),"IO","no")</f>
        <v>IO</v>
      </c>
    </row>
    <row r="205" spans="2:4" x14ac:dyDescent="0.25">
      <c r="B205" s="22" t="s">
        <v>2052</v>
      </c>
      <c r="C205" s="22" t="s">
        <v>2284</v>
      </c>
      <c r="D205" t="str">
        <f>+IF(OR(IFERROR(FIND(".IO",Table2[[#This Row],[Sheet Location]],1)&gt;0,FALSE),B205="DI"),"IO","no")</f>
        <v>IO</v>
      </c>
    </row>
    <row r="206" spans="2:4" x14ac:dyDescent="0.25">
      <c r="B206" s="22" t="s">
        <v>2052</v>
      </c>
      <c r="C206" s="22" t="s">
        <v>2285</v>
      </c>
      <c r="D206" t="str">
        <f>+IF(OR(IFERROR(FIND(".IO",Table2[[#This Row],[Sheet Location]],1)&gt;0,FALSE),B206="DI"),"IO","no")</f>
        <v>IO</v>
      </c>
    </row>
    <row r="207" spans="2:4" x14ac:dyDescent="0.25">
      <c r="B207" s="22" t="s">
        <v>2052</v>
      </c>
      <c r="C207" s="22" t="s">
        <v>2286</v>
      </c>
      <c r="D207" t="str">
        <f>+IF(OR(IFERROR(FIND(".IO",Table2[[#This Row],[Sheet Location]],1)&gt;0,FALSE),B207="DI"),"IO","no")</f>
        <v>IO</v>
      </c>
    </row>
    <row r="208" spans="2:4" x14ac:dyDescent="0.25">
      <c r="B208" s="22" t="s">
        <v>2052</v>
      </c>
      <c r="C208" s="22" t="s">
        <v>2287</v>
      </c>
      <c r="D208" t="str">
        <f>+IF(OR(IFERROR(FIND(".IO",Table2[[#This Row],[Sheet Location]],1)&gt;0,FALSE),B208="DI"),"IO","no")</f>
        <v>IO</v>
      </c>
    </row>
    <row r="209" spans="2:4" x14ac:dyDescent="0.25">
      <c r="B209" s="22" t="s">
        <v>2052</v>
      </c>
      <c r="C209" s="22" t="s">
        <v>2288</v>
      </c>
      <c r="D209" t="str">
        <f>+IF(OR(IFERROR(FIND(".IO",Table2[[#This Row],[Sheet Location]],1)&gt;0,FALSE),B209="DI"),"IO","no")</f>
        <v>IO</v>
      </c>
    </row>
    <row r="210" spans="2:4" x14ac:dyDescent="0.25">
      <c r="B210" s="22" t="s">
        <v>2052</v>
      </c>
      <c r="C210" s="22" t="s">
        <v>2289</v>
      </c>
      <c r="D210" t="str">
        <f>+IF(OR(IFERROR(FIND(".IO",Table2[[#This Row],[Sheet Location]],1)&gt;0,FALSE),B210="DI"),"IO","no")</f>
        <v>IO</v>
      </c>
    </row>
    <row r="211" spans="2:4" x14ac:dyDescent="0.25">
      <c r="B211" s="22" t="s">
        <v>2052</v>
      </c>
      <c r="C211" s="22" t="s">
        <v>2290</v>
      </c>
      <c r="D211" t="str">
        <f>+IF(OR(IFERROR(FIND(".IO",Table2[[#This Row],[Sheet Location]],1)&gt;0,FALSE),B211="DI"),"IO","no")</f>
        <v>IO</v>
      </c>
    </row>
    <row r="212" spans="2:4" x14ac:dyDescent="0.25">
      <c r="B212" s="22" t="s">
        <v>2052</v>
      </c>
      <c r="C212" s="22" t="s">
        <v>2291</v>
      </c>
      <c r="D212" t="str">
        <f>+IF(OR(IFERROR(FIND(".IO",Table2[[#This Row],[Sheet Location]],1)&gt;0,FALSE),B212="DI"),"IO","no")</f>
        <v>IO</v>
      </c>
    </row>
    <row r="213" spans="2:4" x14ac:dyDescent="0.25">
      <c r="B213" s="22" t="s">
        <v>2052</v>
      </c>
      <c r="C213" s="22" t="s">
        <v>2292</v>
      </c>
      <c r="D213" t="str">
        <f>+IF(OR(IFERROR(FIND(".IO",Table2[[#This Row],[Sheet Location]],1)&gt;0,FALSE),B213="DI"),"IO","no")</f>
        <v>IO</v>
      </c>
    </row>
    <row r="214" spans="2:4" x14ac:dyDescent="0.25">
      <c r="B214" s="22" t="s">
        <v>2052</v>
      </c>
      <c r="C214" s="22" t="s">
        <v>2293</v>
      </c>
      <c r="D214" t="str">
        <f>+IF(OR(IFERROR(FIND(".IO",Table2[[#This Row],[Sheet Location]],1)&gt;0,FALSE),B214="DI"),"IO","no")</f>
        <v>IO</v>
      </c>
    </row>
    <row r="215" spans="2:4" x14ac:dyDescent="0.25">
      <c r="B215" s="22" t="s">
        <v>2052</v>
      </c>
      <c r="C215" s="22" t="s">
        <v>2294</v>
      </c>
      <c r="D215" t="str">
        <f>+IF(OR(IFERROR(FIND(".IO",Table2[[#This Row],[Sheet Location]],1)&gt;0,FALSE),B215="DI"),"IO","no")</f>
        <v>IO</v>
      </c>
    </row>
    <row r="216" spans="2:4" x14ac:dyDescent="0.25">
      <c r="B216" s="22" t="s">
        <v>2052</v>
      </c>
      <c r="C216" s="22" t="s">
        <v>2295</v>
      </c>
      <c r="D216" t="str">
        <f>+IF(OR(IFERROR(FIND(".IO",Table2[[#This Row],[Sheet Location]],1)&gt;0,FALSE),B216="DI"),"IO","no")</f>
        <v>IO</v>
      </c>
    </row>
    <row r="217" spans="2:4" x14ac:dyDescent="0.25">
      <c r="B217" s="22" t="s">
        <v>2052</v>
      </c>
      <c r="C217" s="22" t="s">
        <v>2296</v>
      </c>
      <c r="D217" t="str">
        <f>+IF(OR(IFERROR(FIND(".IO",Table2[[#This Row],[Sheet Location]],1)&gt;0,FALSE),B217="DI"),"IO","no")</f>
        <v>IO</v>
      </c>
    </row>
    <row r="218" spans="2:4" x14ac:dyDescent="0.25">
      <c r="B218" s="22" t="s">
        <v>2052</v>
      </c>
      <c r="C218" s="22" t="s">
        <v>2297</v>
      </c>
      <c r="D218" t="str">
        <f>+IF(OR(IFERROR(FIND(".IO",Table2[[#This Row],[Sheet Location]],1)&gt;0,FALSE),B218="DI"),"IO","no")</f>
        <v>IO</v>
      </c>
    </row>
    <row r="219" spans="2:4" x14ac:dyDescent="0.25">
      <c r="B219" s="22" t="s">
        <v>2052</v>
      </c>
      <c r="C219" s="22" t="s">
        <v>2298</v>
      </c>
      <c r="D219" t="str">
        <f>+IF(OR(IFERROR(FIND(".IO",Table2[[#This Row],[Sheet Location]],1)&gt;0,FALSE),B219="DI"),"IO","no")</f>
        <v>IO</v>
      </c>
    </row>
    <row r="220" spans="2:4" x14ac:dyDescent="0.25">
      <c r="B220" s="22" t="s">
        <v>2052</v>
      </c>
      <c r="C220" s="22" t="s">
        <v>2299</v>
      </c>
      <c r="D220" t="str">
        <f>+IF(OR(IFERROR(FIND(".IO",Table2[[#This Row],[Sheet Location]],1)&gt;0,FALSE),B220="DI"),"IO","no")</f>
        <v>IO</v>
      </c>
    </row>
    <row r="221" spans="2:4" x14ac:dyDescent="0.25">
      <c r="B221" s="22" t="s">
        <v>2052</v>
      </c>
      <c r="C221" s="22" t="s">
        <v>2300</v>
      </c>
      <c r="D221" t="str">
        <f>+IF(OR(IFERROR(FIND(".IO",Table2[[#This Row],[Sheet Location]],1)&gt;0,FALSE),B221="DI"),"IO","no")</f>
        <v>IO</v>
      </c>
    </row>
    <row r="222" spans="2:4" x14ac:dyDescent="0.25">
      <c r="B222" s="22" t="s">
        <v>2052</v>
      </c>
      <c r="C222" s="22" t="s">
        <v>2301</v>
      </c>
      <c r="D222" t="str">
        <f>+IF(OR(IFERROR(FIND(".IO",Table2[[#This Row],[Sheet Location]],1)&gt;0,FALSE),B222="DI"),"IO","no")</f>
        <v>IO</v>
      </c>
    </row>
    <row r="223" spans="2:4" x14ac:dyDescent="0.25">
      <c r="B223" s="22" t="s">
        <v>2052</v>
      </c>
      <c r="C223" s="22" t="s">
        <v>2302</v>
      </c>
      <c r="D223" t="str">
        <f>+IF(OR(IFERROR(FIND(".IO",Table2[[#This Row],[Sheet Location]],1)&gt;0,FALSE),B223="DI"),"IO","no")</f>
        <v>IO</v>
      </c>
    </row>
    <row r="224" spans="2:4" x14ac:dyDescent="0.25">
      <c r="B224" s="22" t="s">
        <v>2052</v>
      </c>
      <c r="C224" s="22" t="s">
        <v>2303</v>
      </c>
      <c r="D224" t="str">
        <f>+IF(OR(IFERROR(FIND(".IO",Table2[[#This Row],[Sheet Location]],1)&gt;0,FALSE),B224="DI"),"IO","no")</f>
        <v>IO</v>
      </c>
    </row>
    <row r="225" spans="2:4" x14ac:dyDescent="0.25">
      <c r="B225" s="22" t="s">
        <v>2052</v>
      </c>
      <c r="C225" s="22" t="s">
        <v>2304</v>
      </c>
      <c r="D225" t="str">
        <f>+IF(OR(IFERROR(FIND(".IO",Table2[[#This Row],[Sheet Location]],1)&gt;0,FALSE),B225="DI"),"IO","no")</f>
        <v>IO</v>
      </c>
    </row>
    <row r="226" spans="2:4" x14ac:dyDescent="0.25">
      <c r="B226" s="22" t="s">
        <v>2052</v>
      </c>
      <c r="C226" s="22" t="s">
        <v>2305</v>
      </c>
      <c r="D226" t="str">
        <f>+IF(OR(IFERROR(FIND(".IO",Table2[[#This Row],[Sheet Location]],1)&gt;0,FALSE),B226="DI"),"IO","no")</f>
        <v>IO</v>
      </c>
    </row>
    <row r="227" spans="2:4" x14ac:dyDescent="0.25">
      <c r="B227" s="22" t="s">
        <v>2052</v>
      </c>
      <c r="C227" s="22" t="s">
        <v>2306</v>
      </c>
      <c r="D227" t="str">
        <f>+IF(OR(IFERROR(FIND(".IO",Table2[[#This Row],[Sheet Location]],1)&gt;0,FALSE),B227="DI"),"IO","no")</f>
        <v>IO</v>
      </c>
    </row>
    <row r="228" spans="2:4" x14ac:dyDescent="0.25">
      <c r="B228" s="22" t="s">
        <v>2052</v>
      </c>
      <c r="C228" s="22" t="s">
        <v>2307</v>
      </c>
      <c r="D228" t="str">
        <f>+IF(OR(IFERROR(FIND(".IO",Table2[[#This Row],[Sheet Location]],1)&gt;0,FALSE),B228="DI"),"IO","no")</f>
        <v>IO</v>
      </c>
    </row>
    <row r="229" spans="2:4" x14ac:dyDescent="0.25">
      <c r="B229" s="22" t="s">
        <v>2052</v>
      </c>
      <c r="C229" s="22" t="s">
        <v>2308</v>
      </c>
      <c r="D229" t="str">
        <f>+IF(OR(IFERROR(FIND(".IO",Table2[[#This Row],[Sheet Location]],1)&gt;0,FALSE),B229="DI"),"IO","no")</f>
        <v>IO</v>
      </c>
    </row>
    <row r="230" spans="2:4" x14ac:dyDescent="0.25">
      <c r="B230" s="22" t="s">
        <v>2210</v>
      </c>
      <c r="C230" s="22" t="s">
        <v>2309</v>
      </c>
      <c r="D230" t="str">
        <f>+IF(OR(IFERROR(FIND(".IO",Table2[[#This Row],[Sheet Location]],1)&gt;0,FALSE),B230="DI"),"IO","no")</f>
        <v>no</v>
      </c>
    </row>
    <row r="231" spans="2:4" x14ac:dyDescent="0.25">
      <c r="B231" s="22" t="s">
        <v>2212</v>
      </c>
      <c r="C231" s="22" t="s">
        <v>2310</v>
      </c>
      <c r="D231" t="str">
        <f>+IF(OR(IFERROR(FIND(".IO",Table2[[#This Row],[Sheet Location]],1)&gt;0,FALSE),B231="DI"),"IO","no")</f>
        <v>no</v>
      </c>
    </row>
    <row r="232" spans="2:4" x14ac:dyDescent="0.25">
      <c r="B232" s="22" t="s">
        <v>2212</v>
      </c>
      <c r="C232" s="22" t="s">
        <v>2311</v>
      </c>
      <c r="D232" t="str">
        <f>+IF(OR(IFERROR(FIND(".IO",Table2[[#This Row],[Sheet Location]],1)&gt;0,FALSE),B232="DI"),"IO","no")</f>
        <v>no</v>
      </c>
    </row>
    <row r="233" spans="2:4" x14ac:dyDescent="0.25">
      <c r="B233" s="22" t="s">
        <v>2159</v>
      </c>
      <c r="C233" s="22" t="s">
        <v>2312</v>
      </c>
      <c r="D233" t="str">
        <f>+IF(OR(IFERROR(FIND(".IO",Table2[[#This Row],[Sheet Location]],1)&gt;0,FALSE),B233="DI"),"IO","no")</f>
        <v>no</v>
      </c>
    </row>
    <row r="234" spans="2:4" x14ac:dyDescent="0.25">
      <c r="B234" s="22" t="s">
        <v>2052</v>
      </c>
      <c r="C234" s="22" t="s">
        <v>2313</v>
      </c>
      <c r="D234" t="str">
        <f>+IF(OR(IFERROR(FIND(".IO",Table2[[#This Row],[Sheet Location]],1)&gt;0,FALSE),B234="DI"),"IO","no")</f>
        <v>IO</v>
      </c>
    </row>
    <row r="235" spans="2:4" x14ac:dyDescent="0.25">
      <c r="B235" s="22" t="s">
        <v>2052</v>
      </c>
      <c r="C235" s="22" t="s">
        <v>2314</v>
      </c>
      <c r="D235" t="str">
        <f>+IF(OR(IFERROR(FIND(".IO",Table2[[#This Row],[Sheet Location]],1)&gt;0,FALSE),B235="DI"),"IO","no")</f>
        <v>IO</v>
      </c>
    </row>
    <row r="236" spans="2:4" x14ac:dyDescent="0.25">
      <c r="B236" s="22" t="s">
        <v>2052</v>
      </c>
      <c r="C236" s="22" t="s">
        <v>2315</v>
      </c>
      <c r="D236" t="str">
        <f>+IF(OR(IFERROR(FIND(".IO",Table2[[#This Row],[Sheet Location]],1)&gt;0,FALSE),B236="DI"),"IO","no")</f>
        <v>IO</v>
      </c>
    </row>
    <row r="237" spans="2:4" x14ac:dyDescent="0.25">
      <c r="B237" s="22" t="s">
        <v>2052</v>
      </c>
      <c r="C237" s="22" t="s">
        <v>2316</v>
      </c>
      <c r="D237" t="str">
        <f>+IF(OR(IFERROR(FIND(".IO",Table2[[#This Row],[Sheet Location]],1)&gt;0,FALSE),B237="DI"),"IO","no")</f>
        <v>IO</v>
      </c>
    </row>
    <row r="238" spans="2:4" x14ac:dyDescent="0.25">
      <c r="B238" s="22" t="s">
        <v>2052</v>
      </c>
      <c r="C238" s="22" t="s">
        <v>2317</v>
      </c>
      <c r="D238" t="str">
        <f>+IF(OR(IFERROR(FIND(".IO",Table2[[#This Row],[Sheet Location]],1)&gt;0,FALSE),B238="DI"),"IO","no")</f>
        <v>IO</v>
      </c>
    </row>
    <row r="239" spans="2:4" x14ac:dyDescent="0.25">
      <c r="B239" s="22" t="s">
        <v>2052</v>
      </c>
      <c r="C239" s="22" t="s">
        <v>2318</v>
      </c>
      <c r="D239" t="str">
        <f>+IF(OR(IFERROR(FIND(".IO",Table2[[#This Row],[Sheet Location]],1)&gt;0,FALSE),B239="DI"),"IO","no")</f>
        <v>IO</v>
      </c>
    </row>
    <row r="240" spans="2:4" x14ac:dyDescent="0.25">
      <c r="B240" s="22" t="s">
        <v>2052</v>
      </c>
      <c r="C240" s="22" t="s">
        <v>2319</v>
      </c>
      <c r="D240" t="str">
        <f>+IF(OR(IFERROR(FIND(".IO",Table2[[#This Row],[Sheet Location]],1)&gt;0,FALSE),B240="DI"),"IO","no")</f>
        <v>IO</v>
      </c>
    </row>
    <row r="241" spans="2:4" x14ac:dyDescent="0.25">
      <c r="B241" s="22" t="s">
        <v>2052</v>
      </c>
      <c r="C241" s="22" t="s">
        <v>2320</v>
      </c>
      <c r="D241" t="str">
        <f>+IF(OR(IFERROR(FIND(".IO",Table2[[#This Row],[Sheet Location]],1)&gt;0,FALSE),B241="DI"),"IO","no")</f>
        <v>IO</v>
      </c>
    </row>
    <row r="242" spans="2:4" x14ac:dyDescent="0.25">
      <c r="B242" s="22" t="s">
        <v>2052</v>
      </c>
      <c r="C242" s="22" t="s">
        <v>2321</v>
      </c>
      <c r="D242" t="str">
        <f>+IF(OR(IFERROR(FIND(".IO",Table2[[#This Row],[Sheet Location]],1)&gt;0,FALSE),B242="DI"),"IO","no")</f>
        <v>IO</v>
      </c>
    </row>
    <row r="243" spans="2:4" x14ac:dyDescent="0.25">
      <c r="B243" s="22" t="s">
        <v>2052</v>
      </c>
      <c r="C243" s="22" t="s">
        <v>2322</v>
      </c>
      <c r="D243" t="str">
        <f>+IF(OR(IFERROR(FIND(".IO",Table2[[#This Row],[Sheet Location]],1)&gt;0,FALSE),B243="DI"),"IO","no")</f>
        <v>IO</v>
      </c>
    </row>
    <row r="244" spans="2:4" x14ac:dyDescent="0.25">
      <c r="B244" s="22" t="s">
        <v>2052</v>
      </c>
      <c r="C244" s="22" t="s">
        <v>2323</v>
      </c>
      <c r="D244" t="str">
        <f>+IF(OR(IFERROR(FIND(".IO",Table2[[#This Row],[Sheet Location]],1)&gt;0,FALSE),B244="DI"),"IO","no")</f>
        <v>IO</v>
      </c>
    </row>
    <row r="245" spans="2:4" x14ac:dyDescent="0.25">
      <c r="B245" s="22" t="s">
        <v>2052</v>
      </c>
      <c r="C245" s="22" t="s">
        <v>2324</v>
      </c>
      <c r="D245" t="str">
        <f>+IF(OR(IFERROR(FIND(".IO",Table2[[#This Row],[Sheet Location]],1)&gt;0,FALSE),B245="DI"),"IO","no")</f>
        <v>IO</v>
      </c>
    </row>
    <row r="246" spans="2:4" x14ac:dyDescent="0.25">
      <c r="B246" s="22" t="s">
        <v>2052</v>
      </c>
      <c r="C246" s="22" t="s">
        <v>2325</v>
      </c>
      <c r="D246" t="str">
        <f>+IF(OR(IFERROR(FIND(".IO",Table2[[#This Row],[Sheet Location]],1)&gt;0,FALSE),B246="DI"),"IO","no")</f>
        <v>IO</v>
      </c>
    </row>
    <row r="247" spans="2:4" x14ac:dyDescent="0.25">
      <c r="B247" s="22" t="s">
        <v>2052</v>
      </c>
      <c r="C247" s="22" t="s">
        <v>2326</v>
      </c>
      <c r="D247" t="str">
        <f>+IF(OR(IFERROR(FIND(".IO",Table2[[#This Row],[Sheet Location]],1)&gt;0,FALSE),B247="DI"),"IO","no")</f>
        <v>IO</v>
      </c>
    </row>
    <row r="248" spans="2:4" x14ac:dyDescent="0.25">
      <c r="B248" s="22" t="s">
        <v>2052</v>
      </c>
      <c r="C248" s="22" t="s">
        <v>2327</v>
      </c>
      <c r="D248" t="str">
        <f>+IF(OR(IFERROR(FIND(".IO",Table2[[#This Row],[Sheet Location]],1)&gt;0,FALSE),B248="DI"),"IO","no")</f>
        <v>IO</v>
      </c>
    </row>
    <row r="249" spans="2:4" x14ac:dyDescent="0.25">
      <c r="B249" s="22" t="s">
        <v>2052</v>
      </c>
      <c r="C249" s="22" t="s">
        <v>2328</v>
      </c>
      <c r="D249" t="str">
        <f>+IF(OR(IFERROR(FIND(".IO",Table2[[#This Row],[Sheet Location]],1)&gt;0,FALSE),B249="DI"),"IO","no")</f>
        <v>IO</v>
      </c>
    </row>
    <row r="250" spans="2:4" x14ac:dyDescent="0.25">
      <c r="B250" s="22" t="s">
        <v>2052</v>
      </c>
      <c r="C250" s="22" t="s">
        <v>2329</v>
      </c>
      <c r="D250" t="str">
        <f>+IF(OR(IFERROR(FIND(".IO",Table2[[#This Row],[Sheet Location]],1)&gt;0,FALSE),B250="DI"),"IO","no")</f>
        <v>IO</v>
      </c>
    </row>
    <row r="251" spans="2:4" x14ac:dyDescent="0.25">
      <c r="B251" s="22" t="s">
        <v>2052</v>
      </c>
      <c r="C251" s="22" t="s">
        <v>2330</v>
      </c>
      <c r="D251" t="str">
        <f>+IF(OR(IFERROR(FIND(".IO",Table2[[#This Row],[Sheet Location]],1)&gt;0,FALSE),B251="DI"),"IO","no")</f>
        <v>IO</v>
      </c>
    </row>
    <row r="252" spans="2:4" x14ac:dyDescent="0.25">
      <c r="B252" s="22" t="s">
        <v>2052</v>
      </c>
      <c r="C252" s="22" t="s">
        <v>2331</v>
      </c>
      <c r="D252" t="str">
        <f>+IF(OR(IFERROR(FIND(".IO",Table2[[#This Row],[Sheet Location]],1)&gt;0,FALSE),B252="DI"),"IO","no")</f>
        <v>IO</v>
      </c>
    </row>
    <row r="253" spans="2:4" x14ac:dyDescent="0.25">
      <c r="B253" s="22" t="s">
        <v>2052</v>
      </c>
      <c r="C253" s="22" t="s">
        <v>2332</v>
      </c>
      <c r="D253" t="str">
        <f>+IF(OR(IFERROR(FIND(".IO",Table2[[#This Row],[Sheet Location]],1)&gt;0,FALSE),B253="DI"),"IO","no")</f>
        <v>IO</v>
      </c>
    </row>
    <row r="254" spans="2:4" x14ac:dyDescent="0.25">
      <c r="B254" s="22" t="s">
        <v>2052</v>
      </c>
      <c r="C254" s="22" t="s">
        <v>2333</v>
      </c>
      <c r="D254" t="str">
        <f>+IF(OR(IFERROR(FIND(".IO",Table2[[#This Row],[Sheet Location]],1)&gt;0,FALSE),B254="DI"),"IO","no")</f>
        <v>IO</v>
      </c>
    </row>
    <row r="255" spans="2:4" x14ac:dyDescent="0.25">
      <c r="B255" s="22" t="s">
        <v>2052</v>
      </c>
      <c r="C255" s="22" t="s">
        <v>2334</v>
      </c>
      <c r="D255" t="str">
        <f>+IF(OR(IFERROR(FIND(".IO",Table2[[#This Row],[Sheet Location]],1)&gt;0,FALSE),B255="DI"),"IO","no")</f>
        <v>IO</v>
      </c>
    </row>
    <row r="256" spans="2:4" x14ac:dyDescent="0.25">
      <c r="B256" s="22" t="s">
        <v>2052</v>
      </c>
      <c r="C256" s="22" t="s">
        <v>2335</v>
      </c>
      <c r="D256" t="str">
        <f>+IF(OR(IFERROR(FIND(".IO",Table2[[#This Row],[Sheet Location]],1)&gt;0,FALSE),B256="DI"),"IO","no")</f>
        <v>IO</v>
      </c>
    </row>
    <row r="257" spans="2:4" x14ac:dyDescent="0.25">
      <c r="B257" s="22" t="s">
        <v>2052</v>
      </c>
      <c r="C257" s="22" t="s">
        <v>2336</v>
      </c>
      <c r="D257" t="str">
        <f>+IF(OR(IFERROR(FIND(".IO",Table2[[#This Row],[Sheet Location]],1)&gt;0,FALSE),B257="DI"),"IO","no")</f>
        <v>IO</v>
      </c>
    </row>
    <row r="258" spans="2:4" x14ac:dyDescent="0.25">
      <c r="B258" s="22" t="s">
        <v>2052</v>
      </c>
      <c r="C258" s="22" t="s">
        <v>2337</v>
      </c>
      <c r="D258" t="str">
        <f>+IF(OR(IFERROR(FIND(".IO",Table2[[#This Row],[Sheet Location]],1)&gt;0,FALSE),B258="DI"),"IO","no")</f>
        <v>IO</v>
      </c>
    </row>
    <row r="259" spans="2:4" x14ac:dyDescent="0.25">
      <c r="B259" s="22" t="s">
        <v>2153</v>
      </c>
      <c r="C259" s="22" t="s">
        <v>2338</v>
      </c>
      <c r="D259" t="str">
        <f>+IF(OR(IFERROR(FIND(".IO",Table2[[#This Row],[Sheet Location]],1)&gt;0,FALSE),B259="DI"),"IO","no")</f>
        <v>no</v>
      </c>
    </row>
    <row r="260" spans="2:4" x14ac:dyDescent="0.25">
      <c r="B260" s="22" t="s">
        <v>2339</v>
      </c>
      <c r="C260" s="22" t="s">
        <v>2340</v>
      </c>
      <c r="D260" t="str">
        <f>+IF(OR(IFERROR(FIND(".IO",Table2[[#This Row],[Sheet Location]],1)&gt;0,FALSE),B260="DI"),"IO","no")</f>
        <v>IO</v>
      </c>
    </row>
    <row r="261" spans="2:4" x14ac:dyDescent="0.25">
      <c r="B261" s="22" t="s">
        <v>2339</v>
      </c>
      <c r="C261" s="22" t="s">
        <v>2341</v>
      </c>
      <c r="D261" t="str">
        <f>+IF(OR(IFERROR(FIND(".IO",Table2[[#This Row],[Sheet Location]],1)&gt;0,FALSE),B261="DI"),"IO","no")</f>
        <v>IO</v>
      </c>
    </row>
    <row r="262" spans="2:4" x14ac:dyDescent="0.25">
      <c r="B262" s="22" t="s">
        <v>2339</v>
      </c>
      <c r="C262" s="22" t="s">
        <v>2342</v>
      </c>
      <c r="D262" t="str">
        <f>+IF(OR(IFERROR(FIND(".IO",Table2[[#This Row],[Sheet Location]],1)&gt;0,FALSE),B262="DI"),"IO","no")</f>
        <v>IO</v>
      </c>
    </row>
    <row r="263" spans="2:4" x14ac:dyDescent="0.25">
      <c r="B263" s="22" t="s">
        <v>2339</v>
      </c>
      <c r="C263" s="22" t="s">
        <v>2343</v>
      </c>
      <c r="D263" t="str">
        <f>+IF(OR(IFERROR(FIND(".IO",Table2[[#This Row],[Sheet Location]],1)&gt;0,FALSE),B263="DI"),"IO","no")</f>
        <v>IO</v>
      </c>
    </row>
    <row r="264" spans="2:4" x14ac:dyDescent="0.25">
      <c r="B264" s="22" t="s">
        <v>2339</v>
      </c>
      <c r="C264" s="22" t="s">
        <v>2344</v>
      </c>
      <c r="D264" t="str">
        <f>+IF(OR(IFERROR(FIND(".IO",Table2[[#This Row],[Sheet Location]],1)&gt;0,FALSE),B264="DI"),"IO","no")</f>
        <v>IO</v>
      </c>
    </row>
    <row r="265" spans="2:4" x14ac:dyDescent="0.25">
      <c r="B265" s="22" t="s">
        <v>2339</v>
      </c>
      <c r="C265" s="22" t="s">
        <v>2345</v>
      </c>
      <c r="D265" t="str">
        <f>+IF(OR(IFERROR(FIND(".IO",Table2[[#This Row],[Sheet Location]],1)&gt;0,FALSE),B265="DI"),"IO","no")</f>
        <v>IO</v>
      </c>
    </row>
    <row r="266" spans="2:4" x14ac:dyDescent="0.25">
      <c r="B266" s="22" t="s">
        <v>2339</v>
      </c>
      <c r="C266" s="22" t="s">
        <v>2346</v>
      </c>
      <c r="D266" t="str">
        <f>+IF(OR(IFERROR(FIND(".IO",Table2[[#This Row],[Sheet Location]],1)&gt;0,FALSE),B266="DI"),"IO","no")</f>
        <v>IO</v>
      </c>
    </row>
    <row r="267" spans="2:4" x14ac:dyDescent="0.25">
      <c r="B267" s="22" t="s">
        <v>2339</v>
      </c>
      <c r="C267" s="22" t="s">
        <v>2347</v>
      </c>
      <c r="D267" t="str">
        <f>+IF(OR(IFERROR(FIND(".IO",Table2[[#This Row],[Sheet Location]],1)&gt;0,FALSE),B267="DI"),"IO","no")</f>
        <v>IO</v>
      </c>
    </row>
    <row r="268" spans="2:4" x14ac:dyDescent="0.25">
      <c r="B268" s="22" t="s">
        <v>2339</v>
      </c>
      <c r="C268" s="22" t="s">
        <v>2348</v>
      </c>
      <c r="D268" t="str">
        <f>+IF(OR(IFERROR(FIND(".IO",Table2[[#This Row],[Sheet Location]],1)&gt;0,FALSE),B268="DI"),"IO","no")</f>
        <v>IO</v>
      </c>
    </row>
    <row r="269" spans="2:4" x14ac:dyDescent="0.25">
      <c r="B269" s="22" t="s">
        <v>2339</v>
      </c>
      <c r="C269" s="22" t="s">
        <v>2349</v>
      </c>
      <c r="D269" t="str">
        <f>+IF(OR(IFERROR(FIND(".IO",Table2[[#This Row],[Sheet Location]],1)&gt;0,FALSE),B269="DI"),"IO","no")</f>
        <v>IO</v>
      </c>
    </row>
    <row r="270" spans="2:4" x14ac:dyDescent="0.25">
      <c r="B270" s="22" t="s">
        <v>2339</v>
      </c>
      <c r="C270" s="22" t="s">
        <v>2350</v>
      </c>
      <c r="D270" t="str">
        <f>+IF(OR(IFERROR(FIND(".IO",Table2[[#This Row],[Sheet Location]],1)&gt;0,FALSE),B270="DI"),"IO","no")</f>
        <v>IO</v>
      </c>
    </row>
    <row r="271" spans="2:4" x14ac:dyDescent="0.25">
      <c r="B271" s="22" t="s">
        <v>2339</v>
      </c>
      <c r="C271" s="22" t="s">
        <v>2351</v>
      </c>
      <c r="D271" t="str">
        <f>+IF(OR(IFERROR(FIND(".IO",Table2[[#This Row],[Sheet Location]],1)&gt;0,FALSE),B271="DI"),"IO","no")</f>
        <v>IO</v>
      </c>
    </row>
    <row r="272" spans="2:4" x14ac:dyDescent="0.25">
      <c r="B272" s="22" t="s">
        <v>2339</v>
      </c>
      <c r="C272" s="22" t="s">
        <v>2352</v>
      </c>
      <c r="D272" t="str">
        <f>+IF(OR(IFERROR(FIND(".IO",Table2[[#This Row],[Sheet Location]],1)&gt;0,FALSE),B272="DI"),"IO","no")</f>
        <v>IO</v>
      </c>
    </row>
    <row r="273" spans="2:4" x14ac:dyDescent="0.25">
      <c r="B273" s="22" t="s">
        <v>2339</v>
      </c>
      <c r="C273" s="22" t="s">
        <v>2353</v>
      </c>
      <c r="D273" t="str">
        <f>+IF(OR(IFERROR(FIND(".IO",Table2[[#This Row],[Sheet Location]],1)&gt;0,FALSE),B273="DI"),"IO","no")</f>
        <v>IO</v>
      </c>
    </row>
    <row r="274" spans="2:4" x14ac:dyDescent="0.25">
      <c r="B274" s="22" t="s">
        <v>2339</v>
      </c>
      <c r="C274" s="22" t="s">
        <v>2354</v>
      </c>
      <c r="D274" t="str">
        <f>+IF(OR(IFERROR(FIND(".IO",Table2[[#This Row],[Sheet Location]],1)&gt;0,FALSE),B274="DI"),"IO","no")</f>
        <v>IO</v>
      </c>
    </row>
    <row r="275" spans="2:4" x14ac:dyDescent="0.25">
      <c r="B275" s="22" t="s">
        <v>2339</v>
      </c>
      <c r="C275" s="22" t="s">
        <v>2355</v>
      </c>
      <c r="D275" t="str">
        <f>+IF(OR(IFERROR(FIND(".IO",Table2[[#This Row],[Sheet Location]],1)&gt;0,FALSE),B275="DI"),"IO","no")</f>
        <v>IO</v>
      </c>
    </row>
    <row r="276" spans="2:4" x14ac:dyDescent="0.25">
      <c r="B276" s="22" t="s">
        <v>2339</v>
      </c>
      <c r="C276" s="22" t="s">
        <v>2356</v>
      </c>
      <c r="D276" t="str">
        <f>+IF(OR(IFERROR(FIND(".IO",Table2[[#This Row],[Sheet Location]],1)&gt;0,FALSE),B276="DI"),"IO","no")</f>
        <v>IO</v>
      </c>
    </row>
    <row r="277" spans="2:4" x14ac:dyDescent="0.25">
      <c r="B277" s="22" t="s">
        <v>2339</v>
      </c>
      <c r="C277" s="22" t="s">
        <v>2357</v>
      </c>
      <c r="D277" t="str">
        <f>+IF(OR(IFERROR(FIND(".IO",Table2[[#This Row],[Sheet Location]],1)&gt;0,FALSE),B277="DI"),"IO","no")</f>
        <v>IO</v>
      </c>
    </row>
    <row r="278" spans="2:4" x14ac:dyDescent="0.25">
      <c r="B278" s="22" t="s">
        <v>2339</v>
      </c>
      <c r="C278" s="22" t="s">
        <v>2358</v>
      </c>
      <c r="D278" t="str">
        <f>+IF(OR(IFERROR(FIND(".IO",Table2[[#This Row],[Sheet Location]],1)&gt;0,FALSE),B278="DI"),"IO","no")</f>
        <v>IO</v>
      </c>
    </row>
    <row r="279" spans="2:4" x14ac:dyDescent="0.25">
      <c r="B279" s="22" t="s">
        <v>2339</v>
      </c>
      <c r="C279" s="22" t="s">
        <v>2359</v>
      </c>
      <c r="D279" t="str">
        <f>+IF(OR(IFERROR(FIND(".IO",Table2[[#This Row],[Sheet Location]],1)&gt;0,FALSE),B279="DI"),"IO","no")</f>
        <v>IO</v>
      </c>
    </row>
    <row r="280" spans="2:4" x14ac:dyDescent="0.25">
      <c r="B280" s="22" t="s">
        <v>2339</v>
      </c>
      <c r="C280" s="22" t="s">
        <v>2360</v>
      </c>
      <c r="D280" t="str">
        <f>+IF(OR(IFERROR(FIND(".IO",Table2[[#This Row],[Sheet Location]],1)&gt;0,FALSE),B280="DI"),"IO","no")</f>
        <v>IO</v>
      </c>
    </row>
    <row r="281" spans="2:4" x14ac:dyDescent="0.25">
      <c r="B281" s="22" t="s">
        <v>2339</v>
      </c>
      <c r="C281" s="22" t="s">
        <v>2361</v>
      </c>
      <c r="D281" t="str">
        <f>+IF(OR(IFERROR(FIND(".IO",Table2[[#This Row],[Sheet Location]],1)&gt;0,FALSE),B281="DI"),"IO","no")</f>
        <v>IO</v>
      </c>
    </row>
    <row r="282" spans="2:4" x14ac:dyDescent="0.25">
      <c r="B282" s="22" t="s">
        <v>2339</v>
      </c>
      <c r="C282" s="22" t="s">
        <v>2362</v>
      </c>
      <c r="D282" t="str">
        <f>+IF(OR(IFERROR(FIND(".IO",Table2[[#This Row],[Sheet Location]],1)&gt;0,FALSE),B282="DI"),"IO","no")</f>
        <v>IO</v>
      </c>
    </row>
    <row r="283" spans="2:4" x14ac:dyDescent="0.25">
      <c r="B283" s="22" t="s">
        <v>2339</v>
      </c>
      <c r="C283" s="22" t="s">
        <v>2363</v>
      </c>
      <c r="D283" t="str">
        <f>+IF(OR(IFERROR(FIND(".IO",Table2[[#This Row],[Sheet Location]],1)&gt;0,FALSE),B283="DI"),"IO","no")</f>
        <v>IO</v>
      </c>
    </row>
    <row r="284" spans="2:4" x14ac:dyDescent="0.25">
      <c r="B284" s="22" t="s">
        <v>2339</v>
      </c>
      <c r="C284" s="22" t="s">
        <v>2364</v>
      </c>
      <c r="D284" t="str">
        <f>+IF(OR(IFERROR(FIND(".IO",Table2[[#This Row],[Sheet Location]],1)&gt;0,FALSE),B284="DI"),"IO","no")</f>
        <v>IO</v>
      </c>
    </row>
    <row r="285" spans="2:4" x14ac:dyDescent="0.25">
      <c r="B285" s="22" t="s">
        <v>2339</v>
      </c>
      <c r="C285" s="22" t="s">
        <v>2365</v>
      </c>
      <c r="D285" t="str">
        <f>+IF(OR(IFERROR(FIND(".IO",Table2[[#This Row],[Sheet Location]],1)&gt;0,FALSE),B285="DI"),"IO","no")</f>
        <v>IO</v>
      </c>
    </row>
    <row r="286" spans="2:4" x14ac:dyDescent="0.25">
      <c r="B286" s="22" t="s">
        <v>2339</v>
      </c>
      <c r="C286" s="22" t="s">
        <v>2366</v>
      </c>
      <c r="D286" t="str">
        <f>+IF(OR(IFERROR(FIND(".IO",Table2[[#This Row],[Sheet Location]],1)&gt;0,FALSE),B286="DI"),"IO","no")</f>
        <v>IO</v>
      </c>
    </row>
    <row r="287" spans="2:4" x14ac:dyDescent="0.25">
      <c r="B287" s="22" t="s">
        <v>2339</v>
      </c>
      <c r="C287" s="22" t="s">
        <v>2367</v>
      </c>
      <c r="D287" t="str">
        <f>+IF(OR(IFERROR(FIND(".IO",Table2[[#This Row],[Sheet Location]],1)&gt;0,FALSE),B287="DI"),"IO","no")</f>
        <v>IO</v>
      </c>
    </row>
    <row r="288" spans="2:4" x14ac:dyDescent="0.25">
      <c r="B288" s="22" t="s">
        <v>2339</v>
      </c>
      <c r="C288" s="22" t="s">
        <v>2368</v>
      </c>
      <c r="D288" t="str">
        <f>+IF(OR(IFERROR(FIND(".IO",Table2[[#This Row],[Sheet Location]],1)&gt;0,FALSE),B288="DI"),"IO","no")</f>
        <v>IO</v>
      </c>
    </row>
    <row r="289" spans="2:4" x14ac:dyDescent="0.25">
      <c r="B289" s="22" t="s">
        <v>2339</v>
      </c>
      <c r="C289" s="22" t="s">
        <v>2369</v>
      </c>
      <c r="D289" t="str">
        <f>+IF(OR(IFERROR(FIND(".IO",Table2[[#This Row],[Sheet Location]],1)&gt;0,FALSE),B289="DI"),"IO","no")</f>
        <v>IO</v>
      </c>
    </row>
    <row r="290" spans="2:4" x14ac:dyDescent="0.25">
      <c r="B290" s="22" t="s">
        <v>2339</v>
      </c>
      <c r="C290" s="22" t="s">
        <v>2370</v>
      </c>
      <c r="D290" t="str">
        <f>+IF(OR(IFERROR(FIND(".IO",Table2[[#This Row],[Sheet Location]],1)&gt;0,FALSE),B290="DI"),"IO","no")</f>
        <v>IO</v>
      </c>
    </row>
    <row r="291" spans="2:4" x14ac:dyDescent="0.25">
      <c r="B291" s="22" t="s">
        <v>2339</v>
      </c>
      <c r="C291" s="22" t="s">
        <v>2371</v>
      </c>
      <c r="D291" t="str">
        <f>+IF(OR(IFERROR(FIND(".IO",Table2[[#This Row],[Sheet Location]],1)&gt;0,FALSE),B291="DI"),"IO","no")</f>
        <v>IO</v>
      </c>
    </row>
    <row r="292" spans="2:4" x14ac:dyDescent="0.25">
      <c r="B292" s="22" t="s">
        <v>2339</v>
      </c>
      <c r="C292" s="22" t="s">
        <v>2372</v>
      </c>
      <c r="D292" t="str">
        <f>+IF(OR(IFERROR(FIND(".IO",Table2[[#This Row],[Sheet Location]],1)&gt;0,FALSE),B292="DI"),"IO","no")</f>
        <v>IO</v>
      </c>
    </row>
    <row r="293" spans="2:4" x14ac:dyDescent="0.25">
      <c r="B293" s="22" t="s">
        <v>2339</v>
      </c>
      <c r="C293" s="22" t="s">
        <v>2373</v>
      </c>
      <c r="D293" t="str">
        <f>+IF(OR(IFERROR(FIND(".IO",Table2[[#This Row],[Sheet Location]],1)&gt;0,FALSE),B293="DI"),"IO","no")</f>
        <v>IO</v>
      </c>
    </row>
    <row r="294" spans="2:4" x14ac:dyDescent="0.25">
      <c r="B294" s="22" t="s">
        <v>2339</v>
      </c>
      <c r="C294" s="22" t="s">
        <v>2374</v>
      </c>
      <c r="D294" t="str">
        <f>+IF(OR(IFERROR(FIND(".IO",Table2[[#This Row],[Sheet Location]],1)&gt;0,FALSE),B294="DI"),"IO","no")</f>
        <v>IO</v>
      </c>
    </row>
    <row r="295" spans="2:4" x14ac:dyDescent="0.25">
      <c r="B295" s="22" t="s">
        <v>2339</v>
      </c>
      <c r="C295" s="22" t="s">
        <v>2375</v>
      </c>
      <c r="D295" t="str">
        <f>+IF(OR(IFERROR(FIND(".IO",Table2[[#This Row],[Sheet Location]],1)&gt;0,FALSE),B295="DI"),"IO","no")</f>
        <v>IO</v>
      </c>
    </row>
    <row r="296" spans="2:4" x14ac:dyDescent="0.25">
      <c r="B296" s="22" t="s">
        <v>2339</v>
      </c>
      <c r="C296" s="22" t="s">
        <v>2376</v>
      </c>
      <c r="D296" t="str">
        <f>+IF(OR(IFERROR(FIND(".IO",Table2[[#This Row],[Sheet Location]],1)&gt;0,FALSE),B296="DI"),"IO","no")</f>
        <v>IO</v>
      </c>
    </row>
    <row r="297" spans="2:4" x14ac:dyDescent="0.25">
      <c r="B297" s="22" t="s">
        <v>2339</v>
      </c>
      <c r="C297" s="22" t="s">
        <v>2377</v>
      </c>
      <c r="D297" t="str">
        <f>+IF(OR(IFERROR(FIND(".IO",Table2[[#This Row],[Sheet Location]],1)&gt;0,FALSE),B297="DI"),"IO","no")</f>
        <v>IO</v>
      </c>
    </row>
    <row r="298" spans="2:4" x14ac:dyDescent="0.25">
      <c r="B298" s="22" t="s">
        <v>2339</v>
      </c>
      <c r="C298" s="22" t="s">
        <v>2378</v>
      </c>
      <c r="D298" t="str">
        <f>+IF(OR(IFERROR(FIND(".IO",Table2[[#This Row],[Sheet Location]],1)&gt;0,FALSE),B298="DI"),"IO","no")</f>
        <v>IO</v>
      </c>
    </row>
    <row r="299" spans="2:4" x14ac:dyDescent="0.25">
      <c r="B299" s="22" t="s">
        <v>2339</v>
      </c>
      <c r="C299" s="22" t="s">
        <v>2379</v>
      </c>
      <c r="D299" t="str">
        <f>+IF(OR(IFERROR(FIND(".IO",Table2[[#This Row],[Sheet Location]],1)&gt;0,FALSE),B299="DI"),"IO","no")</f>
        <v>IO</v>
      </c>
    </row>
    <row r="300" spans="2:4" x14ac:dyDescent="0.25">
      <c r="B300" s="22" t="s">
        <v>2339</v>
      </c>
      <c r="C300" s="22" t="s">
        <v>2380</v>
      </c>
      <c r="D300" t="str">
        <f>+IF(OR(IFERROR(FIND(".IO",Table2[[#This Row],[Sheet Location]],1)&gt;0,FALSE),B300="DI"),"IO","no")</f>
        <v>IO</v>
      </c>
    </row>
    <row r="301" spans="2:4" x14ac:dyDescent="0.25">
      <c r="B301" s="22" t="s">
        <v>2339</v>
      </c>
      <c r="C301" s="22" t="s">
        <v>2381</v>
      </c>
      <c r="D301" t="str">
        <f>+IF(OR(IFERROR(FIND(".IO",Table2[[#This Row],[Sheet Location]],1)&gt;0,FALSE),B301="DI"),"IO","no")</f>
        <v>IO</v>
      </c>
    </row>
    <row r="302" spans="2:4" x14ac:dyDescent="0.25">
      <c r="B302" s="22" t="s">
        <v>2339</v>
      </c>
      <c r="C302" s="22" t="s">
        <v>2382</v>
      </c>
      <c r="D302" t="str">
        <f>+IF(OR(IFERROR(FIND(".IO",Table2[[#This Row],[Sheet Location]],1)&gt;0,FALSE),B302="DI"),"IO","no")</f>
        <v>IO</v>
      </c>
    </row>
    <row r="303" spans="2:4" x14ac:dyDescent="0.25">
      <c r="B303" s="22" t="s">
        <v>2339</v>
      </c>
      <c r="C303" s="22" t="s">
        <v>2383</v>
      </c>
      <c r="D303" t="str">
        <f>+IF(OR(IFERROR(FIND(".IO",Table2[[#This Row],[Sheet Location]],1)&gt;0,FALSE),B303="DI"),"IO","no")</f>
        <v>IO</v>
      </c>
    </row>
    <row r="304" spans="2:4" x14ac:dyDescent="0.25">
      <c r="B304" s="22" t="s">
        <v>2339</v>
      </c>
      <c r="C304" s="22" t="s">
        <v>2384</v>
      </c>
      <c r="D304" t="str">
        <f>+IF(OR(IFERROR(FIND(".IO",Table2[[#This Row],[Sheet Location]],1)&gt;0,FALSE),B304="DI"),"IO","no")</f>
        <v>IO</v>
      </c>
    </row>
    <row r="305" spans="2:4" x14ac:dyDescent="0.25">
      <c r="B305" s="22" t="s">
        <v>2339</v>
      </c>
      <c r="C305" s="22" t="s">
        <v>2385</v>
      </c>
      <c r="D305" t="str">
        <f>+IF(OR(IFERROR(FIND(".IO",Table2[[#This Row],[Sheet Location]],1)&gt;0,FALSE),B305="DI"),"IO","no")</f>
        <v>IO</v>
      </c>
    </row>
    <row r="306" spans="2:4" x14ac:dyDescent="0.25">
      <c r="B306" s="22" t="s">
        <v>2339</v>
      </c>
      <c r="C306" s="22" t="s">
        <v>2386</v>
      </c>
      <c r="D306" t="str">
        <f>+IF(OR(IFERROR(FIND(".IO",Table2[[#This Row],[Sheet Location]],1)&gt;0,FALSE),B306="DI"),"IO","no")</f>
        <v>IO</v>
      </c>
    </row>
    <row r="307" spans="2:4" x14ac:dyDescent="0.25">
      <c r="B307" s="22" t="s">
        <v>2339</v>
      </c>
      <c r="C307" s="22" t="s">
        <v>2387</v>
      </c>
      <c r="D307" t="str">
        <f>+IF(OR(IFERROR(FIND(".IO",Table2[[#This Row],[Sheet Location]],1)&gt;0,FALSE),B307="DI"),"IO","no")</f>
        <v>IO</v>
      </c>
    </row>
    <row r="308" spans="2:4" x14ac:dyDescent="0.25">
      <c r="B308" s="22" t="s">
        <v>2339</v>
      </c>
      <c r="C308" s="22" t="s">
        <v>2388</v>
      </c>
      <c r="D308" t="str">
        <f>+IF(OR(IFERROR(FIND(".IO",Table2[[#This Row],[Sheet Location]],1)&gt;0,FALSE),B308="DI"),"IO","no")</f>
        <v>IO</v>
      </c>
    </row>
    <row r="309" spans="2:4" x14ac:dyDescent="0.25">
      <c r="B309" s="22" t="s">
        <v>2339</v>
      </c>
      <c r="C309" s="22" t="s">
        <v>2389</v>
      </c>
      <c r="D309" t="str">
        <f>+IF(OR(IFERROR(FIND(".IO",Table2[[#This Row],[Sheet Location]],1)&gt;0,FALSE),B309="DI"),"IO","no")</f>
        <v>IO</v>
      </c>
    </row>
    <row r="310" spans="2:4" x14ac:dyDescent="0.25">
      <c r="B310" s="22" t="s">
        <v>2339</v>
      </c>
      <c r="C310" s="22" t="s">
        <v>2390</v>
      </c>
      <c r="D310" t="str">
        <f>+IF(OR(IFERROR(FIND(".IO",Table2[[#This Row],[Sheet Location]],1)&gt;0,FALSE),B310="DI"),"IO","no")</f>
        <v>IO</v>
      </c>
    </row>
    <row r="311" spans="2:4" x14ac:dyDescent="0.25">
      <c r="B311" s="22" t="s">
        <v>2339</v>
      </c>
      <c r="C311" s="22" t="s">
        <v>2391</v>
      </c>
      <c r="D311" t="str">
        <f>+IF(OR(IFERROR(FIND(".IO",Table2[[#This Row],[Sheet Location]],1)&gt;0,FALSE),B311="DI"),"IO","no")</f>
        <v>IO</v>
      </c>
    </row>
    <row r="312" spans="2:4" x14ac:dyDescent="0.25">
      <c r="B312" s="22" t="s">
        <v>2339</v>
      </c>
      <c r="C312" s="22" t="s">
        <v>2392</v>
      </c>
      <c r="D312" t="str">
        <f>+IF(OR(IFERROR(FIND(".IO",Table2[[#This Row],[Sheet Location]],1)&gt;0,FALSE),B312="DI"),"IO","no")</f>
        <v>IO</v>
      </c>
    </row>
    <row r="313" spans="2:4" x14ac:dyDescent="0.25">
      <c r="B313" s="22" t="s">
        <v>2339</v>
      </c>
      <c r="C313" s="22" t="s">
        <v>2393</v>
      </c>
      <c r="D313" t="str">
        <f>+IF(OR(IFERROR(FIND(".IO",Table2[[#This Row],[Sheet Location]],1)&gt;0,FALSE),B313="DI"),"IO","no")</f>
        <v>IO</v>
      </c>
    </row>
    <row r="314" spans="2:4" x14ac:dyDescent="0.25">
      <c r="B314" s="22" t="s">
        <v>2339</v>
      </c>
      <c r="C314" s="22" t="s">
        <v>2394</v>
      </c>
      <c r="D314" t="str">
        <f>+IF(OR(IFERROR(FIND(".IO",Table2[[#This Row],[Sheet Location]],1)&gt;0,FALSE),B314="DI"),"IO","no")</f>
        <v>IO</v>
      </c>
    </row>
    <row r="315" spans="2:4" x14ac:dyDescent="0.25">
      <c r="B315" s="22" t="s">
        <v>2339</v>
      </c>
      <c r="C315" s="22" t="s">
        <v>2395</v>
      </c>
      <c r="D315" t="str">
        <f>+IF(OR(IFERROR(FIND(".IO",Table2[[#This Row],[Sheet Location]],1)&gt;0,FALSE),B315="DI"),"IO","no")</f>
        <v>IO</v>
      </c>
    </row>
    <row r="316" spans="2:4" x14ac:dyDescent="0.25">
      <c r="B316" s="22" t="s">
        <v>2339</v>
      </c>
      <c r="C316" s="22" t="s">
        <v>2396</v>
      </c>
      <c r="D316" t="str">
        <f>+IF(OR(IFERROR(FIND(".IO",Table2[[#This Row],[Sheet Location]],1)&gt;0,FALSE),B316="DI"),"IO","no")</f>
        <v>IO</v>
      </c>
    </row>
    <row r="317" spans="2:4" x14ac:dyDescent="0.25">
      <c r="B317" s="22" t="s">
        <v>2339</v>
      </c>
      <c r="C317" s="22" t="s">
        <v>2397</v>
      </c>
      <c r="D317" t="str">
        <f>+IF(OR(IFERROR(FIND(".IO",Table2[[#This Row],[Sheet Location]],1)&gt;0,FALSE),B317="DI"),"IO","no")</f>
        <v>IO</v>
      </c>
    </row>
    <row r="318" spans="2:4" x14ac:dyDescent="0.25">
      <c r="B318" s="22" t="s">
        <v>2339</v>
      </c>
      <c r="C318" s="22" t="s">
        <v>2398</v>
      </c>
      <c r="D318" t="str">
        <f>+IF(OR(IFERROR(FIND(".IO",Table2[[#This Row],[Sheet Location]],1)&gt;0,FALSE),B318="DI"),"IO","no")</f>
        <v>IO</v>
      </c>
    </row>
    <row r="319" spans="2:4" x14ac:dyDescent="0.25">
      <c r="B319" s="22" t="s">
        <v>2339</v>
      </c>
      <c r="C319" s="22" t="s">
        <v>2399</v>
      </c>
      <c r="D319" t="str">
        <f>+IF(OR(IFERROR(FIND(".IO",Table2[[#This Row],[Sheet Location]],1)&gt;0,FALSE),B319="DI"),"IO","no")</f>
        <v>IO</v>
      </c>
    </row>
    <row r="320" spans="2:4" x14ac:dyDescent="0.25">
      <c r="B320" s="22" t="s">
        <v>2339</v>
      </c>
      <c r="C320" s="22" t="s">
        <v>2400</v>
      </c>
      <c r="D320" t="str">
        <f>+IF(OR(IFERROR(FIND(".IO",Table2[[#This Row],[Sheet Location]],1)&gt;0,FALSE),B320="DI"),"IO","no")</f>
        <v>IO</v>
      </c>
    </row>
    <row r="321" spans="2:4" x14ac:dyDescent="0.25">
      <c r="B321" s="22" t="s">
        <v>2339</v>
      </c>
      <c r="C321" s="22" t="s">
        <v>2401</v>
      </c>
      <c r="D321" t="str">
        <f>+IF(OR(IFERROR(FIND(".IO",Table2[[#This Row],[Sheet Location]],1)&gt;0,FALSE),B321="DI"),"IO","no")</f>
        <v>IO</v>
      </c>
    </row>
    <row r="322" spans="2:4" x14ac:dyDescent="0.25">
      <c r="B322" s="22" t="s">
        <v>2339</v>
      </c>
      <c r="C322" s="22" t="s">
        <v>2402</v>
      </c>
      <c r="D322" t="str">
        <f>+IF(OR(IFERROR(FIND(".IO",Table2[[#This Row],[Sheet Location]],1)&gt;0,FALSE),B322="DI"),"IO","no")</f>
        <v>IO</v>
      </c>
    </row>
    <row r="323" spans="2:4" x14ac:dyDescent="0.25">
      <c r="B323" s="22" t="s">
        <v>2339</v>
      </c>
      <c r="C323" s="22" t="s">
        <v>2403</v>
      </c>
      <c r="D323" t="str">
        <f>+IF(OR(IFERROR(FIND(".IO",Table2[[#This Row],[Sheet Location]],1)&gt;0,FALSE),B323="DI"),"IO","no")</f>
        <v>IO</v>
      </c>
    </row>
    <row r="324" spans="2:4" x14ac:dyDescent="0.25">
      <c r="B324" s="22" t="s">
        <v>2339</v>
      </c>
      <c r="C324" s="22" t="s">
        <v>2404</v>
      </c>
      <c r="D324" t="str">
        <f>+IF(OR(IFERROR(FIND(".IO",Table2[[#This Row],[Sheet Location]],1)&gt;0,FALSE),B324="DI"),"IO","no")</f>
        <v>IO</v>
      </c>
    </row>
    <row r="325" spans="2:4" x14ac:dyDescent="0.25">
      <c r="B325" s="22" t="s">
        <v>2339</v>
      </c>
      <c r="C325" s="22" t="s">
        <v>2405</v>
      </c>
      <c r="D325" t="str">
        <f>+IF(OR(IFERROR(FIND(".IO",Table2[[#This Row],[Sheet Location]],1)&gt;0,FALSE),B325="DI"),"IO","no")</f>
        <v>IO</v>
      </c>
    </row>
    <row r="326" spans="2:4" x14ac:dyDescent="0.25">
      <c r="B326" s="22" t="s">
        <v>2339</v>
      </c>
      <c r="C326" s="22" t="s">
        <v>2406</v>
      </c>
      <c r="D326" t="str">
        <f>+IF(OR(IFERROR(FIND(".IO",Table2[[#This Row],[Sheet Location]],1)&gt;0,FALSE),B326="DI"),"IO","no")</f>
        <v>IO</v>
      </c>
    </row>
    <row r="327" spans="2:4" x14ac:dyDescent="0.25">
      <c r="B327" s="22" t="s">
        <v>2339</v>
      </c>
      <c r="C327" s="22" t="s">
        <v>2407</v>
      </c>
      <c r="D327" t="str">
        <f>+IF(OR(IFERROR(FIND(".IO",Table2[[#This Row],[Sheet Location]],1)&gt;0,FALSE),B327="DI"),"IO","no")</f>
        <v>IO</v>
      </c>
    </row>
    <row r="328" spans="2:4" x14ac:dyDescent="0.25">
      <c r="B328" s="22" t="s">
        <v>2339</v>
      </c>
      <c r="C328" s="22" t="s">
        <v>2408</v>
      </c>
      <c r="D328" t="str">
        <f>+IF(OR(IFERROR(FIND(".IO",Table2[[#This Row],[Sheet Location]],1)&gt;0,FALSE),B328="DI"),"IO","no")</f>
        <v>IO</v>
      </c>
    </row>
    <row r="329" spans="2:4" x14ac:dyDescent="0.25">
      <c r="B329" s="22" t="s">
        <v>2339</v>
      </c>
      <c r="C329" s="22" t="s">
        <v>2409</v>
      </c>
      <c r="D329" t="str">
        <f>+IF(OR(IFERROR(FIND(".IO",Table2[[#This Row],[Sheet Location]],1)&gt;0,FALSE),B329="DI"),"IO","no")</f>
        <v>IO</v>
      </c>
    </row>
    <row r="330" spans="2:4" x14ac:dyDescent="0.25">
      <c r="B330" s="22" t="s">
        <v>2339</v>
      </c>
      <c r="C330" s="22" t="s">
        <v>2410</v>
      </c>
      <c r="D330" t="str">
        <f>+IF(OR(IFERROR(FIND(".IO",Table2[[#This Row],[Sheet Location]],1)&gt;0,FALSE),B330="DI"),"IO","no")</f>
        <v>IO</v>
      </c>
    </row>
    <row r="331" spans="2:4" x14ac:dyDescent="0.25">
      <c r="B331" s="22" t="s">
        <v>2339</v>
      </c>
      <c r="C331" s="22" t="s">
        <v>2411</v>
      </c>
      <c r="D331" t="str">
        <f>+IF(OR(IFERROR(FIND(".IO",Table2[[#This Row],[Sheet Location]],1)&gt;0,FALSE),B331="DI"),"IO","no")</f>
        <v>IO</v>
      </c>
    </row>
    <row r="332" spans="2:4" x14ac:dyDescent="0.25">
      <c r="B332" s="22" t="s">
        <v>2339</v>
      </c>
      <c r="C332" s="22" t="s">
        <v>2412</v>
      </c>
      <c r="D332" t="str">
        <f>+IF(OR(IFERROR(FIND(".IO",Table2[[#This Row],[Sheet Location]],1)&gt;0,FALSE),B332="DI"),"IO","no")</f>
        <v>IO</v>
      </c>
    </row>
    <row r="333" spans="2:4" x14ac:dyDescent="0.25">
      <c r="B333" s="22" t="s">
        <v>2339</v>
      </c>
      <c r="C333" s="22" t="s">
        <v>2413</v>
      </c>
      <c r="D333" t="str">
        <f>+IF(OR(IFERROR(FIND(".IO",Table2[[#This Row],[Sheet Location]],1)&gt;0,FALSE),B333="DI"),"IO","no")</f>
        <v>IO</v>
      </c>
    </row>
    <row r="334" spans="2:4" x14ac:dyDescent="0.25">
      <c r="B334" s="22" t="s">
        <v>2339</v>
      </c>
      <c r="C334" s="22" t="s">
        <v>2414</v>
      </c>
      <c r="D334" t="str">
        <f>+IF(OR(IFERROR(FIND(".IO",Table2[[#This Row],[Sheet Location]],1)&gt;0,FALSE),B334="DI"),"IO","no")</f>
        <v>IO</v>
      </c>
    </row>
    <row r="335" spans="2:4" x14ac:dyDescent="0.25">
      <c r="B335" s="22" t="s">
        <v>2339</v>
      </c>
      <c r="C335" s="22" t="s">
        <v>2415</v>
      </c>
      <c r="D335" t="str">
        <f>+IF(OR(IFERROR(FIND(".IO",Table2[[#This Row],[Sheet Location]],1)&gt;0,FALSE),B335="DI"),"IO","no")</f>
        <v>IO</v>
      </c>
    </row>
    <row r="336" spans="2:4" x14ac:dyDescent="0.25">
      <c r="B336" s="22" t="s">
        <v>2339</v>
      </c>
      <c r="C336" s="22" t="s">
        <v>2416</v>
      </c>
      <c r="D336" t="str">
        <f>+IF(OR(IFERROR(FIND(".IO",Table2[[#This Row],[Sheet Location]],1)&gt;0,FALSE),B336="DI"),"IO","no")</f>
        <v>IO</v>
      </c>
    </row>
    <row r="337" spans="2:4" x14ac:dyDescent="0.25">
      <c r="B337" s="22" t="s">
        <v>2339</v>
      </c>
      <c r="C337" s="22" t="s">
        <v>2417</v>
      </c>
      <c r="D337" t="str">
        <f>+IF(OR(IFERROR(FIND(".IO",Table2[[#This Row],[Sheet Location]],1)&gt;0,FALSE),B337="DI"),"IO","no")</f>
        <v>IO</v>
      </c>
    </row>
    <row r="338" spans="2:4" x14ac:dyDescent="0.25">
      <c r="B338" s="22" t="s">
        <v>2339</v>
      </c>
      <c r="C338" s="22" t="s">
        <v>2418</v>
      </c>
      <c r="D338" t="str">
        <f>+IF(OR(IFERROR(FIND(".IO",Table2[[#This Row],[Sheet Location]],1)&gt;0,FALSE),B338="DI"),"IO","no")</f>
        <v>IO</v>
      </c>
    </row>
    <row r="339" spans="2:4" x14ac:dyDescent="0.25">
      <c r="B339" s="22" t="s">
        <v>2339</v>
      </c>
      <c r="C339" s="22" t="s">
        <v>2419</v>
      </c>
      <c r="D339" t="str">
        <f>+IF(OR(IFERROR(FIND(".IO",Table2[[#This Row],[Sheet Location]],1)&gt;0,FALSE),B339="DI"),"IO","no")</f>
        <v>IO</v>
      </c>
    </row>
    <row r="340" spans="2:4" x14ac:dyDescent="0.25">
      <c r="B340" s="22" t="s">
        <v>2339</v>
      </c>
      <c r="C340" s="22" t="s">
        <v>2420</v>
      </c>
      <c r="D340" t="str">
        <f>+IF(OR(IFERROR(FIND(".IO",Table2[[#This Row],[Sheet Location]],1)&gt;0,FALSE),B340="DI"),"IO","no")</f>
        <v>IO</v>
      </c>
    </row>
    <row r="341" spans="2:4" x14ac:dyDescent="0.25">
      <c r="B341" s="22" t="s">
        <v>2339</v>
      </c>
      <c r="C341" s="22" t="s">
        <v>2421</v>
      </c>
      <c r="D341" t="str">
        <f>+IF(OR(IFERROR(FIND(".IO",Table2[[#This Row],[Sheet Location]],1)&gt;0,FALSE),B341="DI"),"IO","no")</f>
        <v>IO</v>
      </c>
    </row>
    <row r="342" spans="2:4" x14ac:dyDescent="0.25">
      <c r="B342" s="22" t="s">
        <v>2339</v>
      </c>
      <c r="C342" s="22" t="s">
        <v>2422</v>
      </c>
      <c r="D342" t="str">
        <f>+IF(OR(IFERROR(FIND(".IO",Table2[[#This Row],[Sheet Location]],1)&gt;0,FALSE),B342="DI"),"IO","no")</f>
        <v>IO</v>
      </c>
    </row>
    <row r="343" spans="2:4" x14ac:dyDescent="0.25">
      <c r="B343" s="22" t="s">
        <v>2339</v>
      </c>
      <c r="C343" s="22" t="s">
        <v>2423</v>
      </c>
      <c r="D343" t="str">
        <f>+IF(OR(IFERROR(FIND(".IO",Table2[[#This Row],[Sheet Location]],1)&gt;0,FALSE),B343="DI"),"IO","no")</f>
        <v>IO</v>
      </c>
    </row>
    <row r="344" spans="2:4" x14ac:dyDescent="0.25">
      <c r="B344" s="22" t="s">
        <v>2339</v>
      </c>
      <c r="C344" s="22" t="s">
        <v>2424</v>
      </c>
      <c r="D344" t="str">
        <f>+IF(OR(IFERROR(FIND(".IO",Table2[[#This Row],[Sheet Location]],1)&gt;0,FALSE),B344="DI"),"IO","no")</f>
        <v>IO</v>
      </c>
    </row>
    <row r="345" spans="2:4" x14ac:dyDescent="0.25">
      <c r="B345" s="22" t="s">
        <v>2339</v>
      </c>
      <c r="C345" s="22" t="s">
        <v>2425</v>
      </c>
      <c r="D345" t="str">
        <f>+IF(OR(IFERROR(FIND(".IO",Table2[[#This Row],[Sheet Location]],1)&gt;0,FALSE),B345="DI"),"IO","no")</f>
        <v>IO</v>
      </c>
    </row>
    <row r="346" spans="2:4" x14ac:dyDescent="0.25">
      <c r="B346" s="22" t="s">
        <v>2339</v>
      </c>
      <c r="C346" s="22" t="s">
        <v>2426</v>
      </c>
      <c r="D346" t="str">
        <f>+IF(OR(IFERROR(FIND(".IO",Table2[[#This Row],[Sheet Location]],1)&gt;0,FALSE),B346="DI"),"IO","no")</f>
        <v>IO</v>
      </c>
    </row>
    <row r="347" spans="2:4" x14ac:dyDescent="0.25">
      <c r="B347" s="22" t="s">
        <v>2339</v>
      </c>
      <c r="C347" s="22" t="s">
        <v>2427</v>
      </c>
      <c r="D347" t="str">
        <f>+IF(OR(IFERROR(FIND(".IO",Table2[[#This Row],[Sheet Location]],1)&gt;0,FALSE),B347="DI"),"IO","no")</f>
        <v>IO</v>
      </c>
    </row>
    <row r="348" spans="2:4" x14ac:dyDescent="0.25">
      <c r="B348" s="22" t="s">
        <v>2339</v>
      </c>
      <c r="C348" s="22" t="s">
        <v>2428</v>
      </c>
      <c r="D348" t="str">
        <f>+IF(OR(IFERROR(FIND(".IO",Table2[[#This Row],[Sheet Location]],1)&gt;0,FALSE),B348="DI"),"IO","no")</f>
        <v>IO</v>
      </c>
    </row>
    <row r="349" spans="2:4" x14ac:dyDescent="0.25">
      <c r="B349" s="22" t="s">
        <v>2339</v>
      </c>
      <c r="C349" s="22" t="s">
        <v>2429</v>
      </c>
      <c r="D349" t="str">
        <f>+IF(OR(IFERROR(FIND(".IO",Table2[[#This Row],[Sheet Location]],1)&gt;0,FALSE),B349="DI"),"IO","no")</f>
        <v>IO</v>
      </c>
    </row>
    <row r="350" spans="2:4" x14ac:dyDescent="0.25">
      <c r="B350" s="22" t="s">
        <v>2339</v>
      </c>
      <c r="C350" s="22" t="s">
        <v>2430</v>
      </c>
      <c r="D350" t="str">
        <f>+IF(OR(IFERROR(FIND(".IO",Table2[[#This Row],[Sheet Location]],1)&gt;0,FALSE),B350="DI"),"IO","no")</f>
        <v>IO</v>
      </c>
    </row>
    <row r="351" spans="2:4" x14ac:dyDescent="0.25">
      <c r="B351" s="22" t="s">
        <v>2339</v>
      </c>
      <c r="C351" s="22" t="s">
        <v>2431</v>
      </c>
      <c r="D351" t="str">
        <f>+IF(OR(IFERROR(FIND(".IO",Table2[[#This Row],[Sheet Location]],1)&gt;0,FALSE),B351="DI"),"IO","no")</f>
        <v>IO</v>
      </c>
    </row>
    <row r="352" spans="2:4" x14ac:dyDescent="0.25">
      <c r="B352" s="22" t="s">
        <v>2339</v>
      </c>
      <c r="C352" s="22" t="s">
        <v>2432</v>
      </c>
      <c r="D352" t="str">
        <f>+IF(OR(IFERROR(FIND(".IO",Table2[[#This Row],[Sheet Location]],1)&gt;0,FALSE),B352="DI"),"IO","no")</f>
        <v>IO</v>
      </c>
    </row>
    <row r="353" spans="2:4" x14ac:dyDescent="0.25">
      <c r="B353" s="22" t="s">
        <v>2339</v>
      </c>
      <c r="C353" s="22" t="s">
        <v>2433</v>
      </c>
      <c r="D353" t="str">
        <f>+IF(OR(IFERROR(FIND(".IO",Table2[[#This Row],[Sheet Location]],1)&gt;0,FALSE),B353="DI"),"IO","no")</f>
        <v>IO</v>
      </c>
    </row>
    <row r="354" spans="2:4" x14ac:dyDescent="0.25">
      <c r="B354" s="22" t="s">
        <v>2339</v>
      </c>
      <c r="C354" s="22" t="s">
        <v>2434</v>
      </c>
      <c r="D354" t="str">
        <f>+IF(OR(IFERROR(FIND(".IO",Table2[[#This Row],[Sheet Location]],1)&gt;0,FALSE),B354="DI"),"IO","no")</f>
        <v>IO</v>
      </c>
    </row>
    <row r="355" spans="2:4" x14ac:dyDescent="0.25">
      <c r="B355" s="22" t="s">
        <v>2339</v>
      </c>
      <c r="C355" s="22" t="s">
        <v>2435</v>
      </c>
      <c r="D355" t="str">
        <f>+IF(OR(IFERROR(FIND(".IO",Table2[[#This Row],[Sheet Location]],1)&gt;0,FALSE),B355="DI"),"IO","no")</f>
        <v>IO</v>
      </c>
    </row>
    <row r="356" spans="2:4" x14ac:dyDescent="0.25">
      <c r="B356" s="22" t="s">
        <v>2339</v>
      </c>
      <c r="C356" s="22" t="s">
        <v>2436</v>
      </c>
      <c r="D356" t="str">
        <f>+IF(OR(IFERROR(FIND(".IO",Table2[[#This Row],[Sheet Location]],1)&gt;0,FALSE),B356="DI"),"IO","no")</f>
        <v>IO</v>
      </c>
    </row>
    <row r="357" spans="2:4" x14ac:dyDescent="0.25">
      <c r="B357" s="22" t="s">
        <v>2339</v>
      </c>
      <c r="C357" s="22" t="s">
        <v>2437</v>
      </c>
      <c r="D357" t="str">
        <f>+IF(OR(IFERROR(FIND(".IO",Table2[[#This Row],[Sheet Location]],1)&gt;0,FALSE),B357="DI"),"IO","no")</f>
        <v>IO</v>
      </c>
    </row>
    <row r="358" spans="2:4" x14ac:dyDescent="0.25">
      <c r="B358" s="22" t="s">
        <v>2339</v>
      </c>
      <c r="C358" s="22" t="s">
        <v>2438</v>
      </c>
      <c r="D358" t="str">
        <f>+IF(OR(IFERROR(FIND(".IO",Table2[[#This Row],[Sheet Location]],1)&gt;0,FALSE),B358="DI"),"IO","no")</f>
        <v>IO</v>
      </c>
    </row>
    <row r="359" spans="2:4" x14ac:dyDescent="0.25">
      <c r="B359" s="22" t="s">
        <v>2339</v>
      </c>
      <c r="C359" s="22" t="s">
        <v>2439</v>
      </c>
      <c r="D359" t="str">
        <f>+IF(OR(IFERROR(FIND(".IO",Table2[[#This Row],[Sheet Location]],1)&gt;0,FALSE),B359="DI"),"IO","no")</f>
        <v>IO</v>
      </c>
    </row>
    <row r="360" spans="2:4" x14ac:dyDescent="0.25">
      <c r="B360" s="22" t="s">
        <v>2339</v>
      </c>
      <c r="C360" s="22" t="s">
        <v>2440</v>
      </c>
      <c r="D360" t="str">
        <f>+IF(OR(IFERROR(FIND(".IO",Table2[[#This Row],[Sheet Location]],1)&gt;0,FALSE),B360="DI"),"IO","no")</f>
        <v>IO</v>
      </c>
    </row>
    <row r="361" spans="2:4" x14ac:dyDescent="0.25">
      <c r="B361" s="22" t="s">
        <v>2339</v>
      </c>
      <c r="C361" s="22" t="s">
        <v>2441</v>
      </c>
      <c r="D361" t="str">
        <f>+IF(OR(IFERROR(FIND(".IO",Table2[[#This Row],[Sheet Location]],1)&gt;0,FALSE),B361="DI"),"IO","no")</f>
        <v>IO</v>
      </c>
    </row>
    <row r="362" spans="2:4" x14ac:dyDescent="0.25">
      <c r="B362" s="22" t="s">
        <v>2339</v>
      </c>
      <c r="C362" s="22" t="s">
        <v>2442</v>
      </c>
      <c r="D362" t="str">
        <f>+IF(OR(IFERROR(FIND(".IO",Table2[[#This Row],[Sheet Location]],1)&gt;0,FALSE),B362="DI"),"IO","no")</f>
        <v>IO</v>
      </c>
    </row>
    <row r="363" spans="2:4" x14ac:dyDescent="0.25">
      <c r="B363" s="22" t="s">
        <v>2339</v>
      </c>
      <c r="C363" s="22" t="s">
        <v>2443</v>
      </c>
      <c r="D363" t="str">
        <f>+IF(OR(IFERROR(FIND(".IO",Table2[[#This Row],[Sheet Location]],1)&gt;0,FALSE),B363="DI"),"IO","no")</f>
        <v>IO</v>
      </c>
    </row>
    <row r="364" spans="2:4" x14ac:dyDescent="0.25">
      <c r="B364" s="22" t="s">
        <v>2339</v>
      </c>
      <c r="C364" s="22" t="s">
        <v>2444</v>
      </c>
      <c r="D364" t="str">
        <f>+IF(OR(IFERROR(FIND(".IO",Table2[[#This Row],[Sheet Location]],1)&gt;0,FALSE),B364="DI"),"IO","no")</f>
        <v>IO</v>
      </c>
    </row>
    <row r="365" spans="2:4" x14ac:dyDescent="0.25">
      <c r="B365" s="22" t="s">
        <v>2339</v>
      </c>
      <c r="C365" s="22" t="s">
        <v>2445</v>
      </c>
      <c r="D365" t="str">
        <f>+IF(OR(IFERROR(FIND(".IO",Table2[[#This Row],[Sheet Location]],1)&gt;0,FALSE),B365="DI"),"IO","no")</f>
        <v>IO</v>
      </c>
    </row>
    <row r="366" spans="2:4" x14ac:dyDescent="0.25">
      <c r="B366" s="22" t="s">
        <v>2446</v>
      </c>
      <c r="C366" s="22" t="s">
        <v>2447</v>
      </c>
      <c r="D366" t="str">
        <f>+IF(OR(IFERROR(FIND(".IO",Table2[[#This Row],[Sheet Location]],1)&gt;0,FALSE),B366="DI"),"IO","no")</f>
        <v>no</v>
      </c>
    </row>
    <row r="367" spans="2:4" x14ac:dyDescent="0.25">
      <c r="B367" s="22" t="s">
        <v>2446</v>
      </c>
      <c r="C367" s="22" t="s">
        <v>2448</v>
      </c>
      <c r="D367" t="str">
        <f>+IF(OR(IFERROR(FIND(".IO",Table2[[#This Row],[Sheet Location]],1)&gt;0,FALSE),B367="DI"),"IO","no")</f>
        <v>no</v>
      </c>
    </row>
    <row r="368" spans="2:4" x14ac:dyDescent="0.25">
      <c r="B368" s="22" t="s">
        <v>2446</v>
      </c>
      <c r="C368" s="22" t="s">
        <v>2449</v>
      </c>
      <c r="D368" t="str">
        <f>+IF(OR(IFERROR(FIND(".IO",Table2[[#This Row],[Sheet Location]],1)&gt;0,FALSE),B368="DI"),"IO","no")</f>
        <v>no</v>
      </c>
    </row>
    <row r="369" spans="2:4" x14ac:dyDescent="0.25">
      <c r="B369" s="22" t="s">
        <v>2446</v>
      </c>
      <c r="C369" s="22" t="s">
        <v>2450</v>
      </c>
      <c r="D369" t="str">
        <f>+IF(OR(IFERROR(FIND(".IO",Table2[[#This Row],[Sheet Location]],1)&gt;0,FALSE),B369="DI"),"IO","no")</f>
        <v>no</v>
      </c>
    </row>
    <row r="370" spans="2:4" x14ac:dyDescent="0.25">
      <c r="B370" s="22" t="s">
        <v>2446</v>
      </c>
      <c r="C370" s="22" t="s">
        <v>2451</v>
      </c>
      <c r="D370" t="str">
        <f>+IF(OR(IFERROR(FIND(".IO",Table2[[#This Row],[Sheet Location]],1)&gt;0,FALSE),B370="DI"),"IO","no")</f>
        <v>no</v>
      </c>
    </row>
    <row r="371" spans="2:4" x14ac:dyDescent="0.25">
      <c r="B371" s="22" t="s">
        <v>2446</v>
      </c>
      <c r="C371" s="22" t="s">
        <v>2452</v>
      </c>
      <c r="D371" t="str">
        <f>+IF(OR(IFERROR(FIND(".IO",Table2[[#This Row],[Sheet Location]],1)&gt;0,FALSE),B371="DI"),"IO","no")</f>
        <v>no</v>
      </c>
    </row>
    <row r="372" spans="2:4" x14ac:dyDescent="0.25">
      <c r="B372" s="22" t="s">
        <v>2446</v>
      </c>
      <c r="C372" s="22" t="s">
        <v>2453</v>
      </c>
      <c r="D372" t="str">
        <f>+IF(OR(IFERROR(FIND(".IO",Table2[[#This Row],[Sheet Location]],1)&gt;0,FALSE),B372="DI"),"IO","no")</f>
        <v>no</v>
      </c>
    </row>
    <row r="373" spans="2:4" x14ac:dyDescent="0.25">
      <c r="B373" s="22" t="s">
        <v>2454</v>
      </c>
      <c r="C373" s="22" t="s">
        <v>2455</v>
      </c>
      <c r="D373" t="str">
        <f>+IF(OR(IFERROR(FIND(".IO",Table2[[#This Row],[Sheet Location]],1)&gt;0,FALSE),B373="DI"),"IO","no")</f>
        <v>no</v>
      </c>
    </row>
    <row r="374" spans="2:4" x14ac:dyDescent="0.25">
      <c r="B374" s="22" t="s">
        <v>2454</v>
      </c>
      <c r="C374" s="22" t="s">
        <v>2456</v>
      </c>
      <c r="D374" t="str">
        <f>+IF(OR(IFERROR(FIND(".IO",Table2[[#This Row],[Sheet Location]],1)&gt;0,FALSE),B374="DI"),"IO","no")</f>
        <v>no</v>
      </c>
    </row>
    <row r="375" spans="2:4" x14ac:dyDescent="0.25">
      <c r="B375" s="22" t="s">
        <v>2457</v>
      </c>
      <c r="C375" s="22" t="s">
        <v>2458</v>
      </c>
      <c r="D375" t="str">
        <f>+IF(OR(IFERROR(FIND(".IO",Table2[[#This Row],[Sheet Location]],1)&gt;0,FALSE),B375="DI"),"IO","no")</f>
        <v>no</v>
      </c>
    </row>
    <row r="376" spans="2:4" x14ac:dyDescent="0.25">
      <c r="B376" s="22" t="s">
        <v>2457</v>
      </c>
      <c r="C376" s="22" t="s">
        <v>2459</v>
      </c>
      <c r="D376" t="str">
        <f>+IF(OR(IFERROR(FIND(".IO",Table2[[#This Row],[Sheet Location]],1)&gt;0,FALSE),B376="DI"),"IO","no")</f>
        <v>no</v>
      </c>
    </row>
    <row r="377" spans="2:4" x14ac:dyDescent="0.25">
      <c r="B377" s="22" t="s">
        <v>2457</v>
      </c>
      <c r="C377" s="22" t="s">
        <v>2460</v>
      </c>
      <c r="D377" t="str">
        <f>+IF(OR(IFERROR(FIND(".IO",Table2[[#This Row],[Sheet Location]],1)&gt;0,FALSE),B377="DI"),"IO","no")</f>
        <v>no</v>
      </c>
    </row>
    <row r="378" spans="2:4" x14ac:dyDescent="0.25">
      <c r="B378" s="22" t="s">
        <v>2457</v>
      </c>
      <c r="C378" s="22" t="s">
        <v>2461</v>
      </c>
      <c r="D378" t="str">
        <f>+IF(OR(IFERROR(FIND(".IO",Table2[[#This Row],[Sheet Location]],1)&gt;0,FALSE),B378="DI"),"IO","no")</f>
        <v>no</v>
      </c>
    </row>
    <row r="379" spans="2:4" x14ac:dyDescent="0.25">
      <c r="B379" s="22" t="s">
        <v>2457</v>
      </c>
      <c r="C379" s="22" t="s">
        <v>2462</v>
      </c>
      <c r="D379" t="str">
        <f>+IF(OR(IFERROR(FIND(".IO",Table2[[#This Row],[Sheet Location]],1)&gt;0,FALSE),B379="DI"),"IO","no")</f>
        <v>no</v>
      </c>
    </row>
    <row r="380" spans="2:4" x14ac:dyDescent="0.25">
      <c r="B380" s="22" t="s">
        <v>2457</v>
      </c>
      <c r="C380" s="22" t="s">
        <v>2463</v>
      </c>
      <c r="D380" t="str">
        <f>+IF(OR(IFERROR(FIND(".IO",Table2[[#This Row],[Sheet Location]],1)&gt;0,FALSE),B380="DI"),"IO","no")</f>
        <v>no</v>
      </c>
    </row>
    <row r="381" spans="2:4" x14ac:dyDescent="0.25">
      <c r="B381" s="22" t="s">
        <v>2457</v>
      </c>
      <c r="C381" s="22" t="s">
        <v>2464</v>
      </c>
      <c r="D381" t="str">
        <f>+IF(OR(IFERROR(FIND(".IO",Table2[[#This Row],[Sheet Location]],1)&gt;0,FALSE),B381="DI"),"IO","no")</f>
        <v>no</v>
      </c>
    </row>
    <row r="382" spans="2:4" x14ac:dyDescent="0.25">
      <c r="B382" s="22" t="s">
        <v>2465</v>
      </c>
      <c r="C382" s="22" t="s">
        <v>2466</v>
      </c>
      <c r="D382" t="str">
        <f>+IF(OR(IFERROR(FIND(".IO",Table2[[#This Row],[Sheet Location]],1)&gt;0,FALSE),B382="DI"),"IO","no")</f>
        <v>no</v>
      </c>
    </row>
    <row r="383" spans="2:4" x14ac:dyDescent="0.25">
      <c r="B383" s="22" t="s">
        <v>2465</v>
      </c>
      <c r="C383" s="22" t="s">
        <v>2467</v>
      </c>
      <c r="D383" t="str">
        <f>+IF(OR(IFERROR(FIND(".IO",Table2[[#This Row],[Sheet Location]],1)&gt;0,FALSE),B383="DI"),"IO","no")</f>
        <v>no</v>
      </c>
    </row>
    <row r="384" spans="2:4" x14ac:dyDescent="0.25">
      <c r="B384" s="22" t="s">
        <v>2465</v>
      </c>
      <c r="C384" s="22" t="s">
        <v>2468</v>
      </c>
      <c r="D384" t="str">
        <f>+IF(OR(IFERROR(FIND(".IO",Table2[[#This Row],[Sheet Location]],1)&gt;0,FALSE),B384="DI"),"IO","no")</f>
        <v>no</v>
      </c>
    </row>
    <row r="385" spans="2:4" x14ac:dyDescent="0.25">
      <c r="B385" s="22" t="s">
        <v>2465</v>
      </c>
      <c r="C385" s="22" t="s">
        <v>2469</v>
      </c>
      <c r="D385" t="str">
        <f>+IF(OR(IFERROR(FIND(".IO",Table2[[#This Row],[Sheet Location]],1)&gt;0,FALSE),B385="DI"),"IO","no")</f>
        <v>no</v>
      </c>
    </row>
    <row r="386" spans="2:4" x14ac:dyDescent="0.25">
      <c r="B386" s="22" t="s">
        <v>2465</v>
      </c>
      <c r="C386" s="22" t="s">
        <v>2470</v>
      </c>
      <c r="D386" t="str">
        <f>+IF(OR(IFERROR(FIND(".IO",Table2[[#This Row],[Sheet Location]],1)&gt;0,FALSE),B386="DI"),"IO","no")</f>
        <v>no</v>
      </c>
    </row>
    <row r="387" spans="2:4" x14ac:dyDescent="0.25">
      <c r="B387" s="22" t="s">
        <v>2465</v>
      </c>
      <c r="C387" s="22" t="s">
        <v>2471</v>
      </c>
      <c r="D387" t="str">
        <f>+IF(OR(IFERROR(FIND(".IO",Table2[[#This Row],[Sheet Location]],1)&gt;0,FALSE),B387="DI"),"IO","no")</f>
        <v>no</v>
      </c>
    </row>
    <row r="388" spans="2:4" x14ac:dyDescent="0.25">
      <c r="B388" s="22" t="s">
        <v>2465</v>
      </c>
      <c r="C388" s="22" t="s">
        <v>2472</v>
      </c>
      <c r="D388" t="str">
        <f>+IF(OR(IFERROR(FIND(".IO",Table2[[#This Row],[Sheet Location]],1)&gt;0,FALSE),B388="DI"),"IO","no")</f>
        <v>no</v>
      </c>
    </row>
    <row r="389" spans="2:4" x14ac:dyDescent="0.25">
      <c r="B389" s="22" t="s">
        <v>2473</v>
      </c>
      <c r="C389" s="22" t="s">
        <v>2474</v>
      </c>
      <c r="D389" t="str">
        <f>+IF(OR(IFERROR(FIND(".IO",Table2[[#This Row],[Sheet Location]],1)&gt;0,FALSE),B389="DI"),"IO","no")</f>
        <v>no</v>
      </c>
    </row>
    <row r="390" spans="2:4" x14ac:dyDescent="0.25">
      <c r="B390" s="22" t="s">
        <v>2473</v>
      </c>
      <c r="C390" s="22" t="s">
        <v>2475</v>
      </c>
      <c r="D390" t="str">
        <f>+IF(OR(IFERROR(FIND(".IO",Table2[[#This Row],[Sheet Location]],1)&gt;0,FALSE),B390="DI"),"IO","no")</f>
        <v>no</v>
      </c>
    </row>
    <row r="391" spans="2:4" x14ac:dyDescent="0.25">
      <c r="B391" s="22" t="s">
        <v>2473</v>
      </c>
      <c r="C391" s="22" t="s">
        <v>2476</v>
      </c>
      <c r="D391" t="str">
        <f>+IF(OR(IFERROR(FIND(".IO",Table2[[#This Row],[Sheet Location]],1)&gt;0,FALSE),B391="DI"),"IO","no")</f>
        <v>no</v>
      </c>
    </row>
    <row r="392" spans="2:4" x14ac:dyDescent="0.25">
      <c r="B392" s="22" t="s">
        <v>2473</v>
      </c>
      <c r="C392" s="22" t="s">
        <v>2477</v>
      </c>
      <c r="D392" t="str">
        <f>+IF(OR(IFERROR(FIND(".IO",Table2[[#This Row],[Sheet Location]],1)&gt;0,FALSE),B392="DI"),"IO","no")</f>
        <v>no</v>
      </c>
    </row>
    <row r="393" spans="2:4" x14ac:dyDescent="0.25">
      <c r="B393" s="22" t="s">
        <v>2473</v>
      </c>
      <c r="C393" s="22" t="s">
        <v>2478</v>
      </c>
      <c r="D393" t="str">
        <f>+IF(OR(IFERROR(FIND(".IO",Table2[[#This Row],[Sheet Location]],1)&gt;0,FALSE),B393="DI"),"IO","no")</f>
        <v>no</v>
      </c>
    </row>
    <row r="394" spans="2:4" x14ac:dyDescent="0.25">
      <c r="B394" s="22" t="s">
        <v>2479</v>
      </c>
      <c r="C394" s="22" t="s">
        <v>2480</v>
      </c>
      <c r="D394" t="str">
        <f>+IF(OR(IFERROR(FIND(".IO",Table2[[#This Row],[Sheet Location]],1)&gt;0,FALSE),B394="DI"),"IO","no")</f>
        <v>no</v>
      </c>
    </row>
    <row r="395" spans="2:4" x14ac:dyDescent="0.25">
      <c r="B395" s="22" t="s">
        <v>2479</v>
      </c>
      <c r="C395" s="22" t="s">
        <v>2481</v>
      </c>
      <c r="D395" t="str">
        <f>+IF(OR(IFERROR(FIND(".IO",Table2[[#This Row],[Sheet Location]],1)&gt;0,FALSE),B395="DI"),"IO","no")</f>
        <v>no</v>
      </c>
    </row>
    <row r="396" spans="2:4" x14ac:dyDescent="0.25">
      <c r="B396" s="22" t="s">
        <v>2479</v>
      </c>
      <c r="C396" s="22" t="s">
        <v>2482</v>
      </c>
      <c r="D396" t="str">
        <f>+IF(OR(IFERROR(FIND(".IO",Table2[[#This Row],[Sheet Location]],1)&gt;0,FALSE),B396="DI"),"IO","no")</f>
        <v>no</v>
      </c>
    </row>
    <row r="397" spans="2:4" x14ac:dyDescent="0.25">
      <c r="B397" s="22" t="s">
        <v>2479</v>
      </c>
      <c r="C397" s="22" t="s">
        <v>2483</v>
      </c>
      <c r="D397" t="str">
        <f>+IF(OR(IFERROR(FIND(".IO",Table2[[#This Row],[Sheet Location]],1)&gt;0,FALSE),B397="DI"),"IO","no")</f>
        <v>no</v>
      </c>
    </row>
    <row r="398" spans="2:4" x14ac:dyDescent="0.25">
      <c r="B398" s="22" t="s">
        <v>2479</v>
      </c>
      <c r="C398" s="22" t="s">
        <v>2484</v>
      </c>
      <c r="D398" t="str">
        <f>+IF(OR(IFERROR(FIND(".IO",Table2[[#This Row],[Sheet Location]],1)&gt;0,FALSE),B398="DI"),"IO","no")</f>
        <v>no</v>
      </c>
    </row>
    <row r="399" spans="2:4" x14ac:dyDescent="0.25">
      <c r="B399" s="22" t="s">
        <v>2479</v>
      </c>
      <c r="C399" s="22" t="s">
        <v>2485</v>
      </c>
      <c r="D399" t="str">
        <f>+IF(OR(IFERROR(FIND(".IO",Table2[[#This Row],[Sheet Location]],1)&gt;0,FALSE),B399="DI"),"IO","no")</f>
        <v>no</v>
      </c>
    </row>
    <row r="400" spans="2:4" x14ac:dyDescent="0.25">
      <c r="B400" s="22" t="s">
        <v>2036</v>
      </c>
      <c r="C400" s="22" t="s">
        <v>2486</v>
      </c>
      <c r="D400" t="str">
        <f>+IF(OR(IFERROR(FIND(".IO",Table2[[#This Row],[Sheet Location]],1)&gt;0,FALSE),B400="DI"),"IO","no")</f>
        <v>no</v>
      </c>
    </row>
    <row r="401" spans="2:4" x14ac:dyDescent="0.25">
      <c r="B401" s="22" t="s">
        <v>2036</v>
      </c>
      <c r="C401" s="22" t="s">
        <v>2487</v>
      </c>
      <c r="D401" t="str">
        <f>+IF(OR(IFERROR(FIND(".IO",Table2[[#This Row],[Sheet Location]],1)&gt;0,FALSE),B401="DI"),"IO","no")</f>
        <v>no</v>
      </c>
    </row>
    <row r="402" spans="2:4" x14ac:dyDescent="0.25">
      <c r="B402" s="22" t="s">
        <v>2488</v>
      </c>
      <c r="C402" s="22" t="s">
        <v>2489</v>
      </c>
      <c r="D402" t="str">
        <f>+IF(OR(IFERROR(FIND(".IO",Table2[[#This Row],[Sheet Location]],1)&gt;0,FALSE),B402="DI"),"IO","no")</f>
        <v>no</v>
      </c>
    </row>
    <row r="403" spans="2:4" x14ac:dyDescent="0.25">
      <c r="B403" s="22" t="s">
        <v>2488</v>
      </c>
      <c r="C403" s="22" t="s">
        <v>2490</v>
      </c>
      <c r="D403" t="str">
        <f>+IF(OR(IFERROR(FIND(".IO",Table2[[#This Row],[Sheet Location]],1)&gt;0,FALSE),B403="DI"),"IO","no")</f>
        <v>no</v>
      </c>
    </row>
    <row r="404" spans="2:4" x14ac:dyDescent="0.25">
      <c r="B404" s="22" t="s">
        <v>2488</v>
      </c>
      <c r="C404" s="22" t="s">
        <v>2491</v>
      </c>
      <c r="D404" t="str">
        <f>+IF(OR(IFERROR(FIND(".IO",Table2[[#This Row],[Sheet Location]],1)&gt;0,FALSE),B404="DI"),"IO","no")</f>
        <v>no</v>
      </c>
    </row>
    <row r="405" spans="2:4" x14ac:dyDescent="0.25">
      <c r="B405" s="22" t="s">
        <v>2488</v>
      </c>
      <c r="C405" s="22" t="s">
        <v>2492</v>
      </c>
      <c r="D405" t="str">
        <f>+IF(OR(IFERROR(FIND(".IO",Table2[[#This Row],[Sheet Location]],1)&gt;0,FALSE),B405="DI"),"IO","no")</f>
        <v>no</v>
      </c>
    </row>
    <row r="406" spans="2:4" x14ac:dyDescent="0.25">
      <c r="B406" s="22" t="s">
        <v>2488</v>
      </c>
      <c r="C406" s="22" t="s">
        <v>2493</v>
      </c>
      <c r="D406" t="str">
        <f>+IF(OR(IFERROR(FIND(".IO",Table2[[#This Row],[Sheet Location]],1)&gt;0,FALSE),B406="DI"),"IO","no")</f>
        <v>no</v>
      </c>
    </row>
    <row r="407" spans="2:4" x14ac:dyDescent="0.25">
      <c r="B407" s="22" t="s">
        <v>2488</v>
      </c>
      <c r="C407" s="22" t="s">
        <v>2494</v>
      </c>
      <c r="D407" t="str">
        <f>+IF(OR(IFERROR(FIND(".IO",Table2[[#This Row],[Sheet Location]],1)&gt;0,FALSE),B407="DI"),"IO","no")</f>
        <v>no</v>
      </c>
    </row>
    <row r="408" spans="2:4" x14ac:dyDescent="0.25">
      <c r="B408" s="22" t="s">
        <v>2488</v>
      </c>
      <c r="C408" s="22" t="s">
        <v>2495</v>
      </c>
      <c r="D408" t="str">
        <f>+IF(OR(IFERROR(FIND(".IO",Table2[[#This Row],[Sheet Location]],1)&gt;0,FALSE),B408="DI"),"IO","no")</f>
        <v>no</v>
      </c>
    </row>
    <row r="409" spans="2:4" x14ac:dyDescent="0.25">
      <c r="B409" s="22" t="s">
        <v>2488</v>
      </c>
      <c r="C409" s="22" t="s">
        <v>2496</v>
      </c>
      <c r="D409" t="str">
        <f>+IF(OR(IFERROR(FIND(".IO",Table2[[#This Row],[Sheet Location]],1)&gt;0,FALSE),B409="DI"),"IO","no")</f>
        <v>no</v>
      </c>
    </row>
    <row r="410" spans="2:4" x14ac:dyDescent="0.25">
      <c r="B410" s="22" t="s">
        <v>2488</v>
      </c>
      <c r="C410" s="22" t="s">
        <v>2497</v>
      </c>
      <c r="D410" t="str">
        <f>+IF(OR(IFERROR(FIND(".IO",Table2[[#This Row],[Sheet Location]],1)&gt;0,FALSE),B410="DI"),"IO","no")</f>
        <v>no</v>
      </c>
    </row>
    <row r="411" spans="2:4" x14ac:dyDescent="0.25">
      <c r="B411" s="22" t="s">
        <v>2488</v>
      </c>
      <c r="C411" s="22" t="s">
        <v>2498</v>
      </c>
      <c r="D411" t="str">
        <f>+IF(OR(IFERROR(FIND(".IO",Table2[[#This Row],[Sheet Location]],1)&gt;0,FALSE),B411="DI"),"IO","no")</f>
        <v>no</v>
      </c>
    </row>
    <row r="412" spans="2:4" x14ac:dyDescent="0.25">
      <c r="B412" s="22" t="s">
        <v>2488</v>
      </c>
      <c r="C412" s="22" t="s">
        <v>2499</v>
      </c>
      <c r="D412" t="str">
        <f>+IF(OR(IFERROR(FIND(".IO",Table2[[#This Row],[Sheet Location]],1)&gt;0,FALSE),B412="DI"),"IO","no")</f>
        <v>no</v>
      </c>
    </row>
    <row r="413" spans="2:4" x14ac:dyDescent="0.25">
      <c r="B413" s="22" t="s">
        <v>2137</v>
      </c>
      <c r="C413" s="22" t="s">
        <v>2500</v>
      </c>
      <c r="D413" t="str">
        <f>+IF(OR(IFERROR(FIND(".IO",Table2[[#This Row],[Sheet Location]],1)&gt;0,FALSE),B413="DI"),"IO","no")</f>
        <v>no</v>
      </c>
    </row>
    <row r="414" spans="2:4" x14ac:dyDescent="0.25">
      <c r="B414" s="22" t="s">
        <v>2137</v>
      </c>
      <c r="C414" s="22" t="s">
        <v>2501</v>
      </c>
      <c r="D414" t="str">
        <f>+IF(OR(IFERROR(FIND(".IO",Table2[[#This Row],[Sheet Location]],1)&gt;0,FALSE),B414="DI"),"IO","no")</f>
        <v>no</v>
      </c>
    </row>
    <row r="415" spans="2:4" x14ac:dyDescent="0.25">
      <c r="B415" s="22" t="s">
        <v>2137</v>
      </c>
      <c r="C415" s="22" t="s">
        <v>2502</v>
      </c>
      <c r="D415" t="str">
        <f>+IF(OR(IFERROR(FIND(".IO",Table2[[#This Row],[Sheet Location]],1)&gt;0,FALSE),B415="DI"),"IO","no")</f>
        <v>no</v>
      </c>
    </row>
    <row r="416" spans="2:4" x14ac:dyDescent="0.25">
      <c r="B416" s="22" t="s">
        <v>2137</v>
      </c>
      <c r="C416" s="22" t="s">
        <v>2503</v>
      </c>
      <c r="D416" t="str">
        <f>+IF(OR(IFERROR(FIND(".IO",Table2[[#This Row],[Sheet Location]],1)&gt;0,FALSE),B416="DI"),"IO","no")</f>
        <v>no</v>
      </c>
    </row>
    <row r="417" spans="2:4" x14ac:dyDescent="0.25">
      <c r="B417" s="22" t="s">
        <v>2137</v>
      </c>
      <c r="C417" s="22" t="s">
        <v>2504</v>
      </c>
      <c r="D417" t="str">
        <f>+IF(OR(IFERROR(FIND(".IO",Table2[[#This Row],[Sheet Location]],1)&gt;0,FALSE),B417="DI"),"IO","no")</f>
        <v>no</v>
      </c>
    </row>
    <row r="418" spans="2:4" x14ac:dyDescent="0.25">
      <c r="B418" s="22" t="s">
        <v>2137</v>
      </c>
      <c r="C418" s="22" t="s">
        <v>2505</v>
      </c>
      <c r="D418" t="str">
        <f>+IF(OR(IFERROR(FIND(".IO",Table2[[#This Row],[Sheet Location]],1)&gt;0,FALSE),B418="DI"),"IO","no")</f>
        <v>no</v>
      </c>
    </row>
    <row r="419" spans="2:4" x14ac:dyDescent="0.25">
      <c r="B419" s="22" t="s">
        <v>2137</v>
      </c>
      <c r="C419" s="22" t="s">
        <v>2506</v>
      </c>
      <c r="D419" t="str">
        <f>+IF(OR(IFERROR(FIND(".IO",Table2[[#This Row],[Sheet Location]],1)&gt;0,FALSE),B419="DI"),"IO","no")</f>
        <v>no</v>
      </c>
    </row>
    <row r="420" spans="2:4" x14ac:dyDescent="0.25">
      <c r="B420" s="22" t="s">
        <v>2507</v>
      </c>
      <c r="C420" s="22" t="s">
        <v>2508</v>
      </c>
      <c r="D420" t="str">
        <f>+IF(OR(IFERROR(FIND(".IO",Table2[[#This Row],[Sheet Location]],1)&gt;0,FALSE),B420="DI"),"IO","no")</f>
        <v>no</v>
      </c>
    </row>
    <row r="421" spans="2:4" x14ac:dyDescent="0.25">
      <c r="B421" s="22" t="s">
        <v>2507</v>
      </c>
      <c r="C421" s="22" t="s">
        <v>2509</v>
      </c>
      <c r="D421" t="str">
        <f>+IF(OR(IFERROR(FIND(".IO",Table2[[#This Row],[Sheet Location]],1)&gt;0,FALSE),B421="DI"),"IO","no")</f>
        <v>no</v>
      </c>
    </row>
    <row r="422" spans="2:4" x14ac:dyDescent="0.25">
      <c r="B422" s="22" t="s">
        <v>2510</v>
      </c>
      <c r="C422" s="22" t="s">
        <v>2511</v>
      </c>
      <c r="D422" t="str">
        <f>+IF(OR(IFERROR(FIND(".IO",Table2[[#This Row],[Sheet Location]],1)&gt;0,FALSE),B422="DI"),"IO","no")</f>
        <v>no</v>
      </c>
    </row>
    <row r="423" spans="2:4" x14ac:dyDescent="0.25">
      <c r="B423" s="22" t="s">
        <v>2510</v>
      </c>
      <c r="C423" s="22" t="s">
        <v>2512</v>
      </c>
      <c r="D423" t="str">
        <f>+IF(OR(IFERROR(FIND(".IO",Table2[[#This Row],[Sheet Location]],1)&gt;0,FALSE),B423="DI"),"IO","no")</f>
        <v>no</v>
      </c>
    </row>
    <row r="424" spans="2:4" x14ac:dyDescent="0.25">
      <c r="B424" s="22" t="s">
        <v>2510</v>
      </c>
      <c r="C424" s="22" t="s">
        <v>2513</v>
      </c>
      <c r="D424" t="str">
        <f>+IF(OR(IFERROR(FIND(".IO",Table2[[#This Row],[Sheet Location]],1)&gt;0,FALSE),B424="DI"),"IO","no")</f>
        <v>no</v>
      </c>
    </row>
    <row r="425" spans="2:4" x14ac:dyDescent="0.25">
      <c r="B425" s="22" t="s">
        <v>2514</v>
      </c>
      <c r="C425" s="22" t="s">
        <v>2515</v>
      </c>
      <c r="D425" t="str">
        <f>+IF(OR(IFERROR(FIND(".IO",Table2[[#This Row],[Sheet Location]],1)&gt;0,FALSE),B425="DI"),"IO","no")</f>
        <v>no</v>
      </c>
    </row>
    <row r="426" spans="2:4" x14ac:dyDescent="0.25">
      <c r="B426" s="22" t="s">
        <v>2514</v>
      </c>
      <c r="C426" s="22" t="s">
        <v>2516</v>
      </c>
      <c r="D426" t="str">
        <f>+IF(OR(IFERROR(FIND(".IO",Table2[[#This Row],[Sheet Location]],1)&gt;0,FALSE),B426="DI"),"IO","no")</f>
        <v>no</v>
      </c>
    </row>
    <row r="427" spans="2:4" x14ac:dyDescent="0.25">
      <c r="B427" s="22" t="s">
        <v>2517</v>
      </c>
      <c r="C427" s="22" t="s">
        <v>2518</v>
      </c>
      <c r="D427" t="str">
        <f>+IF(OR(IFERROR(FIND(".IO",Table2[[#This Row],[Sheet Location]],1)&gt;0,FALSE),B427="DI"),"IO","no")</f>
        <v>no</v>
      </c>
    </row>
    <row r="428" spans="2:4" x14ac:dyDescent="0.25">
      <c r="B428" s="22" t="s">
        <v>2519</v>
      </c>
      <c r="C428" s="22" t="s">
        <v>2520</v>
      </c>
      <c r="D428" t="str">
        <f>+IF(OR(IFERROR(FIND(".IO",Table2[[#This Row],[Sheet Location]],1)&gt;0,FALSE),B428="DI"),"IO","no")</f>
        <v>no</v>
      </c>
    </row>
    <row r="429" spans="2:4" x14ac:dyDescent="0.25">
      <c r="B429" s="22" t="s">
        <v>2519</v>
      </c>
      <c r="C429" s="22" t="s">
        <v>2521</v>
      </c>
      <c r="D429" t="str">
        <f>+IF(OR(IFERROR(FIND(".IO",Table2[[#This Row],[Sheet Location]],1)&gt;0,FALSE),B429="DI"),"IO","no")</f>
        <v>no</v>
      </c>
    </row>
    <row r="430" spans="2:4" x14ac:dyDescent="0.25">
      <c r="B430" s="22" t="s">
        <v>2519</v>
      </c>
      <c r="C430" s="22" t="s">
        <v>2522</v>
      </c>
      <c r="D430" t="str">
        <f>+IF(OR(IFERROR(FIND(".IO",Table2[[#This Row],[Sheet Location]],1)&gt;0,FALSE),B430="DI"),"IO","no")</f>
        <v>no</v>
      </c>
    </row>
    <row r="431" spans="2:4" x14ac:dyDescent="0.25">
      <c r="B431" s="22" t="s">
        <v>2523</v>
      </c>
      <c r="C431" s="22" t="s">
        <v>2524</v>
      </c>
      <c r="D431" t="str">
        <f>+IF(OR(IFERROR(FIND(".IO",Table2[[#This Row],[Sheet Location]],1)&gt;0,FALSE),B431="DI"),"IO","no")</f>
        <v>no</v>
      </c>
    </row>
    <row r="432" spans="2:4" x14ac:dyDescent="0.25">
      <c r="B432" s="22" t="s">
        <v>2523</v>
      </c>
      <c r="C432" s="22" t="s">
        <v>2525</v>
      </c>
      <c r="D432" t="str">
        <f>+IF(OR(IFERROR(FIND(".IO",Table2[[#This Row],[Sheet Location]],1)&gt;0,FALSE),B432="DI"),"IO","no")</f>
        <v>no</v>
      </c>
    </row>
    <row r="433" spans="2:4" x14ac:dyDescent="0.25">
      <c r="B433" s="22" t="s">
        <v>2526</v>
      </c>
      <c r="C433" s="22" t="s">
        <v>2527</v>
      </c>
      <c r="D433" t="str">
        <f>+IF(OR(IFERROR(FIND(".IO",Table2[[#This Row],[Sheet Location]],1)&gt;0,FALSE),B433="DI"),"IO","no")</f>
        <v>no</v>
      </c>
    </row>
    <row r="434" spans="2:4" x14ac:dyDescent="0.25">
      <c r="B434" s="22" t="s">
        <v>2526</v>
      </c>
      <c r="C434" s="22" t="s">
        <v>2528</v>
      </c>
      <c r="D434" t="str">
        <f>+IF(OR(IFERROR(FIND(".IO",Table2[[#This Row],[Sheet Location]],1)&gt;0,FALSE),B434="DI"),"IO","no")</f>
        <v>no</v>
      </c>
    </row>
    <row r="435" spans="2:4" x14ac:dyDescent="0.25">
      <c r="B435" s="22" t="s">
        <v>2526</v>
      </c>
      <c r="C435" s="22" t="s">
        <v>2529</v>
      </c>
      <c r="D435" t="str">
        <f>+IF(OR(IFERROR(FIND(".IO",Table2[[#This Row],[Sheet Location]],1)&gt;0,FALSE),B435="DI"),"IO","no")</f>
        <v>no</v>
      </c>
    </row>
    <row r="436" spans="2:4" x14ac:dyDescent="0.25">
      <c r="B436" s="22" t="s">
        <v>2530</v>
      </c>
      <c r="C436" s="22" t="s">
        <v>2531</v>
      </c>
      <c r="D436" t="str">
        <f>+IF(OR(IFERROR(FIND(".IO",Table2[[#This Row],[Sheet Location]],1)&gt;0,FALSE),B436="DI"),"IO","no")</f>
        <v>no</v>
      </c>
    </row>
    <row r="437" spans="2:4" x14ac:dyDescent="0.25">
      <c r="B437" s="22" t="s">
        <v>2530</v>
      </c>
      <c r="C437" s="22" t="s">
        <v>2532</v>
      </c>
      <c r="D437" t="str">
        <f>+IF(OR(IFERROR(FIND(".IO",Table2[[#This Row],[Sheet Location]],1)&gt;0,FALSE),B437="DI"),"IO","no")</f>
        <v>no</v>
      </c>
    </row>
    <row r="438" spans="2:4" x14ac:dyDescent="0.25">
      <c r="B438" s="22" t="s">
        <v>2530</v>
      </c>
      <c r="C438" s="22" t="s">
        <v>2533</v>
      </c>
      <c r="D438" t="str">
        <f>+IF(OR(IFERROR(FIND(".IO",Table2[[#This Row],[Sheet Location]],1)&gt;0,FALSE),B438="DI"),"IO","no")</f>
        <v>no</v>
      </c>
    </row>
    <row r="439" spans="2:4" x14ac:dyDescent="0.25">
      <c r="B439" s="22" t="s">
        <v>2530</v>
      </c>
      <c r="C439" s="22" t="s">
        <v>2534</v>
      </c>
      <c r="D439" t="str">
        <f>+IF(OR(IFERROR(FIND(".IO",Table2[[#This Row],[Sheet Location]],1)&gt;0,FALSE),B439="DI"),"IO","no")</f>
        <v>no</v>
      </c>
    </row>
    <row r="440" spans="2:4" x14ac:dyDescent="0.25">
      <c r="B440" s="22" t="s">
        <v>2530</v>
      </c>
      <c r="C440" s="22" t="s">
        <v>2535</v>
      </c>
      <c r="D440" t="str">
        <f>+IF(OR(IFERROR(FIND(".IO",Table2[[#This Row],[Sheet Location]],1)&gt;0,FALSE),B440="DI"),"IO","no")</f>
        <v>no</v>
      </c>
    </row>
    <row r="441" spans="2:4" x14ac:dyDescent="0.25">
      <c r="B441" s="22" t="s">
        <v>2530</v>
      </c>
      <c r="C441" s="22" t="s">
        <v>2536</v>
      </c>
      <c r="D441" t="str">
        <f>+IF(OR(IFERROR(FIND(".IO",Table2[[#This Row],[Sheet Location]],1)&gt;0,FALSE),B441="DI"),"IO","no")</f>
        <v>no</v>
      </c>
    </row>
    <row r="442" spans="2:4" x14ac:dyDescent="0.25">
      <c r="B442" s="22" t="s">
        <v>2530</v>
      </c>
      <c r="C442" s="22" t="s">
        <v>2537</v>
      </c>
      <c r="D442" t="str">
        <f>+IF(OR(IFERROR(FIND(".IO",Table2[[#This Row],[Sheet Location]],1)&gt;0,FALSE),B442="DI"),"IO","no")</f>
        <v>no</v>
      </c>
    </row>
    <row r="443" spans="2:4" x14ac:dyDescent="0.25">
      <c r="B443" s="22" t="s">
        <v>2538</v>
      </c>
      <c r="C443" s="22" t="s">
        <v>2539</v>
      </c>
      <c r="D443" t="str">
        <f>+IF(OR(IFERROR(FIND(".IO",Table2[[#This Row],[Sheet Location]],1)&gt;0,FALSE),B443="DI"),"IO","no")</f>
        <v>no</v>
      </c>
    </row>
    <row r="444" spans="2:4" x14ac:dyDescent="0.25">
      <c r="B444" s="22" t="s">
        <v>2538</v>
      </c>
      <c r="C444" s="22" t="s">
        <v>2540</v>
      </c>
      <c r="D444" t="str">
        <f>+IF(OR(IFERROR(FIND(".IO",Table2[[#This Row],[Sheet Location]],1)&gt;0,FALSE),B444="DI"),"IO","no")</f>
        <v>no</v>
      </c>
    </row>
    <row r="445" spans="2:4" x14ac:dyDescent="0.25">
      <c r="B445" s="22" t="s">
        <v>2538</v>
      </c>
      <c r="C445" s="22" t="s">
        <v>2541</v>
      </c>
      <c r="D445" t="str">
        <f>+IF(OR(IFERROR(FIND(".IO",Table2[[#This Row],[Sheet Location]],1)&gt;0,FALSE),B445="DI"),"IO","no")</f>
        <v>no</v>
      </c>
    </row>
    <row r="446" spans="2:4" x14ac:dyDescent="0.25">
      <c r="B446" s="22" t="s">
        <v>2538</v>
      </c>
      <c r="C446" s="22" t="s">
        <v>2542</v>
      </c>
      <c r="D446" t="str">
        <f>+IF(OR(IFERROR(FIND(".IO",Table2[[#This Row],[Sheet Location]],1)&gt;0,FALSE),B446="DI"),"IO","no")</f>
        <v>no</v>
      </c>
    </row>
    <row r="447" spans="2:4" x14ac:dyDescent="0.25">
      <c r="B447" s="22" t="s">
        <v>2538</v>
      </c>
      <c r="C447" s="22" t="s">
        <v>2543</v>
      </c>
      <c r="D447" t="str">
        <f>+IF(OR(IFERROR(FIND(".IO",Table2[[#This Row],[Sheet Location]],1)&gt;0,FALSE),B447="DI"),"IO","no")</f>
        <v>no</v>
      </c>
    </row>
    <row r="448" spans="2:4" x14ac:dyDescent="0.25">
      <c r="B448" s="22" t="s">
        <v>2538</v>
      </c>
      <c r="C448" s="22" t="s">
        <v>2544</v>
      </c>
      <c r="D448" t="str">
        <f>+IF(OR(IFERROR(FIND(".IO",Table2[[#This Row],[Sheet Location]],1)&gt;0,FALSE),B448="DI"),"IO","no")</f>
        <v>no</v>
      </c>
    </row>
    <row r="449" spans="2:4" x14ac:dyDescent="0.25">
      <c r="B449" s="22" t="s">
        <v>2538</v>
      </c>
      <c r="C449" s="22" t="s">
        <v>2545</v>
      </c>
      <c r="D449" t="str">
        <f>+IF(OR(IFERROR(FIND(".IO",Table2[[#This Row],[Sheet Location]],1)&gt;0,FALSE),B449="DI"),"IO","no")</f>
        <v>no</v>
      </c>
    </row>
    <row r="450" spans="2:4" x14ac:dyDescent="0.25">
      <c r="B450" s="22" t="s">
        <v>2546</v>
      </c>
      <c r="C450" s="22" t="s">
        <v>2547</v>
      </c>
      <c r="D450" t="str">
        <f>+IF(OR(IFERROR(FIND(".IO",Table2[[#This Row],[Sheet Location]],1)&gt;0,FALSE),B450="DI"),"IO","no")</f>
        <v>no</v>
      </c>
    </row>
    <row r="451" spans="2:4" x14ac:dyDescent="0.25">
      <c r="B451" s="22" t="s">
        <v>2546</v>
      </c>
      <c r="C451" s="22" t="s">
        <v>2548</v>
      </c>
      <c r="D451" t="str">
        <f>+IF(OR(IFERROR(FIND(".IO",Table2[[#This Row],[Sheet Location]],1)&gt;0,FALSE),B451="DI"),"IO","no")</f>
        <v>no</v>
      </c>
    </row>
    <row r="452" spans="2:4" x14ac:dyDescent="0.25">
      <c r="B452" s="22" t="s">
        <v>2546</v>
      </c>
      <c r="C452" s="22" t="s">
        <v>2549</v>
      </c>
      <c r="D452" t="str">
        <f>+IF(OR(IFERROR(FIND(".IO",Table2[[#This Row],[Sheet Location]],1)&gt;0,FALSE),B452="DI"),"IO","no")</f>
        <v>no</v>
      </c>
    </row>
    <row r="453" spans="2:4" x14ac:dyDescent="0.25">
      <c r="B453" s="22" t="s">
        <v>2546</v>
      </c>
      <c r="C453" s="22" t="s">
        <v>2550</v>
      </c>
      <c r="D453" t="str">
        <f>+IF(OR(IFERROR(FIND(".IO",Table2[[#This Row],[Sheet Location]],1)&gt;0,FALSE),B453="DI"),"IO","no")</f>
        <v>no</v>
      </c>
    </row>
    <row r="454" spans="2:4" x14ac:dyDescent="0.25">
      <c r="B454" s="22" t="s">
        <v>2546</v>
      </c>
      <c r="C454" s="22" t="s">
        <v>2551</v>
      </c>
      <c r="D454" t="str">
        <f>+IF(OR(IFERROR(FIND(".IO",Table2[[#This Row],[Sheet Location]],1)&gt;0,FALSE),B454="DI"),"IO","no")</f>
        <v>no</v>
      </c>
    </row>
    <row r="455" spans="2:4" x14ac:dyDescent="0.25">
      <c r="B455" s="22" t="s">
        <v>2546</v>
      </c>
      <c r="C455" s="22" t="s">
        <v>2552</v>
      </c>
      <c r="D455" t="str">
        <f>+IF(OR(IFERROR(FIND(".IO",Table2[[#This Row],[Sheet Location]],1)&gt;0,FALSE),B455="DI"),"IO","no")</f>
        <v>no</v>
      </c>
    </row>
    <row r="456" spans="2:4" x14ac:dyDescent="0.25">
      <c r="B456" s="22" t="s">
        <v>2546</v>
      </c>
      <c r="C456" s="22" t="s">
        <v>2553</v>
      </c>
      <c r="D456" t="str">
        <f>+IF(OR(IFERROR(FIND(".IO",Table2[[#This Row],[Sheet Location]],1)&gt;0,FALSE),B456="DI"),"IO","no")</f>
        <v>no</v>
      </c>
    </row>
    <row r="457" spans="2:4" x14ac:dyDescent="0.25">
      <c r="B457" s="22" t="s">
        <v>2546</v>
      </c>
      <c r="C457" s="22" t="s">
        <v>2554</v>
      </c>
      <c r="D457" t="str">
        <f>+IF(OR(IFERROR(FIND(".IO",Table2[[#This Row],[Sheet Location]],1)&gt;0,FALSE),B457="DI"),"IO","no")</f>
        <v>no</v>
      </c>
    </row>
    <row r="458" spans="2:4" x14ac:dyDescent="0.25">
      <c r="B458" s="22" t="s">
        <v>2546</v>
      </c>
      <c r="C458" s="22" t="s">
        <v>2555</v>
      </c>
      <c r="D458" t="str">
        <f>+IF(OR(IFERROR(FIND(".IO",Table2[[#This Row],[Sheet Location]],1)&gt;0,FALSE),B458="DI"),"IO","no")</f>
        <v>no</v>
      </c>
    </row>
    <row r="459" spans="2:4" x14ac:dyDescent="0.25">
      <c r="B459" s="22" t="s">
        <v>2546</v>
      </c>
      <c r="C459" s="22" t="s">
        <v>2556</v>
      </c>
      <c r="D459" t="str">
        <f>+IF(OR(IFERROR(FIND(".IO",Table2[[#This Row],[Sheet Location]],1)&gt;0,FALSE),B459="DI"),"IO","no")</f>
        <v>no</v>
      </c>
    </row>
    <row r="460" spans="2:4" x14ac:dyDescent="0.25">
      <c r="B460" s="22" t="s">
        <v>2557</v>
      </c>
      <c r="C460" s="22" t="s">
        <v>2558</v>
      </c>
      <c r="D460" t="str">
        <f>+IF(OR(IFERROR(FIND(".IO",Table2[[#This Row],[Sheet Location]],1)&gt;0,FALSE),B460="DI"),"IO","no")</f>
        <v>no</v>
      </c>
    </row>
    <row r="461" spans="2:4" x14ac:dyDescent="0.25">
      <c r="B461" s="22" t="s">
        <v>2557</v>
      </c>
      <c r="C461" s="22" t="s">
        <v>2559</v>
      </c>
      <c r="D461" t="str">
        <f>+IF(OR(IFERROR(FIND(".IO",Table2[[#This Row],[Sheet Location]],1)&gt;0,FALSE),B461="DI"),"IO","no")</f>
        <v>no</v>
      </c>
    </row>
    <row r="462" spans="2:4" x14ac:dyDescent="0.25">
      <c r="B462" s="22" t="s">
        <v>2557</v>
      </c>
      <c r="C462" s="22" t="s">
        <v>2560</v>
      </c>
      <c r="D462" t="str">
        <f>+IF(OR(IFERROR(FIND(".IO",Table2[[#This Row],[Sheet Location]],1)&gt;0,FALSE),B462="DI"),"IO","no")</f>
        <v>no</v>
      </c>
    </row>
    <row r="463" spans="2:4" x14ac:dyDescent="0.25">
      <c r="B463" s="22" t="s">
        <v>2557</v>
      </c>
      <c r="C463" s="22" t="s">
        <v>2561</v>
      </c>
      <c r="D463" t="str">
        <f>+IF(OR(IFERROR(FIND(".IO",Table2[[#This Row],[Sheet Location]],1)&gt;0,FALSE),B463="DI"),"IO","no")</f>
        <v>no</v>
      </c>
    </row>
    <row r="464" spans="2:4" x14ac:dyDescent="0.25">
      <c r="B464" s="22" t="s">
        <v>2557</v>
      </c>
      <c r="C464" s="22" t="s">
        <v>2562</v>
      </c>
      <c r="D464" t="str">
        <f>+IF(OR(IFERROR(FIND(".IO",Table2[[#This Row],[Sheet Location]],1)&gt;0,FALSE),B464="DI"),"IO","no")</f>
        <v>no</v>
      </c>
    </row>
    <row r="465" spans="2:4" x14ac:dyDescent="0.25">
      <c r="B465" s="22" t="s">
        <v>2557</v>
      </c>
      <c r="C465" s="22" t="s">
        <v>2563</v>
      </c>
      <c r="D465" t="str">
        <f>+IF(OR(IFERROR(FIND(".IO",Table2[[#This Row],[Sheet Location]],1)&gt;0,FALSE),B465="DI"),"IO","no")</f>
        <v>no</v>
      </c>
    </row>
    <row r="466" spans="2:4" x14ac:dyDescent="0.25">
      <c r="B466" s="22" t="s">
        <v>2557</v>
      </c>
      <c r="C466" s="22" t="s">
        <v>2564</v>
      </c>
      <c r="D466" t="str">
        <f>+IF(OR(IFERROR(FIND(".IO",Table2[[#This Row],[Sheet Location]],1)&gt;0,FALSE),B466="DI"),"IO","no")</f>
        <v>no</v>
      </c>
    </row>
    <row r="467" spans="2:4" x14ac:dyDescent="0.25">
      <c r="B467" s="22" t="s">
        <v>2557</v>
      </c>
      <c r="C467" s="22" t="s">
        <v>2565</v>
      </c>
      <c r="D467" t="str">
        <f>+IF(OR(IFERROR(FIND(".IO",Table2[[#This Row],[Sheet Location]],1)&gt;0,FALSE),B467="DI"),"IO","no")</f>
        <v>no</v>
      </c>
    </row>
    <row r="468" spans="2:4" x14ac:dyDescent="0.25">
      <c r="B468" s="22" t="s">
        <v>2557</v>
      </c>
      <c r="C468" s="22" t="s">
        <v>2566</v>
      </c>
      <c r="D468" t="str">
        <f>+IF(OR(IFERROR(FIND(".IO",Table2[[#This Row],[Sheet Location]],1)&gt;0,FALSE),B468="DI"),"IO","no")</f>
        <v>no</v>
      </c>
    </row>
    <row r="469" spans="2:4" x14ac:dyDescent="0.25">
      <c r="B469" s="22" t="s">
        <v>2557</v>
      </c>
      <c r="C469" s="22" t="s">
        <v>2567</v>
      </c>
      <c r="D469" t="str">
        <f>+IF(OR(IFERROR(FIND(".IO",Table2[[#This Row],[Sheet Location]],1)&gt;0,FALSE),B469="DI"),"IO","no")</f>
        <v>no</v>
      </c>
    </row>
    <row r="470" spans="2:4" x14ac:dyDescent="0.25">
      <c r="B470" s="22" t="s">
        <v>2568</v>
      </c>
      <c r="C470" s="22" t="s">
        <v>2569</v>
      </c>
      <c r="D470" t="str">
        <f>+IF(OR(IFERROR(FIND(".IO",Table2[[#This Row],[Sheet Location]],1)&gt;0,FALSE),B470="DI"),"IO","no")</f>
        <v>no</v>
      </c>
    </row>
    <row r="471" spans="2:4" x14ac:dyDescent="0.25">
      <c r="B471" s="22" t="s">
        <v>2568</v>
      </c>
      <c r="C471" s="22" t="s">
        <v>2570</v>
      </c>
      <c r="D471" t="str">
        <f>+IF(OR(IFERROR(FIND(".IO",Table2[[#This Row],[Sheet Location]],1)&gt;0,FALSE),B471="DI"),"IO","no")</f>
        <v>no</v>
      </c>
    </row>
    <row r="472" spans="2:4" x14ac:dyDescent="0.25">
      <c r="B472" s="22" t="s">
        <v>2568</v>
      </c>
      <c r="C472" s="22" t="s">
        <v>2571</v>
      </c>
      <c r="D472" t="str">
        <f>+IF(OR(IFERROR(FIND(".IO",Table2[[#This Row],[Sheet Location]],1)&gt;0,FALSE),B472="DI"),"IO","no")</f>
        <v>no</v>
      </c>
    </row>
    <row r="473" spans="2:4" x14ac:dyDescent="0.25">
      <c r="B473" s="22" t="s">
        <v>2568</v>
      </c>
      <c r="C473" s="22" t="s">
        <v>2572</v>
      </c>
      <c r="D473" t="str">
        <f>+IF(OR(IFERROR(FIND(".IO",Table2[[#This Row],[Sheet Location]],1)&gt;0,FALSE),B473="DI"),"IO","no")</f>
        <v>no</v>
      </c>
    </row>
    <row r="474" spans="2:4" x14ac:dyDescent="0.25">
      <c r="B474" s="22" t="s">
        <v>2568</v>
      </c>
      <c r="C474" s="22" t="s">
        <v>2573</v>
      </c>
      <c r="D474" t="str">
        <f>+IF(OR(IFERROR(FIND(".IO",Table2[[#This Row],[Sheet Location]],1)&gt;0,FALSE),B474="DI"),"IO","no")</f>
        <v>no</v>
      </c>
    </row>
    <row r="475" spans="2:4" x14ac:dyDescent="0.25">
      <c r="B475" s="22" t="s">
        <v>2568</v>
      </c>
      <c r="C475" s="22" t="s">
        <v>2574</v>
      </c>
      <c r="D475" t="str">
        <f>+IF(OR(IFERROR(FIND(".IO",Table2[[#This Row],[Sheet Location]],1)&gt;0,FALSE),B475="DI"),"IO","no")</f>
        <v>no</v>
      </c>
    </row>
    <row r="476" spans="2:4" x14ac:dyDescent="0.25">
      <c r="B476" s="22" t="s">
        <v>2568</v>
      </c>
      <c r="C476" s="22" t="s">
        <v>2575</v>
      </c>
      <c r="D476" t="str">
        <f>+IF(OR(IFERROR(FIND(".IO",Table2[[#This Row],[Sheet Location]],1)&gt;0,FALSE),B476="DI"),"IO","no")</f>
        <v>no</v>
      </c>
    </row>
    <row r="477" spans="2:4" x14ac:dyDescent="0.25">
      <c r="B477" s="22" t="s">
        <v>2568</v>
      </c>
      <c r="C477" s="22" t="s">
        <v>2576</v>
      </c>
      <c r="D477" t="str">
        <f>+IF(OR(IFERROR(FIND(".IO",Table2[[#This Row],[Sheet Location]],1)&gt;0,FALSE),B477="DI"),"IO","no")</f>
        <v>no</v>
      </c>
    </row>
    <row r="478" spans="2:4" x14ac:dyDescent="0.25">
      <c r="B478" s="22" t="s">
        <v>2568</v>
      </c>
      <c r="C478" s="22" t="s">
        <v>2577</v>
      </c>
      <c r="D478" t="str">
        <f>+IF(OR(IFERROR(FIND(".IO",Table2[[#This Row],[Sheet Location]],1)&gt;0,FALSE),B478="DI"),"IO","no")</f>
        <v>no</v>
      </c>
    </row>
    <row r="479" spans="2:4" x14ac:dyDescent="0.25">
      <c r="B479" s="22" t="s">
        <v>2568</v>
      </c>
      <c r="C479" s="22" t="s">
        <v>2578</v>
      </c>
      <c r="D479" t="str">
        <f>+IF(OR(IFERROR(FIND(".IO",Table2[[#This Row],[Sheet Location]],1)&gt;0,FALSE),B479="DI"),"IO","no")</f>
        <v>no</v>
      </c>
    </row>
    <row r="480" spans="2:4" x14ac:dyDescent="0.25">
      <c r="B480" s="22" t="s">
        <v>2579</v>
      </c>
      <c r="C480" s="22" t="s">
        <v>2580</v>
      </c>
      <c r="D480" t="str">
        <f>+IF(OR(IFERROR(FIND(".IO",Table2[[#This Row],[Sheet Location]],1)&gt;0,FALSE),B480="DI"),"IO","no")</f>
        <v>no</v>
      </c>
    </row>
    <row r="481" spans="2:4" x14ac:dyDescent="0.25">
      <c r="B481" s="22" t="s">
        <v>2579</v>
      </c>
      <c r="C481" s="22" t="s">
        <v>2581</v>
      </c>
      <c r="D481" t="str">
        <f>+IF(OR(IFERROR(FIND(".IO",Table2[[#This Row],[Sheet Location]],1)&gt;0,FALSE),B481="DI"),"IO","no")</f>
        <v>no</v>
      </c>
    </row>
    <row r="482" spans="2:4" x14ac:dyDescent="0.25">
      <c r="B482" s="22" t="s">
        <v>2579</v>
      </c>
      <c r="C482" s="22" t="s">
        <v>2582</v>
      </c>
      <c r="D482" t="str">
        <f>+IF(OR(IFERROR(FIND(".IO",Table2[[#This Row],[Sheet Location]],1)&gt;0,FALSE),B482="DI"),"IO","no")</f>
        <v>no</v>
      </c>
    </row>
    <row r="483" spans="2:4" x14ac:dyDescent="0.25">
      <c r="B483" s="22" t="s">
        <v>2579</v>
      </c>
      <c r="C483" s="22" t="s">
        <v>2583</v>
      </c>
      <c r="D483" t="str">
        <f>+IF(OR(IFERROR(FIND(".IO",Table2[[#This Row],[Sheet Location]],1)&gt;0,FALSE),B483="DI"),"IO","no")</f>
        <v>no</v>
      </c>
    </row>
    <row r="484" spans="2:4" x14ac:dyDescent="0.25">
      <c r="B484" s="22" t="s">
        <v>2579</v>
      </c>
      <c r="C484" s="22" t="s">
        <v>2584</v>
      </c>
      <c r="D484" t="str">
        <f>+IF(OR(IFERROR(FIND(".IO",Table2[[#This Row],[Sheet Location]],1)&gt;0,FALSE),B484="DI"),"IO","no")</f>
        <v>no</v>
      </c>
    </row>
    <row r="485" spans="2:4" x14ac:dyDescent="0.25">
      <c r="B485" s="22" t="s">
        <v>2579</v>
      </c>
      <c r="C485" s="22" t="s">
        <v>2585</v>
      </c>
      <c r="D485" t="str">
        <f>+IF(OR(IFERROR(FIND(".IO",Table2[[#This Row],[Sheet Location]],1)&gt;0,FALSE),B485="DI"),"IO","no")</f>
        <v>no</v>
      </c>
    </row>
    <row r="486" spans="2:4" x14ac:dyDescent="0.25">
      <c r="B486" s="22" t="s">
        <v>2579</v>
      </c>
      <c r="C486" s="22" t="s">
        <v>2586</v>
      </c>
      <c r="D486" t="str">
        <f>+IF(OR(IFERROR(FIND(".IO",Table2[[#This Row],[Sheet Location]],1)&gt;0,FALSE),B486="DI"),"IO","no")</f>
        <v>no</v>
      </c>
    </row>
    <row r="487" spans="2:4" x14ac:dyDescent="0.25">
      <c r="B487" s="22" t="s">
        <v>2579</v>
      </c>
      <c r="C487" s="22" t="s">
        <v>2587</v>
      </c>
      <c r="D487" t="str">
        <f>+IF(OR(IFERROR(FIND(".IO",Table2[[#This Row],[Sheet Location]],1)&gt;0,FALSE),B487="DI"),"IO","no")</f>
        <v>no</v>
      </c>
    </row>
    <row r="488" spans="2:4" x14ac:dyDescent="0.25">
      <c r="B488" s="22" t="s">
        <v>2579</v>
      </c>
      <c r="C488" s="22" t="s">
        <v>2588</v>
      </c>
      <c r="D488" t="str">
        <f>+IF(OR(IFERROR(FIND(".IO",Table2[[#This Row],[Sheet Location]],1)&gt;0,FALSE),B488="DI"),"IO","no")</f>
        <v>no</v>
      </c>
    </row>
    <row r="489" spans="2:4" x14ac:dyDescent="0.25">
      <c r="B489" s="22" t="s">
        <v>2589</v>
      </c>
      <c r="C489" s="22" t="s">
        <v>2590</v>
      </c>
      <c r="D489" t="str">
        <f>+IF(OR(IFERROR(FIND(".IO",Table2[[#This Row],[Sheet Location]],1)&gt;0,FALSE),B489="DI"),"IO","no")</f>
        <v>no</v>
      </c>
    </row>
    <row r="490" spans="2:4" x14ac:dyDescent="0.25">
      <c r="B490" s="22" t="s">
        <v>2589</v>
      </c>
      <c r="C490" s="22" t="s">
        <v>2591</v>
      </c>
      <c r="D490" t="str">
        <f>+IF(OR(IFERROR(FIND(".IO",Table2[[#This Row],[Sheet Location]],1)&gt;0,FALSE),B490="DI"),"IO","no")</f>
        <v>no</v>
      </c>
    </row>
    <row r="491" spans="2:4" x14ac:dyDescent="0.25">
      <c r="B491" s="22" t="s">
        <v>2589</v>
      </c>
      <c r="C491" s="22" t="s">
        <v>2592</v>
      </c>
      <c r="D491" t="str">
        <f>+IF(OR(IFERROR(FIND(".IO",Table2[[#This Row],[Sheet Location]],1)&gt;0,FALSE),B491="DI"),"IO","no")</f>
        <v>no</v>
      </c>
    </row>
    <row r="492" spans="2:4" x14ac:dyDescent="0.25">
      <c r="B492" s="22" t="s">
        <v>2589</v>
      </c>
      <c r="C492" s="22" t="s">
        <v>2593</v>
      </c>
      <c r="D492" t="str">
        <f>+IF(OR(IFERROR(FIND(".IO",Table2[[#This Row],[Sheet Location]],1)&gt;0,FALSE),B492="DI"),"IO","no")</f>
        <v>no</v>
      </c>
    </row>
    <row r="493" spans="2:4" x14ac:dyDescent="0.25">
      <c r="B493" s="22" t="s">
        <v>2589</v>
      </c>
      <c r="C493" s="22" t="s">
        <v>2594</v>
      </c>
      <c r="D493" t="str">
        <f>+IF(OR(IFERROR(FIND(".IO",Table2[[#This Row],[Sheet Location]],1)&gt;0,FALSE),B493="DI"),"IO","no")</f>
        <v>no</v>
      </c>
    </row>
    <row r="494" spans="2:4" x14ac:dyDescent="0.25">
      <c r="B494" s="22" t="s">
        <v>2589</v>
      </c>
      <c r="C494" s="22" t="s">
        <v>2595</v>
      </c>
      <c r="D494" t="str">
        <f>+IF(OR(IFERROR(FIND(".IO",Table2[[#This Row],[Sheet Location]],1)&gt;0,FALSE),B494="DI"),"IO","no")</f>
        <v>no</v>
      </c>
    </row>
    <row r="495" spans="2:4" x14ac:dyDescent="0.25">
      <c r="B495" s="22" t="s">
        <v>2589</v>
      </c>
      <c r="C495" s="22" t="s">
        <v>2596</v>
      </c>
      <c r="D495" t="str">
        <f>+IF(OR(IFERROR(FIND(".IO",Table2[[#This Row],[Sheet Location]],1)&gt;0,FALSE),B495="DI"),"IO","no")</f>
        <v>no</v>
      </c>
    </row>
    <row r="496" spans="2:4" x14ac:dyDescent="0.25">
      <c r="B496" s="22" t="s">
        <v>2589</v>
      </c>
      <c r="C496" s="22" t="s">
        <v>2597</v>
      </c>
      <c r="D496" t="str">
        <f>+IF(OR(IFERROR(FIND(".IO",Table2[[#This Row],[Sheet Location]],1)&gt;0,FALSE),B496="DI"),"IO","no")</f>
        <v>no</v>
      </c>
    </row>
    <row r="497" spans="2:4" x14ac:dyDescent="0.25">
      <c r="B497" s="22" t="s">
        <v>2589</v>
      </c>
      <c r="C497" s="22" t="s">
        <v>2598</v>
      </c>
      <c r="D497" t="str">
        <f>+IF(OR(IFERROR(FIND(".IO",Table2[[#This Row],[Sheet Location]],1)&gt;0,FALSE),B497="DI"),"IO","no")</f>
        <v>no</v>
      </c>
    </row>
    <row r="498" spans="2:4" x14ac:dyDescent="0.25">
      <c r="B498" s="22" t="s">
        <v>2589</v>
      </c>
      <c r="C498" s="22" t="s">
        <v>2599</v>
      </c>
      <c r="D498" t="str">
        <f>+IF(OR(IFERROR(FIND(".IO",Table2[[#This Row],[Sheet Location]],1)&gt;0,FALSE),B498="DI"),"IO","no")</f>
        <v>no</v>
      </c>
    </row>
    <row r="499" spans="2:4" x14ac:dyDescent="0.25">
      <c r="B499" s="22" t="s">
        <v>2188</v>
      </c>
      <c r="C499" s="22" t="s">
        <v>2600</v>
      </c>
      <c r="D499" t="str">
        <f>+IF(OR(IFERROR(FIND(".IO",Table2[[#This Row],[Sheet Location]],1)&gt;0,FALSE),B499="DI"),"IO","no")</f>
        <v>no</v>
      </c>
    </row>
    <row r="500" spans="2:4" x14ac:dyDescent="0.25">
      <c r="B500" s="22" t="s">
        <v>2188</v>
      </c>
      <c r="C500" s="22" t="s">
        <v>2601</v>
      </c>
      <c r="D500" t="str">
        <f>+IF(OR(IFERROR(FIND(".IO",Table2[[#This Row],[Sheet Location]],1)&gt;0,FALSE),B500="DI"),"IO","no")</f>
        <v>no</v>
      </c>
    </row>
    <row r="501" spans="2:4" x14ac:dyDescent="0.25">
      <c r="B501" s="22" t="s">
        <v>2188</v>
      </c>
      <c r="C501" s="22" t="s">
        <v>2602</v>
      </c>
      <c r="D501" t="str">
        <f>+IF(OR(IFERROR(FIND(".IO",Table2[[#This Row],[Sheet Location]],1)&gt;0,FALSE),B501="DI"),"IO","no")</f>
        <v>no</v>
      </c>
    </row>
    <row r="502" spans="2:4" x14ac:dyDescent="0.25">
      <c r="B502" s="22" t="s">
        <v>2188</v>
      </c>
      <c r="C502" s="22" t="s">
        <v>2603</v>
      </c>
      <c r="D502" t="str">
        <f>+IF(OR(IFERROR(FIND(".IO",Table2[[#This Row],[Sheet Location]],1)&gt;0,FALSE),B502="DI"),"IO","no")</f>
        <v>no</v>
      </c>
    </row>
    <row r="503" spans="2:4" x14ac:dyDescent="0.25">
      <c r="B503" s="22" t="s">
        <v>2188</v>
      </c>
      <c r="C503" s="22" t="s">
        <v>2604</v>
      </c>
      <c r="D503" t="str">
        <f>+IF(OR(IFERROR(FIND(".IO",Table2[[#This Row],[Sheet Location]],1)&gt;0,FALSE),B503="DI"),"IO","no")</f>
        <v>no</v>
      </c>
    </row>
    <row r="504" spans="2:4" x14ac:dyDescent="0.25">
      <c r="B504" s="22" t="s">
        <v>2188</v>
      </c>
      <c r="C504" s="22" t="s">
        <v>2605</v>
      </c>
      <c r="D504" t="str">
        <f>+IF(OR(IFERROR(FIND(".IO",Table2[[#This Row],[Sheet Location]],1)&gt;0,FALSE),B504="DI"),"IO","no")</f>
        <v>no</v>
      </c>
    </row>
    <row r="505" spans="2:4" x14ac:dyDescent="0.25">
      <c r="B505" s="22" t="s">
        <v>2188</v>
      </c>
      <c r="C505" s="22" t="s">
        <v>2606</v>
      </c>
      <c r="D505" t="str">
        <f>+IF(OR(IFERROR(FIND(".IO",Table2[[#This Row],[Sheet Location]],1)&gt;0,FALSE),B505="DI"),"IO","no")</f>
        <v>no</v>
      </c>
    </row>
    <row r="506" spans="2:4" x14ac:dyDescent="0.25">
      <c r="B506" s="22" t="s">
        <v>2188</v>
      </c>
      <c r="C506" s="22" t="s">
        <v>2607</v>
      </c>
      <c r="D506" t="str">
        <f>+IF(OR(IFERROR(FIND(".IO",Table2[[#This Row],[Sheet Location]],1)&gt;0,FALSE),B506="DI"),"IO","no")</f>
        <v>no</v>
      </c>
    </row>
    <row r="507" spans="2:4" x14ac:dyDescent="0.25">
      <c r="B507" s="22" t="s">
        <v>2608</v>
      </c>
      <c r="C507" s="22" t="s">
        <v>2609</v>
      </c>
      <c r="D507" t="str">
        <f>+IF(OR(IFERROR(FIND(".IO",Table2[[#This Row],[Sheet Location]],1)&gt;0,FALSE),B507="DI"),"IO","no")</f>
        <v>no</v>
      </c>
    </row>
    <row r="508" spans="2:4" x14ac:dyDescent="0.25">
      <c r="B508" s="22" t="s">
        <v>2608</v>
      </c>
      <c r="C508" s="22" t="s">
        <v>2610</v>
      </c>
      <c r="D508" t="str">
        <f>+IF(OR(IFERROR(FIND(".IO",Table2[[#This Row],[Sheet Location]],1)&gt;0,FALSE),B508="DI"),"IO","no")</f>
        <v>no</v>
      </c>
    </row>
    <row r="509" spans="2:4" x14ac:dyDescent="0.25">
      <c r="B509" s="22" t="s">
        <v>2608</v>
      </c>
      <c r="C509" s="22" t="s">
        <v>2611</v>
      </c>
      <c r="D509" t="str">
        <f>+IF(OR(IFERROR(FIND(".IO",Table2[[#This Row],[Sheet Location]],1)&gt;0,FALSE),B509="DI"),"IO","no")</f>
        <v>no</v>
      </c>
    </row>
    <row r="510" spans="2:4" x14ac:dyDescent="0.25">
      <c r="B510" s="22" t="s">
        <v>2608</v>
      </c>
      <c r="C510" s="22" t="s">
        <v>2612</v>
      </c>
      <c r="D510" t="str">
        <f>+IF(OR(IFERROR(FIND(".IO",Table2[[#This Row],[Sheet Location]],1)&gt;0,FALSE),B510="DI"),"IO","no")</f>
        <v>no</v>
      </c>
    </row>
    <row r="511" spans="2:4" x14ac:dyDescent="0.25">
      <c r="B511" s="22" t="s">
        <v>2608</v>
      </c>
      <c r="C511" s="22" t="s">
        <v>2613</v>
      </c>
      <c r="D511" t="str">
        <f>+IF(OR(IFERROR(FIND(".IO",Table2[[#This Row],[Sheet Location]],1)&gt;0,FALSE),B511="DI"),"IO","no")</f>
        <v>no</v>
      </c>
    </row>
    <row r="512" spans="2:4" x14ac:dyDescent="0.25">
      <c r="B512" s="22" t="s">
        <v>2614</v>
      </c>
      <c r="C512" s="22" t="s">
        <v>2615</v>
      </c>
      <c r="D512" t="str">
        <f>+IF(OR(IFERROR(FIND(".IO",Table2[[#This Row],[Sheet Location]],1)&gt;0,FALSE),B512="DI"),"IO","no")</f>
        <v>no</v>
      </c>
    </row>
    <row r="513" spans="2:4" x14ac:dyDescent="0.25">
      <c r="B513" s="22" t="s">
        <v>2614</v>
      </c>
      <c r="C513" s="22" t="s">
        <v>2616</v>
      </c>
      <c r="D513" t="str">
        <f>+IF(OR(IFERROR(FIND(".IO",Table2[[#This Row],[Sheet Location]],1)&gt;0,FALSE),B513="DI"),"IO","no")</f>
        <v>no</v>
      </c>
    </row>
    <row r="514" spans="2:4" x14ac:dyDescent="0.25">
      <c r="B514" s="22" t="s">
        <v>2614</v>
      </c>
      <c r="C514" s="22" t="s">
        <v>2617</v>
      </c>
      <c r="D514" t="str">
        <f>+IF(OR(IFERROR(FIND(".IO",Table2[[#This Row],[Sheet Location]],1)&gt;0,FALSE),B514="DI"),"IO","no")</f>
        <v>no</v>
      </c>
    </row>
    <row r="515" spans="2:4" x14ac:dyDescent="0.25">
      <c r="B515" s="22" t="s">
        <v>2614</v>
      </c>
      <c r="C515" s="22" t="s">
        <v>2618</v>
      </c>
      <c r="D515" t="str">
        <f>+IF(OR(IFERROR(FIND(".IO",Table2[[#This Row],[Sheet Location]],1)&gt;0,FALSE),B515="DI"),"IO","no")</f>
        <v>no</v>
      </c>
    </row>
    <row r="516" spans="2:4" x14ac:dyDescent="0.25">
      <c r="B516" s="22" t="s">
        <v>2614</v>
      </c>
      <c r="C516" s="22" t="s">
        <v>2619</v>
      </c>
      <c r="D516" t="str">
        <f>+IF(OR(IFERROR(FIND(".IO",Table2[[#This Row],[Sheet Location]],1)&gt;0,FALSE),B516="DI"),"IO","no")</f>
        <v>no</v>
      </c>
    </row>
    <row r="517" spans="2:4" x14ac:dyDescent="0.25">
      <c r="B517" s="22" t="s">
        <v>2614</v>
      </c>
      <c r="C517" s="22" t="s">
        <v>2620</v>
      </c>
      <c r="D517" t="str">
        <f>+IF(OR(IFERROR(FIND(".IO",Table2[[#This Row],[Sheet Location]],1)&gt;0,FALSE),B517="DI"),"IO","no")</f>
        <v>no</v>
      </c>
    </row>
    <row r="518" spans="2:4" x14ac:dyDescent="0.25">
      <c r="B518" s="22" t="s">
        <v>2614</v>
      </c>
      <c r="C518" s="22" t="s">
        <v>2621</v>
      </c>
      <c r="D518" t="str">
        <f>+IF(OR(IFERROR(FIND(".IO",Table2[[#This Row],[Sheet Location]],1)&gt;0,FALSE),B518="DI"),"IO","no")</f>
        <v>no</v>
      </c>
    </row>
    <row r="519" spans="2:4" x14ac:dyDescent="0.25">
      <c r="B519" s="22" t="s">
        <v>2622</v>
      </c>
      <c r="C519" s="22" t="s">
        <v>2623</v>
      </c>
      <c r="D519" t="str">
        <f>+IF(OR(IFERROR(FIND(".IO",Table2[[#This Row],[Sheet Location]],1)&gt;0,FALSE),B519="DI"),"IO","no")</f>
        <v>no</v>
      </c>
    </row>
    <row r="520" spans="2:4" x14ac:dyDescent="0.25">
      <c r="B520" s="22" t="s">
        <v>2622</v>
      </c>
      <c r="C520" s="22" t="s">
        <v>2624</v>
      </c>
      <c r="D520" t="str">
        <f>+IF(OR(IFERROR(FIND(".IO",Table2[[#This Row],[Sheet Location]],1)&gt;0,FALSE),B520="DI"),"IO","no")</f>
        <v>no</v>
      </c>
    </row>
    <row r="521" spans="2:4" x14ac:dyDescent="0.25">
      <c r="B521" s="22" t="s">
        <v>2622</v>
      </c>
      <c r="C521" s="22" t="s">
        <v>2625</v>
      </c>
      <c r="D521" t="str">
        <f>+IF(OR(IFERROR(FIND(".IO",Table2[[#This Row],[Sheet Location]],1)&gt;0,FALSE),B521="DI"),"IO","no")</f>
        <v>no</v>
      </c>
    </row>
    <row r="522" spans="2:4" x14ac:dyDescent="0.25">
      <c r="B522" s="22" t="s">
        <v>2622</v>
      </c>
      <c r="C522" s="22" t="s">
        <v>2626</v>
      </c>
      <c r="D522" t="str">
        <f>+IF(OR(IFERROR(FIND(".IO",Table2[[#This Row],[Sheet Location]],1)&gt;0,FALSE),B522="DI"),"IO","no")</f>
        <v>no</v>
      </c>
    </row>
    <row r="523" spans="2:4" x14ac:dyDescent="0.25">
      <c r="B523" s="22" t="s">
        <v>2622</v>
      </c>
      <c r="C523" s="22" t="s">
        <v>2627</v>
      </c>
      <c r="D523" t="str">
        <f>+IF(OR(IFERROR(FIND(".IO",Table2[[#This Row],[Sheet Location]],1)&gt;0,FALSE),B523="DI"),"IO","no")</f>
        <v>no</v>
      </c>
    </row>
    <row r="524" spans="2:4" x14ac:dyDescent="0.25">
      <c r="B524" s="22" t="s">
        <v>2622</v>
      </c>
      <c r="C524" s="22" t="s">
        <v>2628</v>
      </c>
      <c r="D524" t="str">
        <f>+IF(OR(IFERROR(FIND(".IO",Table2[[#This Row],[Sheet Location]],1)&gt;0,FALSE),B524="DI"),"IO","no")</f>
        <v>no</v>
      </c>
    </row>
    <row r="525" spans="2:4" x14ac:dyDescent="0.25">
      <c r="B525" s="22" t="s">
        <v>2622</v>
      </c>
      <c r="C525" s="22" t="s">
        <v>2629</v>
      </c>
      <c r="D525" t="str">
        <f>+IF(OR(IFERROR(FIND(".IO",Table2[[#This Row],[Sheet Location]],1)&gt;0,FALSE),B525="DI"),"IO","no")</f>
        <v>no</v>
      </c>
    </row>
    <row r="526" spans="2:4" x14ac:dyDescent="0.25">
      <c r="B526" s="22" t="s">
        <v>2622</v>
      </c>
      <c r="C526" s="22" t="s">
        <v>2630</v>
      </c>
      <c r="D526" t="str">
        <f>+IF(OR(IFERROR(FIND(".IO",Table2[[#This Row],[Sheet Location]],1)&gt;0,FALSE),B526="DI"),"IO","no")</f>
        <v>no</v>
      </c>
    </row>
    <row r="527" spans="2:4" x14ac:dyDescent="0.25">
      <c r="B527" s="22" t="s">
        <v>2631</v>
      </c>
      <c r="C527" s="22" t="s">
        <v>2632</v>
      </c>
      <c r="D527" t="str">
        <f>+IF(OR(IFERROR(FIND(".IO",Table2[[#This Row],[Sheet Location]],1)&gt;0,FALSE),B527="DI"),"IO","no")</f>
        <v>IO</v>
      </c>
    </row>
    <row r="528" spans="2:4" x14ac:dyDescent="0.25">
      <c r="B528" s="22" t="s">
        <v>2631</v>
      </c>
      <c r="C528" s="22" t="s">
        <v>2633</v>
      </c>
      <c r="D528" t="str">
        <f>+IF(OR(IFERROR(FIND(".IO",Table2[[#This Row],[Sheet Location]],1)&gt;0,FALSE),B528="DI"),"IO","no")</f>
        <v>IO</v>
      </c>
    </row>
    <row r="529" spans="2:4" x14ac:dyDescent="0.25">
      <c r="B529" s="22" t="s">
        <v>2631</v>
      </c>
      <c r="C529" s="22" t="s">
        <v>2634</v>
      </c>
      <c r="D529" t="str">
        <f>+IF(OR(IFERROR(FIND(".IO",Table2[[#This Row],[Sheet Location]],1)&gt;0,FALSE),B529="DI"),"IO","no")</f>
        <v>IO</v>
      </c>
    </row>
    <row r="530" spans="2:4" x14ac:dyDescent="0.25">
      <c r="B530" s="22" t="s">
        <v>2631</v>
      </c>
      <c r="C530" s="22" t="s">
        <v>2635</v>
      </c>
      <c r="D530" t="str">
        <f>+IF(OR(IFERROR(FIND(".IO",Table2[[#This Row],[Sheet Location]],1)&gt;0,FALSE),B530="DI"),"IO","no")</f>
        <v>IO</v>
      </c>
    </row>
    <row r="531" spans="2:4" x14ac:dyDescent="0.25">
      <c r="B531" s="22" t="s">
        <v>2631</v>
      </c>
      <c r="C531" s="22" t="s">
        <v>2636</v>
      </c>
      <c r="D531" t="str">
        <f>+IF(OR(IFERROR(FIND(".IO",Table2[[#This Row],[Sheet Location]],1)&gt;0,FALSE),B531="DI"),"IO","no")</f>
        <v>IO</v>
      </c>
    </row>
    <row r="532" spans="2:4" x14ac:dyDescent="0.25">
      <c r="B532" s="22" t="s">
        <v>2631</v>
      </c>
      <c r="C532" s="22" t="s">
        <v>2637</v>
      </c>
      <c r="D532" t="str">
        <f>+IF(OR(IFERROR(FIND(".IO",Table2[[#This Row],[Sheet Location]],1)&gt;0,FALSE),B532="DI"),"IO","no")</f>
        <v>IO</v>
      </c>
    </row>
    <row r="533" spans="2:4" x14ac:dyDescent="0.25">
      <c r="B533" s="22" t="s">
        <v>2631</v>
      </c>
      <c r="C533" s="22" t="s">
        <v>2638</v>
      </c>
      <c r="D533" t="str">
        <f>+IF(OR(IFERROR(FIND(".IO",Table2[[#This Row],[Sheet Location]],1)&gt;0,FALSE),B533="DI"),"IO","no")</f>
        <v>IO</v>
      </c>
    </row>
    <row r="534" spans="2:4" x14ac:dyDescent="0.25">
      <c r="B534" s="22" t="s">
        <v>2631</v>
      </c>
      <c r="C534" s="22" t="s">
        <v>2639</v>
      </c>
      <c r="D534" t="str">
        <f>+IF(OR(IFERROR(FIND(".IO",Table2[[#This Row],[Sheet Location]],1)&gt;0,FALSE),B534="DI"),"IO","no")</f>
        <v>IO</v>
      </c>
    </row>
    <row r="535" spans="2:4" x14ac:dyDescent="0.25">
      <c r="B535" s="22" t="s">
        <v>2631</v>
      </c>
      <c r="C535" s="22" t="s">
        <v>2640</v>
      </c>
      <c r="D535" t="str">
        <f>+IF(OR(IFERROR(FIND(".IO",Table2[[#This Row],[Sheet Location]],1)&gt;0,FALSE),B535="DI"),"IO","no")</f>
        <v>IO</v>
      </c>
    </row>
    <row r="536" spans="2:4" x14ac:dyDescent="0.25">
      <c r="B536" s="22" t="s">
        <v>2631</v>
      </c>
      <c r="C536" s="22" t="s">
        <v>2641</v>
      </c>
      <c r="D536" t="str">
        <f>+IF(OR(IFERROR(FIND(".IO",Table2[[#This Row],[Sheet Location]],1)&gt;0,FALSE),B536="DI"),"IO","no")</f>
        <v>IO</v>
      </c>
    </row>
    <row r="537" spans="2:4" x14ac:dyDescent="0.25">
      <c r="B537" s="22" t="s">
        <v>2631</v>
      </c>
      <c r="C537" s="22" t="s">
        <v>2642</v>
      </c>
      <c r="D537" t="str">
        <f>+IF(OR(IFERROR(FIND(".IO",Table2[[#This Row],[Sheet Location]],1)&gt;0,FALSE),B537="DI"),"IO","no")</f>
        <v>IO</v>
      </c>
    </row>
    <row r="538" spans="2:4" x14ac:dyDescent="0.25">
      <c r="B538" s="22" t="s">
        <v>2631</v>
      </c>
      <c r="C538" s="22" t="s">
        <v>2643</v>
      </c>
      <c r="D538" t="str">
        <f>+IF(OR(IFERROR(FIND(".IO",Table2[[#This Row],[Sheet Location]],1)&gt;0,FALSE),B538="DI"),"IO","no")</f>
        <v>IO</v>
      </c>
    </row>
    <row r="539" spans="2:4" x14ac:dyDescent="0.25">
      <c r="B539" s="22" t="s">
        <v>2631</v>
      </c>
      <c r="C539" s="22" t="s">
        <v>2644</v>
      </c>
      <c r="D539" t="str">
        <f>+IF(OR(IFERROR(FIND(".IO",Table2[[#This Row],[Sheet Location]],1)&gt;0,FALSE),B539="DI"),"IO","no")</f>
        <v>IO</v>
      </c>
    </row>
    <row r="540" spans="2:4" x14ac:dyDescent="0.25">
      <c r="B540" s="22" t="s">
        <v>2631</v>
      </c>
      <c r="C540" s="22" t="s">
        <v>2645</v>
      </c>
      <c r="D540" t="str">
        <f>+IF(OR(IFERROR(FIND(".IO",Table2[[#This Row],[Sheet Location]],1)&gt;0,FALSE),B540="DI"),"IO","no")</f>
        <v>IO</v>
      </c>
    </row>
    <row r="541" spans="2:4" x14ac:dyDescent="0.25">
      <c r="B541" s="22" t="s">
        <v>2631</v>
      </c>
      <c r="C541" s="22" t="s">
        <v>2646</v>
      </c>
      <c r="D541" t="str">
        <f>+IF(OR(IFERROR(FIND(".IO",Table2[[#This Row],[Sheet Location]],1)&gt;0,FALSE),B541="DI"),"IO","no")</f>
        <v>IO</v>
      </c>
    </row>
    <row r="542" spans="2:4" x14ac:dyDescent="0.25">
      <c r="B542" s="22" t="s">
        <v>2631</v>
      </c>
      <c r="C542" s="22" t="s">
        <v>2647</v>
      </c>
      <c r="D542" t="str">
        <f>+IF(OR(IFERROR(FIND(".IO",Table2[[#This Row],[Sheet Location]],1)&gt;0,FALSE),B542="DI"),"IO","no")</f>
        <v>IO</v>
      </c>
    </row>
    <row r="543" spans="2:4" x14ac:dyDescent="0.25">
      <c r="B543" s="22" t="s">
        <v>2631</v>
      </c>
      <c r="C543" s="22" t="s">
        <v>2648</v>
      </c>
      <c r="D543" t="str">
        <f>+IF(OR(IFERROR(FIND(".IO",Table2[[#This Row],[Sheet Location]],1)&gt;0,FALSE),B543="DI"),"IO","no")</f>
        <v>IO</v>
      </c>
    </row>
    <row r="544" spans="2:4" x14ac:dyDescent="0.25">
      <c r="B544" s="22" t="s">
        <v>2631</v>
      </c>
      <c r="C544" s="22" t="s">
        <v>2649</v>
      </c>
      <c r="D544" t="str">
        <f>+IF(OR(IFERROR(FIND(".IO",Table2[[#This Row],[Sheet Location]],1)&gt;0,FALSE),B544="DI"),"IO","no")</f>
        <v>IO</v>
      </c>
    </row>
    <row r="545" spans="2:4" x14ac:dyDescent="0.25">
      <c r="B545" s="22" t="s">
        <v>2631</v>
      </c>
      <c r="C545" s="22" t="s">
        <v>2650</v>
      </c>
      <c r="D545" t="str">
        <f>+IF(OR(IFERROR(FIND(".IO",Table2[[#This Row],[Sheet Location]],1)&gt;0,FALSE),B545="DI"),"IO","no")</f>
        <v>IO</v>
      </c>
    </row>
    <row r="546" spans="2:4" x14ac:dyDescent="0.25">
      <c r="B546" s="22" t="s">
        <v>2631</v>
      </c>
      <c r="C546" s="22" t="s">
        <v>2651</v>
      </c>
      <c r="D546" t="str">
        <f>+IF(OR(IFERROR(FIND(".IO",Table2[[#This Row],[Sheet Location]],1)&gt;0,FALSE),B546="DI"),"IO","no")</f>
        <v>IO</v>
      </c>
    </row>
    <row r="547" spans="2:4" x14ac:dyDescent="0.25">
      <c r="B547" s="22" t="s">
        <v>2631</v>
      </c>
      <c r="C547" s="22" t="s">
        <v>2652</v>
      </c>
      <c r="D547" t="str">
        <f>+IF(OR(IFERROR(FIND(".IO",Table2[[#This Row],[Sheet Location]],1)&gt;0,FALSE),B547="DI"),"IO","no")</f>
        <v>IO</v>
      </c>
    </row>
    <row r="548" spans="2:4" x14ac:dyDescent="0.25">
      <c r="B548" s="22" t="s">
        <v>2631</v>
      </c>
      <c r="C548" s="22" t="s">
        <v>2653</v>
      </c>
      <c r="D548" t="str">
        <f>+IF(OR(IFERROR(FIND(".IO",Table2[[#This Row],[Sheet Location]],1)&gt;0,FALSE),B548="DI"),"IO","no")</f>
        <v>IO</v>
      </c>
    </row>
    <row r="549" spans="2:4" x14ac:dyDescent="0.25">
      <c r="B549" s="22" t="s">
        <v>2631</v>
      </c>
      <c r="C549" s="22" t="s">
        <v>2654</v>
      </c>
      <c r="D549" t="str">
        <f>+IF(OR(IFERROR(FIND(".IO",Table2[[#This Row],[Sheet Location]],1)&gt;0,FALSE),B549="DI"),"IO","no")</f>
        <v>IO</v>
      </c>
    </row>
    <row r="550" spans="2:4" x14ac:dyDescent="0.25">
      <c r="B550" s="22" t="s">
        <v>2631</v>
      </c>
      <c r="C550" s="22" t="s">
        <v>2655</v>
      </c>
      <c r="D550" t="str">
        <f>+IF(OR(IFERROR(FIND(".IO",Table2[[#This Row],[Sheet Location]],1)&gt;0,FALSE),B550="DI"),"IO","no")</f>
        <v>IO</v>
      </c>
    </row>
    <row r="551" spans="2:4" x14ac:dyDescent="0.25">
      <c r="B551" s="22" t="s">
        <v>2631</v>
      </c>
      <c r="C551" s="22" t="s">
        <v>2656</v>
      </c>
      <c r="D551" t="str">
        <f>+IF(OR(IFERROR(FIND(".IO",Table2[[#This Row],[Sheet Location]],1)&gt;0,FALSE),B551="DI"),"IO","no")</f>
        <v>IO</v>
      </c>
    </row>
    <row r="552" spans="2:4" x14ac:dyDescent="0.25">
      <c r="B552" s="22" t="s">
        <v>2631</v>
      </c>
      <c r="C552" s="22" t="s">
        <v>2657</v>
      </c>
      <c r="D552" t="str">
        <f>+IF(OR(IFERROR(FIND(".IO",Table2[[#This Row],[Sheet Location]],1)&gt;0,FALSE),B552="DI"),"IO","no")</f>
        <v>IO</v>
      </c>
    </row>
    <row r="553" spans="2:4" x14ac:dyDescent="0.25">
      <c r="B553" s="22" t="s">
        <v>2631</v>
      </c>
      <c r="C553" s="22" t="s">
        <v>2658</v>
      </c>
      <c r="D553" t="str">
        <f>+IF(OR(IFERROR(FIND(".IO",Table2[[#This Row],[Sheet Location]],1)&gt;0,FALSE),B553="DI"),"IO","no")</f>
        <v>IO</v>
      </c>
    </row>
    <row r="554" spans="2:4" x14ac:dyDescent="0.25">
      <c r="B554" s="22" t="s">
        <v>2631</v>
      </c>
      <c r="C554" s="22" t="s">
        <v>2659</v>
      </c>
      <c r="D554" t="str">
        <f>+IF(OR(IFERROR(FIND(".IO",Table2[[#This Row],[Sheet Location]],1)&gt;0,FALSE),B554="DI"),"IO","no")</f>
        <v>IO</v>
      </c>
    </row>
    <row r="555" spans="2:4" x14ac:dyDescent="0.25">
      <c r="B555" s="22" t="s">
        <v>2631</v>
      </c>
      <c r="C555" s="22" t="s">
        <v>2660</v>
      </c>
      <c r="D555" t="str">
        <f>+IF(OR(IFERROR(FIND(".IO",Table2[[#This Row],[Sheet Location]],1)&gt;0,FALSE),B555="DI"),"IO","no")</f>
        <v>IO</v>
      </c>
    </row>
    <row r="556" spans="2:4" x14ac:dyDescent="0.25">
      <c r="B556" s="22" t="s">
        <v>2631</v>
      </c>
      <c r="C556" s="22" t="s">
        <v>2661</v>
      </c>
      <c r="D556" t="str">
        <f>+IF(OR(IFERROR(FIND(".IO",Table2[[#This Row],[Sheet Location]],1)&gt;0,FALSE),B556="DI"),"IO","no")</f>
        <v>IO</v>
      </c>
    </row>
    <row r="557" spans="2:4" x14ac:dyDescent="0.25">
      <c r="B557" s="22" t="s">
        <v>2631</v>
      </c>
      <c r="C557" s="22" t="s">
        <v>2662</v>
      </c>
      <c r="D557" t="str">
        <f>+IF(OR(IFERROR(FIND(".IO",Table2[[#This Row],[Sheet Location]],1)&gt;0,FALSE),B557="DI"),"IO","no")</f>
        <v>IO</v>
      </c>
    </row>
    <row r="558" spans="2:4" x14ac:dyDescent="0.25">
      <c r="B558" s="22" t="s">
        <v>2631</v>
      </c>
      <c r="C558" s="22" t="s">
        <v>2663</v>
      </c>
      <c r="D558" t="str">
        <f>+IF(OR(IFERROR(FIND(".IO",Table2[[#This Row],[Sheet Location]],1)&gt;0,FALSE),B558="DI"),"IO","no")</f>
        <v>IO</v>
      </c>
    </row>
    <row r="559" spans="2:4" x14ac:dyDescent="0.25">
      <c r="B559" s="22" t="s">
        <v>2631</v>
      </c>
      <c r="C559" s="22" t="s">
        <v>2664</v>
      </c>
      <c r="D559" t="str">
        <f>+IF(OR(IFERROR(FIND(".IO",Table2[[#This Row],[Sheet Location]],1)&gt;0,FALSE),B559="DI"),"IO","no")</f>
        <v>IO</v>
      </c>
    </row>
    <row r="560" spans="2:4" x14ac:dyDescent="0.25">
      <c r="B560" s="22" t="s">
        <v>2631</v>
      </c>
      <c r="C560" s="22" t="s">
        <v>2665</v>
      </c>
      <c r="D560" t="str">
        <f>+IF(OR(IFERROR(FIND(".IO",Table2[[#This Row],[Sheet Location]],1)&gt;0,FALSE),B560="DI"),"IO","no")</f>
        <v>IO</v>
      </c>
    </row>
    <row r="561" spans="2:4" x14ac:dyDescent="0.25">
      <c r="B561" s="22" t="s">
        <v>2631</v>
      </c>
      <c r="C561" s="22" t="s">
        <v>2666</v>
      </c>
      <c r="D561" t="str">
        <f>+IF(OR(IFERROR(FIND(".IO",Table2[[#This Row],[Sheet Location]],1)&gt;0,FALSE),B561="DI"),"IO","no")</f>
        <v>IO</v>
      </c>
    </row>
    <row r="562" spans="2:4" x14ac:dyDescent="0.25">
      <c r="B562" s="22" t="s">
        <v>2631</v>
      </c>
      <c r="C562" s="22" t="s">
        <v>2667</v>
      </c>
      <c r="D562" t="str">
        <f>+IF(OR(IFERROR(FIND(".IO",Table2[[#This Row],[Sheet Location]],1)&gt;0,FALSE),B562="DI"),"IO","no")</f>
        <v>IO</v>
      </c>
    </row>
    <row r="563" spans="2:4" x14ac:dyDescent="0.25">
      <c r="B563" s="22" t="s">
        <v>2631</v>
      </c>
      <c r="C563" s="22" t="s">
        <v>2668</v>
      </c>
      <c r="D563" t="str">
        <f>+IF(OR(IFERROR(FIND(".IO",Table2[[#This Row],[Sheet Location]],1)&gt;0,FALSE),B563="DI"),"IO","no")</f>
        <v>IO</v>
      </c>
    </row>
    <row r="564" spans="2:4" x14ac:dyDescent="0.25">
      <c r="B564" s="22" t="s">
        <v>2631</v>
      </c>
      <c r="C564" s="22" t="s">
        <v>2669</v>
      </c>
      <c r="D564" t="str">
        <f>+IF(OR(IFERROR(FIND(".IO",Table2[[#This Row],[Sheet Location]],1)&gt;0,FALSE),B564="DI"),"IO","no")</f>
        <v>IO</v>
      </c>
    </row>
    <row r="565" spans="2:4" x14ac:dyDescent="0.25">
      <c r="B565" s="22" t="s">
        <v>2631</v>
      </c>
      <c r="C565" s="22" t="s">
        <v>2670</v>
      </c>
      <c r="D565" t="str">
        <f>+IF(OR(IFERROR(FIND(".IO",Table2[[#This Row],[Sheet Location]],1)&gt;0,FALSE),B565="DI"),"IO","no")</f>
        <v>IO</v>
      </c>
    </row>
    <row r="566" spans="2:4" x14ac:dyDescent="0.25">
      <c r="B566" s="22" t="s">
        <v>2671</v>
      </c>
      <c r="C566" s="22" t="s">
        <v>2672</v>
      </c>
      <c r="D566" t="str">
        <f>+IF(OR(IFERROR(FIND(".IO",Table2[[#This Row],[Sheet Location]],1)&gt;0,FALSE),B566="DI"),"IO","no")</f>
        <v>no</v>
      </c>
    </row>
    <row r="567" spans="2:4" x14ac:dyDescent="0.25">
      <c r="B567" s="22" t="s">
        <v>2671</v>
      </c>
      <c r="C567" s="22" t="s">
        <v>2673</v>
      </c>
      <c r="D567" t="str">
        <f>+IF(OR(IFERROR(FIND(".IO",Table2[[#This Row],[Sheet Location]],1)&gt;0,FALSE),B567="DI"),"IO","no")</f>
        <v>no</v>
      </c>
    </row>
    <row r="568" spans="2:4" x14ac:dyDescent="0.25">
      <c r="B568" s="22" t="s">
        <v>2671</v>
      </c>
      <c r="C568" s="22" t="s">
        <v>2674</v>
      </c>
      <c r="D568" t="str">
        <f>+IF(OR(IFERROR(FIND(".IO",Table2[[#This Row],[Sheet Location]],1)&gt;0,FALSE),B568="DI"),"IO","no")</f>
        <v>no</v>
      </c>
    </row>
    <row r="569" spans="2:4" x14ac:dyDescent="0.25">
      <c r="B569" s="22" t="s">
        <v>2671</v>
      </c>
      <c r="C569" s="22" t="s">
        <v>2675</v>
      </c>
      <c r="D569" t="str">
        <f>+IF(OR(IFERROR(FIND(".IO",Table2[[#This Row],[Sheet Location]],1)&gt;0,FALSE),B569="DI"),"IO","no")</f>
        <v>no</v>
      </c>
    </row>
    <row r="570" spans="2:4" x14ac:dyDescent="0.25">
      <c r="B570" s="22" t="s">
        <v>2671</v>
      </c>
      <c r="C570" s="22" t="s">
        <v>2676</v>
      </c>
      <c r="D570" t="str">
        <f>+IF(OR(IFERROR(FIND(".IO",Table2[[#This Row],[Sheet Location]],1)&gt;0,FALSE),B570="DI"),"IO","no")</f>
        <v>no</v>
      </c>
    </row>
    <row r="571" spans="2:4" x14ac:dyDescent="0.25">
      <c r="B571" s="22" t="s">
        <v>2671</v>
      </c>
      <c r="C571" s="22" t="s">
        <v>2677</v>
      </c>
      <c r="D571" t="str">
        <f>+IF(OR(IFERROR(FIND(".IO",Table2[[#This Row],[Sheet Location]],1)&gt;0,FALSE),B571="DI"),"IO","no")</f>
        <v>no</v>
      </c>
    </row>
    <row r="572" spans="2:4" x14ac:dyDescent="0.25">
      <c r="B572" s="22" t="s">
        <v>2678</v>
      </c>
      <c r="C572" s="22" t="s">
        <v>2679</v>
      </c>
      <c r="D572" t="str">
        <f>+IF(OR(IFERROR(FIND(".IO",Table2[[#This Row],[Sheet Location]],1)&gt;0,FALSE),B572="DI"),"IO","no")</f>
        <v>no</v>
      </c>
    </row>
    <row r="573" spans="2:4" x14ac:dyDescent="0.25">
      <c r="B573" s="22" t="s">
        <v>2678</v>
      </c>
      <c r="C573" s="22" t="s">
        <v>2680</v>
      </c>
      <c r="D573" t="str">
        <f>+IF(OR(IFERROR(FIND(".IO",Table2[[#This Row],[Sheet Location]],1)&gt;0,FALSE),B573="DI"),"IO","no")</f>
        <v>no</v>
      </c>
    </row>
    <row r="574" spans="2:4" x14ac:dyDescent="0.25">
      <c r="B574" s="22" t="s">
        <v>2678</v>
      </c>
      <c r="C574" s="22" t="s">
        <v>2681</v>
      </c>
      <c r="D574" t="str">
        <f>+IF(OR(IFERROR(FIND(".IO",Table2[[#This Row],[Sheet Location]],1)&gt;0,FALSE),B574="DI"),"IO","no")</f>
        <v>no</v>
      </c>
    </row>
    <row r="575" spans="2:4" x14ac:dyDescent="0.25">
      <c r="B575" s="22" t="s">
        <v>2678</v>
      </c>
      <c r="C575" s="22" t="s">
        <v>2682</v>
      </c>
      <c r="D575" t="str">
        <f>+IF(OR(IFERROR(FIND(".IO",Table2[[#This Row],[Sheet Location]],1)&gt;0,FALSE),B575="DI"),"IO","no")</f>
        <v>no</v>
      </c>
    </row>
    <row r="576" spans="2:4" x14ac:dyDescent="0.25">
      <c r="B576" s="22" t="s">
        <v>2678</v>
      </c>
      <c r="C576" s="22" t="s">
        <v>2683</v>
      </c>
      <c r="D576" t="str">
        <f>+IF(OR(IFERROR(FIND(".IO",Table2[[#This Row],[Sheet Location]],1)&gt;0,FALSE),B576="DI"),"IO","no")</f>
        <v>no</v>
      </c>
    </row>
    <row r="577" spans="2:4" x14ac:dyDescent="0.25">
      <c r="B577" s="22" t="s">
        <v>2684</v>
      </c>
      <c r="C577" s="22" t="s">
        <v>2685</v>
      </c>
      <c r="D577" t="str">
        <f>+IF(OR(IFERROR(FIND(".IO",Table2[[#This Row],[Sheet Location]],1)&gt;0,FALSE),B577="DI"),"IO","no")</f>
        <v>no</v>
      </c>
    </row>
    <row r="578" spans="2:4" x14ac:dyDescent="0.25">
      <c r="B578" s="22" t="s">
        <v>2684</v>
      </c>
      <c r="C578" s="22" t="s">
        <v>2686</v>
      </c>
      <c r="D578" t="str">
        <f>+IF(OR(IFERROR(FIND(".IO",Table2[[#This Row],[Sheet Location]],1)&gt;0,FALSE),B578="DI"),"IO","no")</f>
        <v>no</v>
      </c>
    </row>
    <row r="579" spans="2:4" x14ac:dyDescent="0.25">
      <c r="B579" s="22" t="s">
        <v>2684</v>
      </c>
      <c r="C579" s="22" t="s">
        <v>2687</v>
      </c>
      <c r="D579" t="str">
        <f>+IF(OR(IFERROR(FIND(".IO",Table2[[#This Row],[Sheet Location]],1)&gt;0,FALSE),B579="DI"),"IO","no")</f>
        <v>no</v>
      </c>
    </row>
    <row r="580" spans="2:4" x14ac:dyDescent="0.25">
      <c r="B580" s="22" t="s">
        <v>2684</v>
      </c>
      <c r="C580" s="22" t="s">
        <v>2688</v>
      </c>
      <c r="D580" t="str">
        <f>+IF(OR(IFERROR(FIND(".IO",Table2[[#This Row],[Sheet Location]],1)&gt;0,FALSE),B580="DI"),"IO","no")</f>
        <v>no</v>
      </c>
    </row>
    <row r="581" spans="2:4" x14ac:dyDescent="0.25">
      <c r="B581" s="22" t="s">
        <v>2064</v>
      </c>
      <c r="C581" s="22" t="s">
        <v>2689</v>
      </c>
      <c r="D581" t="str">
        <f>+IF(OR(IFERROR(FIND(".IO",Table2[[#This Row],[Sheet Location]],1)&gt;0,FALSE),B581="DI"),"IO","no")</f>
        <v>no</v>
      </c>
    </row>
    <row r="582" spans="2:4" x14ac:dyDescent="0.25">
      <c r="B582" s="22" t="s">
        <v>2064</v>
      </c>
      <c r="C582" s="22" t="s">
        <v>2690</v>
      </c>
      <c r="D582" t="str">
        <f>+IF(OR(IFERROR(FIND(".IO",Table2[[#This Row],[Sheet Location]],1)&gt;0,FALSE),B582="DI"),"IO","no")</f>
        <v>no</v>
      </c>
    </row>
    <row r="583" spans="2:4" x14ac:dyDescent="0.25">
      <c r="B583" s="22" t="s">
        <v>2064</v>
      </c>
      <c r="C583" s="22" t="s">
        <v>2691</v>
      </c>
      <c r="D583" t="str">
        <f>+IF(OR(IFERROR(FIND(".IO",Table2[[#This Row],[Sheet Location]],1)&gt;0,FALSE),B583="DI"),"IO","no")</f>
        <v>no</v>
      </c>
    </row>
    <row r="584" spans="2:4" x14ac:dyDescent="0.25">
      <c r="B584" s="22" t="s">
        <v>2064</v>
      </c>
      <c r="C584" s="22" t="s">
        <v>2692</v>
      </c>
      <c r="D584" t="str">
        <f>+IF(OR(IFERROR(FIND(".IO",Table2[[#This Row],[Sheet Location]],1)&gt;0,FALSE),B584="DI"),"IO","no")</f>
        <v>no</v>
      </c>
    </row>
    <row r="585" spans="2:4" x14ac:dyDescent="0.25">
      <c r="B585" s="22" t="s">
        <v>2064</v>
      </c>
      <c r="C585" s="22" t="s">
        <v>2693</v>
      </c>
      <c r="D585" t="str">
        <f>+IF(OR(IFERROR(FIND(".IO",Table2[[#This Row],[Sheet Location]],1)&gt;0,FALSE),B585="DI"),"IO","no")</f>
        <v>no</v>
      </c>
    </row>
    <row r="586" spans="2:4" x14ac:dyDescent="0.25">
      <c r="B586" s="22" t="s">
        <v>2064</v>
      </c>
      <c r="C586" s="22" t="s">
        <v>2694</v>
      </c>
      <c r="D586" t="str">
        <f>+IF(OR(IFERROR(FIND(".IO",Table2[[#This Row],[Sheet Location]],1)&gt;0,FALSE),B586="DI"),"IO","no")</f>
        <v>no</v>
      </c>
    </row>
    <row r="587" spans="2:4" x14ac:dyDescent="0.25">
      <c r="B587" s="22" t="s">
        <v>2064</v>
      </c>
      <c r="C587" s="22" t="s">
        <v>2695</v>
      </c>
      <c r="D587" t="str">
        <f>+IF(OR(IFERROR(FIND(".IO",Table2[[#This Row],[Sheet Location]],1)&gt;0,FALSE),B587="DI"),"IO","no")</f>
        <v>no</v>
      </c>
    </row>
    <row r="588" spans="2:4" x14ac:dyDescent="0.25">
      <c r="B588" s="22" t="s">
        <v>2064</v>
      </c>
      <c r="C588" s="22" t="s">
        <v>2696</v>
      </c>
      <c r="D588" t="str">
        <f>+IF(OR(IFERROR(FIND(".IO",Table2[[#This Row],[Sheet Location]],1)&gt;0,FALSE),B588="DI"),"IO","no")</f>
        <v>no</v>
      </c>
    </row>
    <row r="589" spans="2:4" x14ac:dyDescent="0.25">
      <c r="B589" s="22" t="s">
        <v>2064</v>
      </c>
      <c r="C589" s="22" t="s">
        <v>2697</v>
      </c>
      <c r="D589" t="str">
        <f>+IF(OR(IFERROR(FIND(".IO",Table2[[#This Row],[Sheet Location]],1)&gt;0,FALSE),B589="DI"),"IO","no")</f>
        <v>no</v>
      </c>
    </row>
    <row r="590" spans="2:4" x14ac:dyDescent="0.25">
      <c r="B590" s="22" t="s">
        <v>2064</v>
      </c>
      <c r="C590" s="22" t="s">
        <v>2698</v>
      </c>
      <c r="D590" t="str">
        <f>+IF(OR(IFERROR(FIND(".IO",Table2[[#This Row],[Sheet Location]],1)&gt;0,FALSE),B590="DI"),"IO","no")</f>
        <v>no</v>
      </c>
    </row>
    <row r="591" spans="2:4" x14ac:dyDescent="0.25">
      <c r="B591" s="22" t="s">
        <v>2064</v>
      </c>
      <c r="C591" s="22" t="s">
        <v>2699</v>
      </c>
      <c r="D591" t="str">
        <f>+IF(OR(IFERROR(FIND(".IO",Table2[[#This Row],[Sheet Location]],1)&gt;0,FALSE),B591="DI"),"IO","no")</f>
        <v>no</v>
      </c>
    </row>
    <row r="592" spans="2:4" x14ac:dyDescent="0.25">
      <c r="B592" s="22" t="s">
        <v>2064</v>
      </c>
      <c r="C592" s="22" t="s">
        <v>2700</v>
      </c>
      <c r="D592" t="str">
        <f>+IF(OR(IFERROR(FIND(".IO",Table2[[#This Row],[Sheet Location]],1)&gt;0,FALSE),B592="DI"),"IO","no")</f>
        <v>no</v>
      </c>
    </row>
    <row r="593" spans="2:4" x14ac:dyDescent="0.25">
      <c r="B593" s="22" t="s">
        <v>2064</v>
      </c>
      <c r="C593" s="22" t="s">
        <v>2701</v>
      </c>
      <c r="D593" t="str">
        <f>+IF(OR(IFERROR(FIND(".IO",Table2[[#This Row],[Sheet Location]],1)&gt;0,FALSE),B593="DI"),"IO","no")</f>
        <v>no</v>
      </c>
    </row>
    <row r="594" spans="2:4" x14ac:dyDescent="0.25">
      <c r="B594" s="22" t="s">
        <v>2064</v>
      </c>
      <c r="C594" s="22" t="s">
        <v>2702</v>
      </c>
      <c r="D594" t="str">
        <f>+IF(OR(IFERROR(FIND(".IO",Table2[[#This Row],[Sheet Location]],1)&gt;0,FALSE),B594="DI"),"IO","no")</f>
        <v>no</v>
      </c>
    </row>
    <row r="595" spans="2:4" x14ac:dyDescent="0.25">
      <c r="B595" s="22" t="s">
        <v>2064</v>
      </c>
      <c r="C595" s="22" t="s">
        <v>2703</v>
      </c>
      <c r="D595" t="str">
        <f>+IF(OR(IFERROR(FIND(".IO",Table2[[#This Row],[Sheet Location]],1)&gt;0,FALSE),B595="DI"),"IO","no")</f>
        <v>no</v>
      </c>
    </row>
    <row r="596" spans="2:4" x14ac:dyDescent="0.25">
      <c r="B596" s="22" t="s">
        <v>2060</v>
      </c>
      <c r="C596" s="22" t="s">
        <v>2704</v>
      </c>
      <c r="D596" t="str">
        <f>+IF(OR(IFERROR(FIND(".IO",Table2[[#This Row],[Sheet Location]],1)&gt;0,FALSE),B596="DI"),"IO","no")</f>
        <v>no</v>
      </c>
    </row>
    <row r="597" spans="2:4" x14ac:dyDescent="0.25">
      <c r="B597" s="22" t="s">
        <v>2060</v>
      </c>
      <c r="C597" s="22" t="s">
        <v>2705</v>
      </c>
      <c r="D597" t="str">
        <f>+IF(OR(IFERROR(FIND(".IO",Table2[[#This Row],[Sheet Location]],1)&gt;0,FALSE),B597="DI"),"IO","no")</f>
        <v>no</v>
      </c>
    </row>
    <row r="598" spans="2:4" x14ac:dyDescent="0.25">
      <c r="B598" s="22" t="s">
        <v>2060</v>
      </c>
      <c r="C598" s="22" t="s">
        <v>2706</v>
      </c>
      <c r="D598" t="str">
        <f>+IF(OR(IFERROR(FIND(".IO",Table2[[#This Row],[Sheet Location]],1)&gt;0,FALSE),B598="DI"),"IO","no")</f>
        <v>no</v>
      </c>
    </row>
    <row r="599" spans="2:4" x14ac:dyDescent="0.25">
      <c r="B599" s="22" t="s">
        <v>2060</v>
      </c>
      <c r="C599" s="22" t="s">
        <v>2707</v>
      </c>
      <c r="D599" t="str">
        <f>+IF(OR(IFERROR(FIND(".IO",Table2[[#This Row],[Sheet Location]],1)&gt;0,FALSE),B599="DI"),"IO","no")</f>
        <v>no</v>
      </c>
    </row>
    <row r="600" spans="2:4" x14ac:dyDescent="0.25">
      <c r="B600" s="22" t="s">
        <v>2060</v>
      </c>
      <c r="C600" s="22" t="s">
        <v>2708</v>
      </c>
      <c r="D600" t="str">
        <f>+IF(OR(IFERROR(FIND(".IO",Table2[[#This Row],[Sheet Location]],1)&gt;0,FALSE),B600="DI"),"IO","no")</f>
        <v>no</v>
      </c>
    </row>
    <row r="601" spans="2:4" x14ac:dyDescent="0.25">
      <c r="B601" s="22" t="s">
        <v>2060</v>
      </c>
      <c r="C601" s="22" t="s">
        <v>2709</v>
      </c>
      <c r="D601" t="str">
        <f>+IF(OR(IFERROR(FIND(".IO",Table2[[#This Row],[Sheet Location]],1)&gt;0,FALSE),B601="DI"),"IO","no")</f>
        <v>no</v>
      </c>
    </row>
    <row r="602" spans="2:4" x14ac:dyDescent="0.25">
      <c r="B602" s="22" t="s">
        <v>2060</v>
      </c>
      <c r="C602" s="22" t="s">
        <v>2710</v>
      </c>
      <c r="D602" t="str">
        <f>+IF(OR(IFERROR(FIND(".IO",Table2[[#This Row],[Sheet Location]],1)&gt;0,FALSE),B602="DI"),"IO","no")</f>
        <v>no</v>
      </c>
    </row>
    <row r="603" spans="2:4" x14ac:dyDescent="0.25">
      <c r="B603" s="22" t="s">
        <v>2060</v>
      </c>
      <c r="C603" s="22" t="s">
        <v>2711</v>
      </c>
      <c r="D603" t="str">
        <f>+IF(OR(IFERROR(FIND(".IO",Table2[[#This Row],[Sheet Location]],1)&gt;0,FALSE),B603="DI"),"IO","no")</f>
        <v>no</v>
      </c>
    </row>
    <row r="604" spans="2:4" x14ac:dyDescent="0.25">
      <c r="B604" s="22" t="s">
        <v>2060</v>
      </c>
      <c r="C604" s="22" t="s">
        <v>2712</v>
      </c>
      <c r="D604" t="str">
        <f>+IF(OR(IFERROR(FIND(".IO",Table2[[#This Row],[Sheet Location]],1)&gt;0,FALSE),B604="DI"),"IO","no")</f>
        <v>no</v>
      </c>
    </row>
    <row r="605" spans="2:4" x14ac:dyDescent="0.25">
      <c r="B605" s="22" t="s">
        <v>2060</v>
      </c>
      <c r="C605" s="22" t="s">
        <v>2713</v>
      </c>
      <c r="D605" t="str">
        <f>+IF(OR(IFERROR(FIND(".IO",Table2[[#This Row],[Sheet Location]],1)&gt;0,FALSE),B605="DI"),"IO","no")</f>
        <v>no</v>
      </c>
    </row>
    <row r="606" spans="2:4" x14ac:dyDescent="0.25">
      <c r="B606" s="22" t="s">
        <v>2060</v>
      </c>
      <c r="C606" s="22" t="s">
        <v>2714</v>
      </c>
      <c r="D606" t="str">
        <f>+IF(OR(IFERROR(FIND(".IO",Table2[[#This Row],[Sheet Location]],1)&gt;0,FALSE),B606="DI"),"IO","no")</f>
        <v>no</v>
      </c>
    </row>
    <row r="607" spans="2:4" x14ac:dyDescent="0.25">
      <c r="B607" s="22" t="s">
        <v>2060</v>
      </c>
      <c r="C607" s="22" t="s">
        <v>2715</v>
      </c>
      <c r="D607" t="str">
        <f>+IF(OR(IFERROR(FIND(".IO",Table2[[#This Row],[Sheet Location]],1)&gt;0,FALSE),B607="DI"),"IO","no")</f>
        <v>no</v>
      </c>
    </row>
    <row r="608" spans="2:4" x14ac:dyDescent="0.25">
      <c r="B608" s="22" t="s">
        <v>2060</v>
      </c>
      <c r="C608" s="22" t="s">
        <v>2716</v>
      </c>
      <c r="D608" t="str">
        <f>+IF(OR(IFERROR(FIND(".IO",Table2[[#This Row],[Sheet Location]],1)&gt;0,FALSE),B608="DI"),"IO","no")</f>
        <v>no</v>
      </c>
    </row>
    <row r="609" spans="2:4" x14ac:dyDescent="0.25">
      <c r="B609" s="22" t="s">
        <v>2717</v>
      </c>
      <c r="C609" s="22" t="s">
        <v>2718</v>
      </c>
      <c r="D609" t="str">
        <f>+IF(OR(IFERROR(FIND(".IO",Table2[[#This Row],[Sheet Location]],1)&gt;0,FALSE),B609="DI"),"IO","no")</f>
        <v>no</v>
      </c>
    </row>
    <row r="610" spans="2:4" x14ac:dyDescent="0.25">
      <c r="B610" s="22" t="s">
        <v>2717</v>
      </c>
      <c r="C610" s="22" t="s">
        <v>2719</v>
      </c>
      <c r="D610" t="str">
        <f>+IF(OR(IFERROR(FIND(".IO",Table2[[#This Row],[Sheet Location]],1)&gt;0,FALSE),B610="DI"),"IO","no")</f>
        <v>no</v>
      </c>
    </row>
    <row r="611" spans="2:4" x14ac:dyDescent="0.25">
      <c r="B611" s="22" t="s">
        <v>2062</v>
      </c>
      <c r="C611" s="22" t="s">
        <v>2720</v>
      </c>
      <c r="D611" t="str">
        <f>+IF(OR(IFERROR(FIND(".IO",Table2[[#This Row],[Sheet Location]],1)&gt;0,FALSE),B611="DI"),"IO","no")</f>
        <v>no</v>
      </c>
    </row>
    <row r="612" spans="2:4" x14ac:dyDescent="0.25">
      <c r="B612" s="22" t="s">
        <v>2062</v>
      </c>
      <c r="C612" s="22" t="s">
        <v>2721</v>
      </c>
      <c r="D612" t="str">
        <f>+IF(OR(IFERROR(FIND(".IO",Table2[[#This Row],[Sheet Location]],1)&gt;0,FALSE),B612="DI"),"IO","no")</f>
        <v>no</v>
      </c>
    </row>
    <row r="613" spans="2:4" x14ac:dyDescent="0.25">
      <c r="B613" s="22" t="s">
        <v>2062</v>
      </c>
      <c r="C613" s="22" t="s">
        <v>2722</v>
      </c>
      <c r="D613" t="str">
        <f>+IF(OR(IFERROR(FIND(".IO",Table2[[#This Row],[Sheet Location]],1)&gt;0,FALSE),B613="DI"),"IO","no")</f>
        <v>no</v>
      </c>
    </row>
    <row r="614" spans="2:4" x14ac:dyDescent="0.25">
      <c r="B614" s="22" t="s">
        <v>2062</v>
      </c>
      <c r="C614" s="22" t="s">
        <v>2723</v>
      </c>
      <c r="D614" t="str">
        <f>+IF(OR(IFERROR(FIND(".IO",Table2[[#This Row],[Sheet Location]],1)&gt;0,FALSE),B614="DI"),"IO","no")</f>
        <v>no</v>
      </c>
    </row>
    <row r="615" spans="2:4" x14ac:dyDescent="0.25">
      <c r="B615" s="22" t="s">
        <v>2062</v>
      </c>
      <c r="C615" s="22" t="s">
        <v>2724</v>
      </c>
      <c r="D615" t="str">
        <f>+IF(OR(IFERROR(FIND(".IO",Table2[[#This Row],[Sheet Location]],1)&gt;0,FALSE),B615="DI"),"IO","no")</f>
        <v>no</v>
      </c>
    </row>
    <row r="616" spans="2:4" x14ac:dyDescent="0.25">
      <c r="B616" s="22" t="s">
        <v>2062</v>
      </c>
      <c r="C616" s="22" t="s">
        <v>2725</v>
      </c>
      <c r="D616" t="str">
        <f>+IF(OR(IFERROR(FIND(".IO",Table2[[#This Row],[Sheet Location]],1)&gt;0,FALSE),B616="DI"),"IO","no")</f>
        <v>no</v>
      </c>
    </row>
    <row r="617" spans="2:4" x14ac:dyDescent="0.25">
      <c r="B617" s="22" t="s">
        <v>2062</v>
      </c>
      <c r="C617" s="22" t="s">
        <v>2726</v>
      </c>
      <c r="D617" t="str">
        <f>+IF(OR(IFERROR(FIND(".IO",Table2[[#This Row],[Sheet Location]],1)&gt;0,FALSE),B617="DI"),"IO","no")</f>
        <v>no</v>
      </c>
    </row>
    <row r="618" spans="2:4" x14ac:dyDescent="0.25">
      <c r="B618" s="22" t="s">
        <v>2062</v>
      </c>
      <c r="C618" s="22" t="s">
        <v>2727</v>
      </c>
      <c r="D618" t="str">
        <f>+IF(OR(IFERROR(FIND(".IO",Table2[[#This Row],[Sheet Location]],1)&gt;0,FALSE),B618="DI"),"IO","no")</f>
        <v>no</v>
      </c>
    </row>
    <row r="619" spans="2:4" x14ac:dyDescent="0.25">
      <c r="B619" s="22" t="s">
        <v>2062</v>
      </c>
      <c r="C619" s="22" t="s">
        <v>2728</v>
      </c>
      <c r="D619" t="str">
        <f>+IF(OR(IFERROR(FIND(".IO",Table2[[#This Row],[Sheet Location]],1)&gt;0,FALSE),B619="DI"),"IO","no")</f>
        <v>no</v>
      </c>
    </row>
    <row r="620" spans="2:4" x14ac:dyDescent="0.25">
      <c r="B620" s="22" t="s">
        <v>2062</v>
      </c>
      <c r="C620" s="22" t="s">
        <v>2729</v>
      </c>
      <c r="D620" t="str">
        <f>+IF(OR(IFERROR(FIND(".IO",Table2[[#This Row],[Sheet Location]],1)&gt;0,FALSE),B620="DI"),"IO","no")</f>
        <v>no</v>
      </c>
    </row>
    <row r="621" spans="2:4" x14ac:dyDescent="0.25">
      <c r="B621" s="22" t="s">
        <v>2730</v>
      </c>
      <c r="C621" s="22" t="s">
        <v>2731</v>
      </c>
      <c r="D621" t="str">
        <f>+IF(OR(IFERROR(FIND(".IO",Table2[[#This Row],[Sheet Location]],1)&gt;0,FALSE),B621="DI"),"IO","no")</f>
        <v>no</v>
      </c>
    </row>
    <row r="622" spans="2:4" x14ac:dyDescent="0.25">
      <c r="B622" s="22" t="s">
        <v>2730</v>
      </c>
      <c r="C622" s="22" t="s">
        <v>2732</v>
      </c>
      <c r="D622" t="str">
        <f>+IF(OR(IFERROR(FIND(".IO",Table2[[#This Row],[Sheet Location]],1)&gt;0,FALSE),B622="DI"),"IO","no")</f>
        <v>no</v>
      </c>
    </row>
    <row r="623" spans="2:4" x14ac:dyDescent="0.25">
      <c r="B623" s="22" t="s">
        <v>2730</v>
      </c>
      <c r="C623" s="22" t="s">
        <v>2733</v>
      </c>
      <c r="D623" t="str">
        <f>+IF(OR(IFERROR(FIND(".IO",Table2[[#This Row],[Sheet Location]],1)&gt;0,FALSE),B623="DI"),"IO","no")</f>
        <v>no</v>
      </c>
    </row>
    <row r="624" spans="2:4" x14ac:dyDescent="0.25">
      <c r="B624" s="22" t="s">
        <v>2730</v>
      </c>
      <c r="C624" s="22" t="s">
        <v>2734</v>
      </c>
      <c r="D624" t="str">
        <f>+IF(OR(IFERROR(FIND(".IO",Table2[[#This Row],[Sheet Location]],1)&gt;0,FALSE),B624="DI"),"IO","no")</f>
        <v>no</v>
      </c>
    </row>
    <row r="625" spans="2:4" x14ac:dyDescent="0.25">
      <c r="B625" s="22" t="s">
        <v>2730</v>
      </c>
      <c r="C625" s="22" t="s">
        <v>2735</v>
      </c>
      <c r="D625" t="str">
        <f>+IF(OR(IFERROR(FIND(".IO",Table2[[#This Row],[Sheet Location]],1)&gt;0,FALSE),B625="DI"),"IO","no")</f>
        <v>no</v>
      </c>
    </row>
    <row r="626" spans="2:4" x14ac:dyDescent="0.25">
      <c r="B626" s="22" t="s">
        <v>2730</v>
      </c>
      <c r="C626" s="22" t="s">
        <v>2736</v>
      </c>
      <c r="D626" t="str">
        <f>+IF(OR(IFERROR(FIND(".IO",Table2[[#This Row],[Sheet Location]],1)&gt;0,FALSE),B626="DI"),"IO","no")</f>
        <v>no</v>
      </c>
    </row>
    <row r="627" spans="2:4" x14ac:dyDescent="0.25">
      <c r="B627" s="22" t="s">
        <v>2730</v>
      </c>
      <c r="C627" s="22" t="s">
        <v>2737</v>
      </c>
      <c r="D627" t="str">
        <f>+IF(OR(IFERROR(FIND(".IO",Table2[[#This Row],[Sheet Location]],1)&gt;0,FALSE),B627="DI"),"IO","no")</f>
        <v>no</v>
      </c>
    </row>
    <row r="628" spans="2:4" x14ac:dyDescent="0.25">
      <c r="B628" s="22" t="s">
        <v>2730</v>
      </c>
      <c r="C628" s="22" t="s">
        <v>2738</v>
      </c>
      <c r="D628" t="str">
        <f>+IF(OR(IFERROR(FIND(".IO",Table2[[#This Row],[Sheet Location]],1)&gt;0,FALSE),B628="DI"),"IO","no")</f>
        <v>no</v>
      </c>
    </row>
    <row r="629" spans="2:4" x14ac:dyDescent="0.25">
      <c r="B629" s="22" t="s">
        <v>2739</v>
      </c>
      <c r="C629" s="22" t="s">
        <v>2740</v>
      </c>
      <c r="D629" t="str">
        <f>+IF(OR(IFERROR(FIND(".IO",Table2[[#This Row],[Sheet Location]],1)&gt;0,FALSE),B629="DI"),"IO","no")</f>
        <v>no</v>
      </c>
    </row>
    <row r="630" spans="2:4" x14ac:dyDescent="0.25">
      <c r="B630" s="22" t="s">
        <v>2739</v>
      </c>
      <c r="C630" s="22" t="s">
        <v>2741</v>
      </c>
      <c r="D630" t="str">
        <f>+IF(OR(IFERROR(FIND(".IO",Table2[[#This Row],[Sheet Location]],1)&gt;0,FALSE),B630="DI"),"IO","no")</f>
        <v>no</v>
      </c>
    </row>
    <row r="631" spans="2:4" x14ac:dyDescent="0.25">
      <c r="B631" s="22" t="s">
        <v>2739</v>
      </c>
      <c r="C631" s="22" t="s">
        <v>2742</v>
      </c>
      <c r="D631" t="str">
        <f>+IF(OR(IFERROR(FIND(".IO",Table2[[#This Row],[Sheet Location]],1)&gt;0,FALSE),B631="DI"),"IO","no")</f>
        <v>no</v>
      </c>
    </row>
    <row r="632" spans="2:4" x14ac:dyDescent="0.25">
      <c r="B632" s="22" t="s">
        <v>2072</v>
      </c>
      <c r="C632" s="22" t="s">
        <v>2743</v>
      </c>
      <c r="D632" t="str">
        <f>+IF(OR(IFERROR(FIND(".IO",Table2[[#This Row],[Sheet Location]],1)&gt;0,FALSE),B632="DI"),"IO","no")</f>
        <v>no</v>
      </c>
    </row>
    <row r="633" spans="2:4" x14ac:dyDescent="0.25">
      <c r="B633" s="22" t="s">
        <v>2072</v>
      </c>
      <c r="C633" s="22" t="s">
        <v>2744</v>
      </c>
      <c r="D633" t="str">
        <f>+IF(OR(IFERROR(FIND(".IO",Table2[[#This Row],[Sheet Location]],1)&gt;0,FALSE),B633="DI"),"IO","no")</f>
        <v>no</v>
      </c>
    </row>
    <row r="634" spans="2:4" x14ac:dyDescent="0.25">
      <c r="B634" s="22" t="s">
        <v>2072</v>
      </c>
      <c r="C634" s="22" t="s">
        <v>2745</v>
      </c>
      <c r="D634" t="str">
        <f>+IF(OR(IFERROR(FIND(".IO",Table2[[#This Row],[Sheet Location]],1)&gt;0,FALSE),B634="DI"),"IO","no")</f>
        <v>no</v>
      </c>
    </row>
    <row r="635" spans="2:4" x14ac:dyDescent="0.25">
      <c r="B635" s="22" t="s">
        <v>2072</v>
      </c>
      <c r="C635" s="22" t="s">
        <v>2746</v>
      </c>
      <c r="D635" t="str">
        <f>+IF(OR(IFERROR(FIND(".IO",Table2[[#This Row],[Sheet Location]],1)&gt;0,FALSE),B635="DI"),"IO","no")</f>
        <v>no</v>
      </c>
    </row>
    <row r="636" spans="2:4" x14ac:dyDescent="0.25">
      <c r="B636" s="22" t="s">
        <v>2072</v>
      </c>
      <c r="C636" s="22" t="s">
        <v>2747</v>
      </c>
      <c r="D636" t="str">
        <f>+IF(OR(IFERROR(FIND(".IO",Table2[[#This Row],[Sheet Location]],1)&gt;0,FALSE),B636="DI"),"IO","no")</f>
        <v>no</v>
      </c>
    </row>
    <row r="637" spans="2:4" x14ac:dyDescent="0.25">
      <c r="B637" s="22" t="s">
        <v>2072</v>
      </c>
      <c r="C637" s="22" t="s">
        <v>2748</v>
      </c>
      <c r="D637" t="str">
        <f>+IF(OR(IFERROR(FIND(".IO",Table2[[#This Row],[Sheet Location]],1)&gt;0,FALSE),B637="DI"),"IO","no")</f>
        <v>no</v>
      </c>
    </row>
    <row r="638" spans="2:4" x14ac:dyDescent="0.25">
      <c r="B638" s="22" t="s">
        <v>2072</v>
      </c>
      <c r="C638" s="22" t="s">
        <v>2749</v>
      </c>
      <c r="D638" t="str">
        <f>+IF(OR(IFERROR(FIND(".IO",Table2[[#This Row],[Sheet Location]],1)&gt;0,FALSE),B638="DI"),"IO","no")</f>
        <v>no</v>
      </c>
    </row>
    <row r="639" spans="2:4" x14ac:dyDescent="0.25">
      <c r="B639" s="22" t="s">
        <v>2072</v>
      </c>
      <c r="C639" s="22" t="s">
        <v>2750</v>
      </c>
      <c r="D639" t="str">
        <f>+IF(OR(IFERROR(FIND(".IO",Table2[[#This Row],[Sheet Location]],1)&gt;0,FALSE),B639="DI"),"IO","no")</f>
        <v>no</v>
      </c>
    </row>
    <row r="640" spans="2:4" x14ac:dyDescent="0.25">
      <c r="B640" s="22" t="s">
        <v>2074</v>
      </c>
      <c r="C640" s="22" t="s">
        <v>2751</v>
      </c>
      <c r="D640" t="str">
        <f>+IF(OR(IFERROR(FIND(".IO",Table2[[#This Row],[Sheet Location]],1)&gt;0,FALSE),B640="DI"),"IO","no")</f>
        <v>no</v>
      </c>
    </row>
    <row r="641" spans="2:4" x14ac:dyDescent="0.25">
      <c r="B641" s="22" t="s">
        <v>2074</v>
      </c>
      <c r="C641" s="22" t="s">
        <v>2752</v>
      </c>
      <c r="D641" t="str">
        <f>+IF(OR(IFERROR(FIND(".IO",Table2[[#This Row],[Sheet Location]],1)&gt;0,FALSE),B641="DI"),"IO","no")</f>
        <v>no</v>
      </c>
    </row>
    <row r="642" spans="2:4" x14ac:dyDescent="0.25">
      <c r="B642" s="22" t="s">
        <v>2074</v>
      </c>
      <c r="C642" s="22" t="s">
        <v>2753</v>
      </c>
      <c r="D642" t="str">
        <f>+IF(OR(IFERROR(FIND(".IO",Table2[[#This Row],[Sheet Location]],1)&gt;0,FALSE),B642="DI"),"IO","no")</f>
        <v>no</v>
      </c>
    </row>
    <row r="643" spans="2:4" x14ac:dyDescent="0.25">
      <c r="B643" s="22" t="s">
        <v>2074</v>
      </c>
      <c r="C643" s="22" t="s">
        <v>2754</v>
      </c>
      <c r="D643" t="str">
        <f>+IF(OR(IFERROR(FIND(".IO",Table2[[#This Row],[Sheet Location]],1)&gt;0,FALSE),B643="DI"),"IO","no")</f>
        <v>no</v>
      </c>
    </row>
    <row r="644" spans="2:4" x14ac:dyDescent="0.25">
      <c r="B644" s="22" t="s">
        <v>2074</v>
      </c>
      <c r="C644" s="22" t="s">
        <v>2755</v>
      </c>
      <c r="D644" t="str">
        <f>+IF(OR(IFERROR(FIND(".IO",Table2[[#This Row],[Sheet Location]],1)&gt;0,FALSE),B644="DI"),"IO","no")</f>
        <v>no</v>
      </c>
    </row>
    <row r="645" spans="2:4" x14ac:dyDescent="0.25">
      <c r="B645" s="22" t="s">
        <v>2074</v>
      </c>
      <c r="C645" s="22" t="s">
        <v>2756</v>
      </c>
      <c r="D645" t="str">
        <f>+IF(OR(IFERROR(FIND(".IO",Table2[[#This Row],[Sheet Location]],1)&gt;0,FALSE),B645="DI"),"IO","no")</f>
        <v>no</v>
      </c>
    </row>
    <row r="646" spans="2:4" x14ac:dyDescent="0.25">
      <c r="B646" s="22" t="s">
        <v>2074</v>
      </c>
      <c r="C646" s="22" t="s">
        <v>2757</v>
      </c>
      <c r="D646" t="str">
        <f>+IF(OR(IFERROR(FIND(".IO",Table2[[#This Row],[Sheet Location]],1)&gt;0,FALSE),B646="DI"),"IO","no")</f>
        <v>no</v>
      </c>
    </row>
    <row r="647" spans="2:4" x14ac:dyDescent="0.25">
      <c r="B647" s="22" t="s">
        <v>2074</v>
      </c>
      <c r="C647" s="22" t="s">
        <v>2758</v>
      </c>
      <c r="D647" t="str">
        <f>+IF(OR(IFERROR(FIND(".IO",Table2[[#This Row],[Sheet Location]],1)&gt;0,FALSE),B647="DI"),"IO","no")</f>
        <v>no</v>
      </c>
    </row>
    <row r="648" spans="2:4" x14ac:dyDescent="0.25">
      <c r="B648" s="22" t="s">
        <v>2074</v>
      </c>
      <c r="C648" s="22" t="s">
        <v>2759</v>
      </c>
      <c r="D648" t="str">
        <f>+IF(OR(IFERROR(FIND(".IO",Table2[[#This Row],[Sheet Location]],1)&gt;0,FALSE),B648="DI"),"IO","no")</f>
        <v>no</v>
      </c>
    </row>
    <row r="649" spans="2:4" x14ac:dyDescent="0.25">
      <c r="B649" s="22" t="s">
        <v>2760</v>
      </c>
      <c r="C649" s="22" t="s">
        <v>2761</v>
      </c>
      <c r="D649" t="str">
        <f>+IF(OR(IFERROR(FIND(".IO",Table2[[#This Row],[Sheet Location]],1)&gt;0,FALSE),B649="DI"),"IO","no")</f>
        <v>no</v>
      </c>
    </row>
    <row r="650" spans="2:4" x14ac:dyDescent="0.25">
      <c r="B650" s="22" t="s">
        <v>2760</v>
      </c>
      <c r="C650" s="22" t="s">
        <v>2762</v>
      </c>
      <c r="D650" t="str">
        <f>+IF(OR(IFERROR(FIND(".IO",Table2[[#This Row],[Sheet Location]],1)&gt;0,FALSE),B650="DI"),"IO","no")</f>
        <v>no</v>
      </c>
    </row>
    <row r="651" spans="2:4" x14ac:dyDescent="0.25">
      <c r="B651" s="22" t="s">
        <v>2760</v>
      </c>
      <c r="C651" s="22" t="s">
        <v>2763</v>
      </c>
      <c r="D651" t="str">
        <f>+IF(OR(IFERROR(FIND(".IO",Table2[[#This Row],[Sheet Location]],1)&gt;0,FALSE),B651="DI"),"IO","no")</f>
        <v>no</v>
      </c>
    </row>
    <row r="652" spans="2:4" x14ac:dyDescent="0.25">
      <c r="B652" s="22" t="s">
        <v>2760</v>
      </c>
      <c r="C652" s="22" t="s">
        <v>2764</v>
      </c>
      <c r="D652" t="str">
        <f>+IF(OR(IFERROR(FIND(".IO",Table2[[#This Row],[Sheet Location]],1)&gt;0,FALSE),B652="DI"),"IO","no")</f>
        <v>no</v>
      </c>
    </row>
    <row r="653" spans="2:4" x14ac:dyDescent="0.25">
      <c r="B653" s="22" t="s">
        <v>2760</v>
      </c>
      <c r="C653" s="22" t="s">
        <v>2765</v>
      </c>
      <c r="D653" t="str">
        <f>+IF(OR(IFERROR(FIND(".IO",Table2[[#This Row],[Sheet Location]],1)&gt;0,FALSE),B653="DI"),"IO","no")</f>
        <v>no</v>
      </c>
    </row>
    <row r="654" spans="2:4" x14ac:dyDescent="0.25">
      <c r="B654" s="22" t="s">
        <v>2760</v>
      </c>
      <c r="C654" s="22" t="s">
        <v>2766</v>
      </c>
      <c r="D654" t="str">
        <f>+IF(OR(IFERROR(FIND(".IO",Table2[[#This Row],[Sheet Location]],1)&gt;0,FALSE),B654="DI"),"IO","no")</f>
        <v>no</v>
      </c>
    </row>
    <row r="655" spans="2:4" x14ac:dyDescent="0.25">
      <c r="B655" s="22" t="s">
        <v>2760</v>
      </c>
      <c r="C655" s="22" t="s">
        <v>2767</v>
      </c>
      <c r="D655" t="str">
        <f>+IF(OR(IFERROR(FIND(".IO",Table2[[#This Row],[Sheet Location]],1)&gt;0,FALSE),B655="DI"),"IO","no")</f>
        <v>no</v>
      </c>
    </row>
    <row r="656" spans="2:4" x14ac:dyDescent="0.25">
      <c r="B656" s="22" t="s">
        <v>2768</v>
      </c>
      <c r="C656" s="22" t="s">
        <v>2769</v>
      </c>
      <c r="D656" t="str">
        <f>+IF(OR(IFERROR(FIND(".IO",Table2[[#This Row],[Sheet Location]],1)&gt;0,FALSE),B656="DI"),"IO","no")</f>
        <v>no</v>
      </c>
    </row>
    <row r="657" spans="2:4" x14ac:dyDescent="0.25">
      <c r="B657" s="22" t="s">
        <v>2768</v>
      </c>
      <c r="C657" s="22" t="s">
        <v>2770</v>
      </c>
      <c r="D657" t="str">
        <f>+IF(OR(IFERROR(FIND(".IO",Table2[[#This Row],[Sheet Location]],1)&gt;0,FALSE),B657="DI"),"IO","no")</f>
        <v>no</v>
      </c>
    </row>
    <row r="658" spans="2:4" x14ac:dyDescent="0.25">
      <c r="B658" s="22" t="s">
        <v>2768</v>
      </c>
      <c r="C658" s="22" t="s">
        <v>2771</v>
      </c>
      <c r="D658" t="str">
        <f>+IF(OR(IFERROR(FIND(".IO",Table2[[#This Row],[Sheet Location]],1)&gt;0,FALSE),B658="DI"),"IO","no")</f>
        <v>no</v>
      </c>
    </row>
    <row r="659" spans="2:4" x14ac:dyDescent="0.25">
      <c r="B659" s="22" t="s">
        <v>2177</v>
      </c>
      <c r="C659" s="22" t="s">
        <v>2772</v>
      </c>
      <c r="D659" t="str">
        <f>+IF(OR(IFERROR(FIND(".IO",Table2[[#This Row],[Sheet Location]],1)&gt;0,FALSE),B659="DI"),"IO","no")</f>
        <v>no</v>
      </c>
    </row>
    <row r="660" spans="2:4" x14ac:dyDescent="0.25">
      <c r="B660" s="22" t="s">
        <v>2177</v>
      </c>
      <c r="C660" s="22" t="s">
        <v>2773</v>
      </c>
      <c r="D660" t="str">
        <f>+IF(OR(IFERROR(FIND(".IO",Table2[[#This Row],[Sheet Location]],1)&gt;0,FALSE),B660="DI"),"IO","no")</f>
        <v>no</v>
      </c>
    </row>
    <row r="661" spans="2:4" x14ac:dyDescent="0.25">
      <c r="B661" s="22" t="s">
        <v>2177</v>
      </c>
      <c r="C661" s="22" t="s">
        <v>2774</v>
      </c>
      <c r="D661" t="str">
        <f>+IF(OR(IFERROR(FIND(".IO",Table2[[#This Row],[Sheet Location]],1)&gt;0,FALSE),B661="DI"),"IO","no")</f>
        <v>no</v>
      </c>
    </row>
    <row r="662" spans="2:4" x14ac:dyDescent="0.25">
      <c r="B662" s="22" t="s">
        <v>2177</v>
      </c>
      <c r="C662" s="22" t="s">
        <v>2775</v>
      </c>
      <c r="D662" t="str">
        <f>+IF(OR(IFERROR(FIND(".IO",Table2[[#This Row],[Sheet Location]],1)&gt;0,FALSE),B662="DI"),"IO","no")</f>
        <v>no</v>
      </c>
    </row>
    <row r="663" spans="2:4" x14ac:dyDescent="0.25">
      <c r="B663" s="22" t="s">
        <v>2177</v>
      </c>
      <c r="C663" s="22" t="s">
        <v>2776</v>
      </c>
      <c r="D663" t="str">
        <f>+IF(OR(IFERROR(FIND(".IO",Table2[[#This Row],[Sheet Location]],1)&gt;0,FALSE),B663="DI"),"IO","no")</f>
        <v>no</v>
      </c>
    </row>
    <row r="664" spans="2:4" x14ac:dyDescent="0.25">
      <c r="B664" s="22" t="s">
        <v>2177</v>
      </c>
      <c r="C664" s="22" t="s">
        <v>2777</v>
      </c>
      <c r="D664" t="str">
        <f>+IF(OR(IFERROR(FIND(".IO",Table2[[#This Row],[Sheet Location]],1)&gt;0,FALSE),B664="DI"),"IO","no")</f>
        <v>no</v>
      </c>
    </row>
    <row r="665" spans="2:4" x14ac:dyDescent="0.25">
      <c r="B665" s="22" t="s">
        <v>2177</v>
      </c>
      <c r="C665" s="22" t="s">
        <v>2778</v>
      </c>
      <c r="D665" t="str">
        <f>+IF(OR(IFERROR(FIND(".IO",Table2[[#This Row],[Sheet Location]],1)&gt;0,FALSE),B665="DI"),"IO","no")</f>
        <v>no</v>
      </c>
    </row>
    <row r="666" spans="2:4" x14ac:dyDescent="0.25">
      <c r="B666" s="22" t="s">
        <v>2177</v>
      </c>
      <c r="C666" s="22" t="s">
        <v>2779</v>
      </c>
      <c r="D666" t="str">
        <f>+IF(OR(IFERROR(FIND(".IO",Table2[[#This Row],[Sheet Location]],1)&gt;0,FALSE),B666="DI"),"IO","no")</f>
        <v>no</v>
      </c>
    </row>
    <row r="667" spans="2:4" x14ac:dyDescent="0.25">
      <c r="B667" s="22" t="s">
        <v>2177</v>
      </c>
      <c r="C667" s="22" t="s">
        <v>2780</v>
      </c>
      <c r="D667" t="str">
        <f>+IF(OR(IFERROR(FIND(".IO",Table2[[#This Row],[Sheet Location]],1)&gt;0,FALSE),B667="DI"),"IO","no")</f>
        <v>no</v>
      </c>
    </row>
    <row r="668" spans="2:4" x14ac:dyDescent="0.25">
      <c r="B668" s="22" t="s">
        <v>2177</v>
      </c>
      <c r="C668" s="22" t="s">
        <v>2781</v>
      </c>
      <c r="D668" t="str">
        <f>+IF(OR(IFERROR(FIND(".IO",Table2[[#This Row],[Sheet Location]],1)&gt;0,FALSE),B668="DI"),"IO","no")</f>
        <v>no</v>
      </c>
    </row>
    <row r="669" spans="2:4" x14ac:dyDescent="0.25">
      <c r="B669" s="22" t="s">
        <v>2177</v>
      </c>
      <c r="C669" s="22" t="s">
        <v>2782</v>
      </c>
      <c r="D669" t="str">
        <f>+IF(OR(IFERROR(FIND(".IO",Table2[[#This Row],[Sheet Location]],1)&gt;0,FALSE),B669="DI"),"IO","no")</f>
        <v>no</v>
      </c>
    </row>
    <row r="670" spans="2:4" x14ac:dyDescent="0.25">
      <c r="B670" s="22" t="s">
        <v>2177</v>
      </c>
      <c r="C670" s="22" t="s">
        <v>2783</v>
      </c>
      <c r="D670" t="str">
        <f>+IF(OR(IFERROR(FIND(".IO",Table2[[#This Row],[Sheet Location]],1)&gt;0,FALSE),B670="DI"),"IO","no")</f>
        <v>no</v>
      </c>
    </row>
    <row r="671" spans="2:4" x14ac:dyDescent="0.25">
      <c r="B671" s="22" t="s">
        <v>2177</v>
      </c>
      <c r="C671" s="22" t="s">
        <v>2784</v>
      </c>
      <c r="D671" t="str">
        <f>+IF(OR(IFERROR(FIND(".IO",Table2[[#This Row],[Sheet Location]],1)&gt;0,FALSE),B671="DI"),"IO","no")</f>
        <v>no</v>
      </c>
    </row>
    <row r="672" spans="2:4" x14ac:dyDescent="0.25">
      <c r="B672" s="22" t="s">
        <v>2177</v>
      </c>
      <c r="C672" s="22" t="s">
        <v>2785</v>
      </c>
      <c r="D672" t="str">
        <f>+IF(OR(IFERROR(FIND(".IO",Table2[[#This Row],[Sheet Location]],1)&gt;0,FALSE),B672="DI"),"IO","no")</f>
        <v>no</v>
      </c>
    </row>
    <row r="673" spans="2:4" x14ac:dyDescent="0.25">
      <c r="B673" s="22" t="s">
        <v>2177</v>
      </c>
      <c r="C673" s="22" t="s">
        <v>2786</v>
      </c>
      <c r="D673" t="str">
        <f>+IF(OR(IFERROR(FIND(".IO",Table2[[#This Row],[Sheet Location]],1)&gt;0,FALSE),B673="DI"),"IO","no")</f>
        <v>no</v>
      </c>
    </row>
    <row r="674" spans="2:4" x14ac:dyDescent="0.25">
      <c r="B674" s="22" t="s">
        <v>2177</v>
      </c>
      <c r="C674" s="22" t="s">
        <v>2787</v>
      </c>
      <c r="D674" t="str">
        <f>+IF(OR(IFERROR(FIND(".IO",Table2[[#This Row],[Sheet Location]],1)&gt;0,FALSE),B674="DI"),"IO","no")</f>
        <v>no</v>
      </c>
    </row>
    <row r="675" spans="2:4" x14ac:dyDescent="0.25">
      <c r="B675" s="22" t="s">
        <v>2177</v>
      </c>
      <c r="C675" s="22" t="s">
        <v>2788</v>
      </c>
      <c r="D675" t="str">
        <f>+IF(OR(IFERROR(FIND(".IO",Table2[[#This Row],[Sheet Location]],1)&gt;0,FALSE),B675="DI"),"IO","no")</f>
        <v>no</v>
      </c>
    </row>
    <row r="676" spans="2:4" x14ac:dyDescent="0.25">
      <c r="B676" s="22" t="s">
        <v>2177</v>
      </c>
      <c r="C676" s="22" t="s">
        <v>2789</v>
      </c>
      <c r="D676" t="str">
        <f>+IF(OR(IFERROR(FIND(".IO",Table2[[#This Row],[Sheet Location]],1)&gt;0,FALSE),B676="DI"),"IO","no")</f>
        <v>no</v>
      </c>
    </row>
    <row r="677" spans="2:4" x14ac:dyDescent="0.25">
      <c r="B677" s="22" t="s">
        <v>2177</v>
      </c>
      <c r="C677" s="22" t="s">
        <v>2790</v>
      </c>
      <c r="D677" t="str">
        <f>+IF(OR(IFERROR(FIND(".IO",Table2[[#This Row],[Sheet Location]],1)&gt;0,FALSE),B677="DI"),"IO","no")</f>
        <v>no</v>
      </c>
    </row>
    <row r="678" spans="2:4" x14ac:dyDescent="0.25">
      <c r="B678" s="22" t="s">
        <v>2177</v>
      </c>
      <c r="C678" s="22" t="s">
        <v>2791</v>
      </c>
      <c r="D678" t="str">
        <f>+IF(OR(IFERROR(FIND(".IO",Table2[[#This Row],[Sheet Location]],1)&gt;0,FALSE),B678="DI"),"IO","no")</f>
        <v>no</v>
      </c>
    </row>
    <row r="679" spans="2:4" x14ac:dyDescent="0.25">
      <c r="B679" s="22" t="s">
        <v>2177</v>
      </c>
      <c r="C679" s="22" t="s">
        <v>2792</v>
      </c>
      <c r="D679" t="str">
        <f>+IF(OR(IFERROR(FIND(".IO",Table2[[#This Row],[Sheet Location]],1)&gt;0,FALSE),B679="DI"),"IO","no")</f>
        <v>no</v>
      </c>
    </row>
    <row r="680" spans="2:4" x14ac:dyDescent="0.25">
      <c r="B680" s="22" t="s">
        <v>2177</v>
      </c>
      <c r="C680" s="22" t="s">
        <v>2793</v>
      </c>
      <c r="D680" t="str">
        <f>+IF(OR(IFERROR(FIND(".IO",Table2[[#This Row],[Sheet Location]],1)&gt;0,FALSE),B680="DI"),"IO","no")</f>
        <v>no</v>
      </c>
    </row>
    <row r="681" spans="2:4" x14ac:dyDescent="0.25">
      <c r="B681" s="22" t="s">
        <v>2177</v>
      </c>
      <c r="C681" s="22" t="s">
        <v>2794</v>
      </c>
      <c r="D681" t="str">
        <f>+IF(OR(IFERROR(FIND(".IO",Table2[[#This Row],[Sheet Location]],1)&gt;0,FALSE),B681="DI"),"IO","no")</f>
        <v>no</v>
      </c>
    </row>
    <row r="682" spans="2:4" x14ac:dyDescent="0.25">
      <c r="B682" s="22" t="s">
        <v>2183</v>
      </c>
      <c r="C682" s="22" t="s">
        <v>2795</v>
      </c>
      <c r="D682" t="str">
        <f>+IF(OR(IFERROR(FIND(".IO",Table2[[#This Row],[Sheet Location]],1)&gt;0,FALSE),B682="DI"),"IO","no")</f>
        <v>no</v>
      </c>
    </row>
    <row r="683" spans="2:4" x14ac:dyDescent="0.25">
      <c r="B683" s="22" t="s">
        <v>2183</v>
      </c>
      <c r="C683" s="22" t="s">
        <v>2796</v>
      </c>
      <c r="D683" t="str">
        <f>+IF(OR(IFERROR(FIND(".IO",Table2[[#This Row],[Sheet Location]],1)&gt;0,FALSE),B683="DI"),"IO","no")</f>
        <v>no</v>
      </c>
    </row>
    <row r="684" spans="2:4" x14ac:dyDescent="0.25">
      <c r="B684" s="22" t="s">
        <v>2183</v>
      </c>
      <c r="C684" s="22" t="s">
        <v>2797</v>
      </c>
      <c r="D684" t="str">
        <f>+IF(OR(IFERROR(FIND(".IO",Table2[[#This Row],[Sheet Location]],1)&gt;0,FALSE),B684="DI"),"IO","no")</f>
        <v>no</v>
      </c>
    </row>
    <row r="685" spans="2:4" x14ac:dyDescent="0.25">
      <c r="B685" s="22" t="s">
        <v>2183</v>
      </c>
      <c r="C685" s="22" t="s">
        <v>2798</v>
      </c>
      <c r="D685" t="str">
        <f>+IF(OR(IFERROR(FIND(".IO",Table2[[#This Row],[Sheet Location]],1)&gt;0,FALSE),B685="DI"),"IO","no")</f>
        <v>no</v>
      </c>
    </row>
    <row r="686" spans="2:4" x14ac:dyDescent="0.25">
      <c r="B686" s="22" t="s">
        <v>2183</v>
      </c>
      <c r="C686" s="22" t="s">
        <v>2799</v>
      </c>
      <c r="D686" t="str">
        <f>+IF(OR(IFERROR(FIND(".IO",Table2[[#This Row],[Sheet Location]],1)&gt;0,FALSE),B686="DI"),"IO","no")</f>
        <v>no</v>
      </c>
    </row>
    <row r="687" spans="2:4" x14ac:dyDescent="0.25">
      <c r="B687" s="22" t="s">
        <v>2183</v>
      </c>
      <c r="C687" s="22" t="s">
        <v>2800</v>
      </c>
      <c r="D687" t="str">
        <f>+IF(OR(IFERROR(FIND(".IO",Table2[[#This Row],[Sheet Location]],1)&gt;0,FALSE),B687="DI"),"IO","no")</f>
        <v>no</v>
      </c>
    </row>
    <row r="688" spans="2:4" x14ac:dyDescent="0.25">
      <c r="B688" s="22" t="s">
        <v>2183</v>
      </c>
      <c r="C688" s="22" t="s">
        <v>2801</v>
      </c>
      <c r="D688" t="str">
        <f>+IF(OR(IFERROR(FIND(".IO",Table2[[#This Row],[Sheet Location]],1)&gt;0,FALSE),B688="DI"),"IO","no")</f>
        <v>no</v>
      </c>
    </row>
    <row r="689" spans="2:4" x14ac:dyDescent="0.25">
      <c r="B689" s="22" t="s">
        <v>2183</v>
      </c>
      <c r="C689" s="22" t="s">
        <v>2802</v>
      </c>
      <c r="D689" t="str">
        <f>+IF(OR(IFERROR(FIND(".IO",Table2[[#This Row],[Sheet Location]],1)&gt;0,FALSE),B689="DI"),"IO","no")</f>
        <v>no</v>
      </c>
    </row>
    <row r="690" spans="2:4" x14ac:dyDescent="0.25">
      <c r="B690" s="22" t="s">
        <v>2183</v>
      </c>
      <c r="C690" s="22" t="s">
        <v>2803</v>
      </c>
      <c r="D690" t="str">
        <f>+IF(OR(IFERROR(FIND(".IO",Table2[[#This Row],[Sheet Location]],1)&gt;0,FALSE),B690="DI"),"IO","no")</f>
        <v>no</v>
      </c>
    </row>
    <row r="691" spans="2:4" x14ac:dyDescent="0.25">
      <c r="B691" s="22" t="s">
        <v>2183</v>
      </c>
      <c r="C691" s="22" t="s">
        <v>2804</v>
      </c>
      <c r="D691" t="str">
        <f>+IF(OR(IFERROR(FIND(".IO",Table2[[#This Row],[Sheet Location]],1)&gt;0,FALSE),B691="DI"),"IO","no")</f>
        <v>no</v>
      </c>
    </row>
    <row r="692" spans="2:4" x14ac:dyDescent="0.25">
      <c r="B692" s="22" t="s">
        <v>2183</v>
      </c>
      <c r="C692" s="22" t="s">
        <v>2805</v>
      </c>
      <c r="D692" t="str">
        <f>+IF(OR(IFERROR(FIND(".IO",Table2[[#This Row],[Sheet Location]],1)&gt;0,FALSE),B692="DI"),"IO","no")</f>
        <v>no</v>
      </c>
    </row>
    <row r="693" spans="2:4" x14ac:dyDescent="0.25">
      <c r="B693" s="22" t="s">
        <v>2183</v>
      </c>
      <c r="C693" s="22" t="s">
        <v>2806</v>
      </c>
      <c r="D693" t="str">
        <f>+IF(OR(IFERROR(FIND(".IO",Table2[[#This Row],[Sheet Location]],1)&gt;0,FALSE),B693="DI"),"IO","no")</f>
        <v>no</v>
      </c>
    </row>
    <row r="694" spans="2:4" x14ac:dyDescent="0.25">
      <c r="B694" s="22" t="s">
        <v>2183</v>
      </c>
      <c r="C694" s="22" t="s">
        <v>2807</v>
      </c>
      <c r="D694" t="str">
        <f>+IF(OR(IFERROR(FIND(".IO",Table2[[#This Row],[Sheet Location]],1)&gt;0,FALSE),B694="DI"),"IO","no")</f>
        <v>no</v>
      </c>
    </row>
    <row r="695" spans="2:4" x14ac:dyDescent="0.25">
      <c r="B695" s="22" t="s">
        <v>2808</v>
      </c>
      <c r="C695" s="22" t="s">
        <v>2809</v>
      </c>
      <c r="D695" t="str">
        <f>+IF(OR(IFERROR(FIND(".IO",Table2[[#This Row],[Sheet Location]],1)&gt;0,FALSE),B695="DI"),"IO","no")</f>
        <v>no</v>
      </c>
    </row>
    <row r="696" spans="2:4" x14ac:dyDescent="0.25">
      <c r="B696" s="22" t="s">
        <v>2808</v>
      </c>
      <c r="C696" s="22" t="s">
        <v>2810</v>
      </c>
      <c r="D696" t="str">
        <f>+IF(OR(IFERROR(FIND(".IO",Table2[[#This Row],[Sheet Location]],1)&gt;0,FALSE),B696="DI"),"IO","no")</f>
        <v>no</v>
      </c>
    </row>
    <row r="697" spans="2:4" x14ac:dyDescent="0.25">
      <c r="B697" s="22" t="s">
        <v>2808</v>
      </c>
      <c r="C697" s="22" t="s">
        <v>2811</v>
      </c>
      <c r="D697" t="str">
        <f>+IF(OR(IFERROR(FIND(".IO",Table2[[#This Row],[Sheet Location]],1)&gt;0,FALSE),B697="DI"),"IO","no")</f>
        <v>no</v>
      </c>
    </row>
    <row r="698" spans="2:4" x14ac:dyDescent="0.25">
      <c r="B698" s="22" t="s">
        <v>2808</v>
      </c>
      <c r="C698" s="22" t="s">
        <v>2812</v>
      </c>
      <c r="D698" t="str">
        <f>+IF(OR(IFERROR(FIND(".IO",Table2[[#This Row],[Sheet Location]],1)&gt;0,FALSE),B698="DI"),"IO","no")</f>
        <v>no</v>
      </c>
    </row>
    <row r="699" spans="2:4" x14ac:dyDescent="0.25">
      <c r="B699" s="22" t="s">
        <v>2813</v>
      </c>
      <c r="C699" s="22" t="s">
        <v>2814</v>
      </c>
      <c r="D699" t="str">
        <f>+IF(OR(IFERROR(FIND(".IO",Table2[[#This Row],[Sheet Location]],1)&gt;0,FALSE),B699="DI"),"IO","no")</f>
        <v>no</v>
      </c>
    </row>
    <row r="700" spans="2:4" x14ac:dyDescent="0.25">
      <c r="B700" s="22" t="s">
        <v>2813</v>
      </c>
      <c r="C700" s="22" t="s">
        <v>2815</v>
      </c>
      <c r="D700" t="str">
        <f>+IF(OR(IFERROR(FIND(".IO",Table2[[#This Row],[Sheet Location]],1)&gt;0,FALSE),B700="DI"),"IO","no")</f>
        <v>no</v>
      </c>
    </row>
    <row r="701" spans="2:4" x14ac:dyDescent="0.25">
      <c r="B701" s="22" t="s">
        <v>2813</v>
      </c>
      <c r="C701" s="22" t="s">
        <v>2816</v>
      </c>
      <c r="D701" t="str">
        <f>+IF(OR(IFERROR(FIND(".IO",Table2[[#This Row],[Sheet Location]],1)&gt;0,FALSE),B701="DI"),"IO","no")</f>
        <v>no</v>
      </c>
    </row>
    <row r="702" spans="2:4" x14ac:dyDescent="0.25">
      <c r="B702" s="22" t="s">
        <v>2813</v>
      </c>
      <c r="C702" s="22" t="s">
        <v>2817</v>
      </c>
      <c r="D702" t="str">
        <f>+IF(OR(IFERROR(FIND(".IO",Table2[[#This Row],[Sheet Location]],1)&gt;0,FALSE),B702="DI"),"IO","no")</f>
        <v>no</v>
      </c>
    </row>
    <row r="703" spans="2:4" x14ac:dyDescent="0.25">
      <c r="B703" s="22" t="s">
        <v>2813</v>
      </c>
      <c r="C703" s="22" t="s">
        <v>2818</v>
      </c>
      <c r="D703" t="str">
        <f>+IF(OR(IFERROR(FIND(".IO",Table2[[#This Row],[Sheet Location]],1)&gt;0,FALSE),B703="DI"),"IO","no")</f>
        <v>no</v>
      </c>
    </row>
    <row r="704" spans="2:4" x14ac:dyDescent="0.25">
      <c r="B704" s="22" t="s">
        <v>2813</v>
      </c>
      <c r="C704" s="22" t="s">
        <v>2819</v>
      </c>
      <c r="D704" t="str">
        <f>+IF(OR(IFERROR(FIND(".IO",Table2[[#This Row],[Sheet Location]],1)&gt;0,FALSE),B704="DI"),"IO","no")</f>
        <v>no</v>
      </c>
    </row>
    <row r="705" spans="2:4" x14ac:dyDescent="0.25">
      <c r="B705" s="22" t="s">
        <v>2813</v>
      </c>
      <c r="C705" s="22" t="s">
        <v>2820</v>
      </c>
      <c r="D705" t="str">
        <f>+IF(OR(IFERROR(FIND(".IO",Table2[[#This Row],[Sheet Location]],1)&gt;0,FALSE),B705="DI"),"IO","no")</f>
        <v>no</v>
      </c>
    </row>
    <row r="706" spans="2:4" x14ac:dyDescent="0.25">
      <c r="B706" s="22" t="s">
        <v>2821</v>
      </c>
      <c r="C706" s="22" t="s">
        <v>2822</v>
      </c>
      <c r="D706" t="str">
        <f>+IF(OR(IFERROR(FIND(".IO",Table2[[#This Row],[Sheet Location]],1)&gt;0,FALSE),B706="DI"),"IO","no")</f>
        <v>no</v>
      </c>
    </row>
    <row r="707" spans="2:4" x14ac:dyDescent="0.25">
      <c r="B707" s="22" t="s">
        <v>2821</v>
      </c>
      <c r="C707" s="22" t="s">
        <v>2823</v>
      </c>
      <c r="D707" t="str">
        <f>+IF(OR(IFERROR(FIND(".IO",Table2[[#This Row],[Sheet Location]],1)&gt;0,FALSE),B707="DI"),"IO","no")</f>
        <v>no</v>
      </c>
    </row>
    <row r="708" spans="2:4" x14ac:dyDescent="0.25">
      <c r="B708" s="22" t="s">
        <v>2821</v>
      </c>
      <c r="C708" s="22" t="s">
        <v>2824</v>
      </c>
      <c r="D708" t="str">
        <f>+IF(OR(IFERROR(FIND(".IO",Table2[[#This Row],[Sheet Location]],1)&gt;0,FALSE),B708="DI"),"IO","no")</f>
        <v>no</v>
      </c>
    </row>
    <row r="709" spans="2:4" x14ac:dyDescent="0.25">
      <c r="B709" s="22" t="s">
        <v>2821</v>
      </c>
      <c r="C709" s="22" t="s">
        <v>2825</v>
      </c>
      <c r="D709" t="str">
        <f>+IF(OR(IFERROR(FIND(".IO",Table2[[#This Row],[Sheet Location]],1)&gt;0,FALSE),B709="DI"),"IO","no")</f>
        <v>no</v>
      </c>
    </row>
    <row r="710" spans="2:4" x14ac:dyDescent="0.25">
      <c r="B710" s="22" t="s">
        <v>2821</v>
      </c>
      <c r="C710" s="22" t="s">
        <v>2826</v>
      </c>
      <c r="D710" t="str">
        <f>+IF(OR(IFERROR(FIND(".IO",Table2[[#This Row],[Sheet Location]],1)&gt;0,FALSE),B710="DI"),"IO","no")</f>
        <v>no</v>
      </c>
    </row>
    <row r="711" spans="2:4" x14ac:dyDescent="0.25">
      <c r="B711" s="22" t="s">
        <v>2821</v>
      </c>
      <c r="C711" s="22" t="s">
        <v>2827</v>
      </c>
      <c r="D711" t="str">
        <f>+IF(OR(IFERROR(FIND(".IO",Table2[[#This Row],[Sheet Location]],1)&gt;0,FALSE),B711="DI"),"IO","no")</f>
        <v>no</v>
      </c>
    </row>
    <row r="712" spans="2:4" x14ac:dyDescent="0.25">
      <c r="B712" s="22" t="s">
        <v>2821</v>
      </c>
      <c r="C712" s="22" t="s">
        <v>2828</v>
      </c>
      <c r="D712" t="str">
        <f>+IF(OR(IFERROR(FIND(".IO",Table2[[#This Row],[Sheet Location]],1)&gt;0,FALSE),B712="DI"),"IO","no")</f>
        <v>no</v>
      </c>
    </row>
    <row r="713" spans="2:4" x14ac:dyDescent="0.25">
      <c r="B713" s="22" t="s">
        <v>2821</v>
      </c>
      <c r="C713" s="22" t="s">
        <v>2829</v>
      </c>
      <c r="D713" t="str">
        <f>+IF(OR(IFERROR(FIND(".IO",Table2[[#This Row],[Sheet Location]],1)&gt;0,FALSE),B713="DI"),"IO","no")</f>
        <v>no</v>
      </c>
    </row>
    <row r="714" spans="2:4" x14ac:dyDescent="0.25">
      <c r="B714" s="22" t="s">
        <v>2821</v>
      </c>
      <c r="C714" s="22" t="s">
        <v>2830</v>
      </c>
      <c r="D714" t="str">
        <f>+IF(OR(IFERROR(FIND(".IO",Table2[[#This Row],[Sheet Location]],1)&gt;0,FALSE),B714="DI"),"IO","no")</f>
        <v>no</v>
      </c>
    </row>
    <row r="715" spans="2:4" x14ac:dyDescent="0.25">
      <c r="B715" s="22" t="s">
        <v>2821</v>
      </c>
      <c r="C715" s="22" t="s">
        <v>2831</v>
      </c>
      <c r="D715" t="str">
        <f>+IF(OR(IFERROR(FIND(".IO",Table2[[#This Row],[Sheet Location]],1)&gt;0,FALSE),B715="DI"),"IO","no")</f>
        <v>no</v>
      </c>
    </row>
    <row r="716" spans="2:4" x14ac:dyDescent="0.25">
      <c r="B716" s="22" t="s">
        <v>2821</v>
      </c>
      <c r="C716" s="22" t="s">
        <v>2832</v>
      </c>
      <c r="D716" t="str">
        <f>+IF(OR(IFERROR(FIND(".IO",Table2[[#This Row],[Sheet Location]],1)&gt;0,FALSE),B716="DI"),"IO","no")</f>
        <v>no</v>
      </c>
    </row>
    <row r="717" spans="2:4" x14ac:dyDescent="0.25">
      <c r="B717" s="22" t="s">
        <v>2821</v>
      </c>
      <c r="C717" s="22" t="s">
        <v>2833</v>
      </c>
      <c r="D717" t="str">
        <f>+IF(OR(IFERROR(FIND(".IO",Table2[[#This Row],[Sheet Location]],1)&gt;0,FALSE),B717="DI"),"IO","no")</f>
        <v>no</v>
      </c>
    </row>
    <row r="718" spans="2:4" x14ac:dyDescent="0.25">
      <c r="B718" s="22" t="s">
        <v>2821</v>
      </c>
      <c r="C718" s="22" t="s">
        <v>2834</v>
      </c>
      <c r="D718" t="str">
        <f>+IF(OR(IFERROR(FIND(".IO",Table2[[#This Row],[Sheet Location]],1)&gt;0,FALSE),B718="DI"),"IO","no")</f>
        <v>no</v>
      </c>
    </row>
    <row r="719" spans="2:4" x14ac:dyDescent="0.25">
      <c r="B719" s="22" t="s">
        <v>2821</v>
      </c>
      <c r="C719" s="22" t="s">
        <v>2835</v>
      </c>
      <c r="D719" t="str">
        <f>+IF(OR(IFERROR(FIND(".IO",Table2[[#This Row],[Sheet Location]],1)&gt;0,FALSE),B719="DI"),"IO","no")</f>
        <v>no</v>
      </c>
    </row>
    <row r="720" spans="2:4" x14ac:dyDescent="0.25">
      <c r="B720" s="22" t="s">
        <v>2836</v>
      </c>
      <c r="C720" s="22" t="s">
        <v>2837</v>
      </c>
      <c r="D720" t="str">
        <f>+IF(OR(IFERROR(FIND(".IO",Table2[[#This Row],[Sheet Location]],1)&gt;0,FALSE),B720="DI"),"IO","no")</f>
        <v>no</v>
      </c>
    </row>
    <row r="721" spans="2:4" x14ac:dyDescent="0.25">
      <c r="B721" s="22" t="s">
        <v>2836</v>
      </c>
      <c r="C721" s="22" t="s">
        <v>2838</v>
      </c>
      <c r="D721" t="str">
        <f>+IF(OR(IFERROR(FIND(".IO",Table2[[#This Row],[Sheet Location]],1)&gt;0,FALSE),B721="DI"),"IO","no")</f>
        <v>no</v>
      </c>
    </row>
    <row r="722" spans="2:4" x14ac:dyDescent="0.25">
      <c r="B722" s="22" t="s">
        <v>2836</v>
      </c>
      <c r="C722" s="22" t="s">
        <v>2839</v>
      </c>
      <c r="D722" t="str">
        <f>+IF(OR(IFERROR(FIND(".IO",Table2[[#This Row],[Sheet Location]],1)&gt;0,FALSE),B722="DI"),"IO","no")</f>
        <v>no</v>
      </c>
    </row>
    <row r="723" spans="2:4" x14ac:dyDescent="0.25">
      <c r="B723" s="22" t="s">
        <v>2840</v>
      </c>
      <c r="C723" s="22" t="s">
        <v>2841</v>
      </c>
      <c r="D723" t="str">
        <f>+IF(OR(IFERROR(FIND(".IO",Table2[[#This Row],[Sheet Location]],1)&gt;0,FALSE),B723="DI"),"IO","no")</f>
        <v>no</v>
      </c>
    </row>
    <row r="724" spans="2:4" x14ac:dyDescent="0.25">
      <c r="B724" s="22" t="s">
        <v>2840</v>
      </c>
      <c r="C724" s="22" t="s">
        <v>2842</v>
      </c>
      <c r="D724" t="str">
        <f>+IF(OR(IFERROR(FIND(".IO",Table2[[#This Row],[Sheet Location]],1)&gt;0,FALSE),B724="DI"),"IO","no")</f>
        <v>no</v>
      </c>
    </row>
    <row r="725" spans="2:4" x14ac:dyDescent="0.25">
      <c r="B725" s="22" t="s">
        <v>2843</v>
      </c>
      <c r="C725" s="22" t="s">
        <v>2844</v>
      </c>
      <c r="D725" t="str">
        <f>+IF(OR(IFERROR(FIND(".IO",Table2[[#This Row],[Sheet Location]],1)&gt;0,FALSE),B725="DI"),"IO","no")</f>
        <v>no</v>
      </c>
    </row>
    <row r="726" spans="2:4" x14ac:dyDescent="0.25">
      <c r="B726" s="22" t="s">
        <v>2843</v>
      </c>
      <c r="C726" s="22" t="s">
        <v>2845</v>
      </c>
      <c r="D726" t="str">
        <f>+IF(OR(IFERROR(FIND(".IO",Table2[[#This Row],[Sheet Location]],1)&gt;0,FALSE),B726="DI"),"IO","no")</f>
        <v>no</v>
      </c>
    </row>
    <row r="727" spans="2:4" x14ac:dyDescent="0.25">
      <c r="B727" s="22" t="s">
        <v>2843</v>
      </c>
      <c r="C727" s="22" t="s">
        <v>2846</v>
      </c>
      <c r="D727" t="str">
        <f>+IF(OR(IFERROR(FIND(".IO",Table2[[#This Row],[Sheet Location]],1)&gt;0,FALSE),B727="DI"),"IO","no")</f>
        <v>no</v>
      </c>
    </row>
    <row r="728" spans="2:4" x14ac:dyDescent="0.25">
      <c r="B728" s="22" t="s">
        <v>2843</v>
      </c>
      <c r="C728" s="22" t="s">
        <v>2847</v>
      </c>
      <c r="D728" t="str">
        <f>+IF(OR(IFERROR(FIND(".IO",Table2[[#This Row],[Sheet Location]],1)&gt;0,FALSE),B728="DI"),"IO","no")</f>
        <v>no</v>
      </c>
    </row>
    <row r="729" spans="2:4" x14ac:dyDescent="0.25">
      <c r="B729" s="22" t="s">
        <v>2843</v>
      </c>
      <c r="C729" s="22" t="s">
        <v>2848</v>
      </c>
      <c r="D729" t="str">
        <f>+IF(OR(IFERROR(FIND(".IO",Table2[[#This Row],[Sheet Location]],1)&gt;0,FALSE),B729="DI"),"IO","no")</f>
        <v>no</v>
      </c>
    </row>
    <row r="730" spans="2:4" x14ac:dyDescent="0.25">
      <c r="B730" s="22" t="s">
        <v>2843</v>
      </c>
      <c r="C730" s="22" t="s">
        <v>2849</v>
      </c>
      <c r="D730" t="str">
        <f>+IF(OR(IFERROR(FIND(".IO",Table2[[#This Row],[Sheet Location]],1)&gt;0,FALSE),B730="DI"),"IO","no")</f>
        <v>no</v>
      </c>
    </row>
    <row r="731" spans="2:4" x14ac:dyDescent="0.25">
      <c r="B731" s="22" t="s">
        <v>2843</v>
      </c>
      <c r="C731" s="22" t="s">
        <v>2850</v>
      </c>
      <c r="D731" t="str">
        <f>+IF(OR(IFERROR(FIND(".IO",Table2[[#This Row],[Sheet Location]],1)&gt;0,FALSE),B731="DI"),"IO","no")</f>
        <v>no</v>
      </c>
    </row>
    <row r="732" spans="2:4" x14ac:dyDescent="0.25">
      <c r="B732" s="22" t="s">
        <v>2843</v>
      </c>
      <c r="C732" s="22" t="s">
        <v>2851</v>
      </c>
      <c r="D732" t="str">
        <f>+IF(OR(IFERROR(FIND(".IO",Table2[[#This Row],[Sheet Location]],1)&gt;0,FALSE),B732="DI"),"IO","no")</f>
        <v>no</v>
      </c>
    </row>
    <row r="733" spans="2:4" x14ac:dyDescent="0.25">
      <c r="B733" s="22" t="s">
        <v>2843</v>
      </c>
      <c r="C733" s="22" t="s">
        <v>2852</v>
      </c>
      <c r="D733" t="str">
        <f>+IF(OR(IFERROR(FIND(".IO",Table2[[#This Row],[Sheet Location]],1)&gt;0,FALSE),B733="DI"),"IO","no")</f>
        <v>no</v>
      </c>
    </row>
    <row r="734" spans="2:4" x14ac:dyDescent="0.25">
      <c r="B734" s="22" t="s">
        <v>2853</v>
      </c>
      <c r="C734" s="22" t="s">
        <v>2854</v>
      </c>
      <c r="D734" t="str">
        <f>+IF(OR(IFERROR(FIND(".IO",Table2[[#This Row],[Sheet Location]],1)&gt;0,FALSE),B734="DI"),"IO","no")</f>
        <v>no</v>
      </c>
    </row>
    <row r="735" spans="2:4" x14ac:dyDescent="0.25">
      <c r="B735" s="22" t="s">
        <v>2853</v>
      </c>
      <c r="C735" s="22" t="s">
        <v>2855</v>
      </c>
      <c r="D735" t="str">
        <f>+IF(OR(IFERROR(FIND(".IO",Table2[[#This Row],[Sheet Location]],1)&gt;0,FALSE),B735="DI"),"IO","no")</f>
        <v>no</v>
      </c>
    </row>
    <row r="736" spans="2:4" x14ac:dyDescent="0.25">
      <c r="B736" s="22" t="s">
        <v>2853</v>
      </c>
      <c r="C736" s="22" t="s">
        <v>2856</v>
      </c>
      <c r="D736" t="str">
        <f>+IF(OR(IFERROR(FIND(".IO",Table2[[#This Row],[Sheet Location]],1)&gt;0,FALSE),B736="DI"),"IO","no")</f>
        <v>no</v>
      </c>
    </row>
    <row r="737" spans="2:4" x14ac:dyDescent="0.25">
      <c r="B737" s="22" t="s">
        <v>2853</v>
      </c>
      <c r="C737" s="22" t="s">
        <v>2857</v>
      </c>
      <c r="D737" t="str">
        <f>+IF(OR(IFERROR(FIND(".IO",Table2[[#This Row],[Sheet Location]],1)&gt;0,FALSE),B737="DI"),"IO","no")</f>
        <v>no</v>
      </c>
    </row>
    <row r="738" spans="2:4" x14ac:dyDescent="0.25">
      <c r="B738" s="22" t="s">
        <v>2853</v>
      </c>
      <c r="C738" s="22" t="s">
        <v>2858</v>
      </c>
      <c r="D738" t="str">
        <f>+IF(OR(IFERROR(FIND(".IO",Table2[[#This Row],[Sheet Location]],1)&gt;0,FALSE),B738="DI"),"IO","no")</f>
        <v>no</v>
      </c>
    </row>
    <row r="739" spans="2:4" x14ac:dyDescent="0.25">
      <c r="B739" s="22" t="s">
        <v>2853</v>
      </c>
      <c r="C739" s="22" t="s">
        <v>2859</v>
      </c>
      <c r="D739" t="str">
        <f>+IF(OR(IFERROR(FIND(".IO",Table2[[#This Row],[Sheet Location]],1)&gt;0,FALSE),B739="DI"),"IO","no")</f>
        <v>no</v>
      </c>
    </row>
    <row r="740" spans="2:4" x14ac:dyDescent="0.25">
      <c r="B740" s="22" t="s">
        <v>2853</v>
      </c>
      <c r="C740" s="22" t="s">
        <v>2860</v>
      </c>
      <c r="D740" t="str">
        <f>+IF(OR(IFERROR(FIND(".IO",Table2[[#This Row],[Sheet Location]],1)&gt;0,FALSE),B740="DI"),"IO","no")</f>
        <v>no</v>
      </c>
    </row>
    <row r="741" spans="2:4" x14ac:dyDescent="0.25">
      <c r="B741" s="22" t="s">
        <v>2861</v>
      </c>
      <c r="C741" s="22" t="s">
        <v>2862</v>
      </c>
      <c r="D741" t="str">
        <f>+IF(OR(IFERROR(FIND(".IO",Table2[[#This Row],[Sheet Location]],1)&gt;0,FALSE),B741="DI"),"IO","no")</f>
        <v>no</v>
      </c>
    </row>
    <row r="742" spans="2:4" x14ac:dyDescent="0.25">
      <c r="B742" s="22" t="s">
        <v>2861</v>
      </c>
      <c r="C742" s="22" t="s">
        <v>2863</v>
      </c>
      <c r="D742" t="str">
        <f>+IF(OR(IFERROR(FIND(".IO",Table2[[#This Row],[Sheet Location]],1)&gt;0,FALSE),B742="DI"),"IO","no")</f>
        <v>no</v>
      </c>
    </row>
    <row r="743" spans="2:4" x14ac:dyDescent="0.25">
      <c r="B743" s="22" t="s">
        <v>2861</v>
      </c>
      <c r="C743" s="22" t="s">
        <v>2864</v>
      </c>
      <c r="D743" t="str">
        <f>+IF(OR(IFERROR(FIND(".IO",Table2[[#This Row],[Sheet Location]],1)&gt;0,FALSE),B743="DI"),"IO","no")</f>
        <v>no</v>
      </c>
    </row>
    <row r="744" spans="2:4" x14ac:dyDescent="0.25">
      <c r="B744" s="22" t="s">
        <v>2180</v>
      </c>
      <c r="C744" s="22" t="s">
        <v>2865</v>
      </c>
      <c r="D744" t="str">
        <f>+IF(OR(IFERROR(FIND(".IO",Table2[[#This Row],[Sheet Location]],1)&gt;0,FALSE),B744="DI"),"IO","no")</f>
        <v>no</v>
      </c>
    </row>
    <row r="745" spans="2:4" x14ac:dyDescent="0.25">
      <c r="B745" s="22" t="s">
        <v>2180</v>
      </c>
      <c r="C745" s="22" t="s">
        <v>2866</v>
      </c>
      <c r="D745" t="str">
        <f>+IF(OR(IFERROR(FIND(".IO",Table2[[#This Row],[Sheet Location]],1)&gt;0,FALSE),B745="DI"),"IO","no")</f>
        <v>no</v>
      </c>
    </row>
    <row r="746" spans="2:4" x14ac:dyDescent="0.25">
      <c r="B746" s="22" t="s">
        <v>2180</v>
      </c>
      <c r="C746" s="22" t="s">
        <v>2867</v>
      </c>
      <c r="D746" t="str">
        <f>+IF(OR(IFERROR(FIND(".IO",Table2[[#This Row],[Sheet Location]],1)&gt;0,FALSE),B746="DI"),"IO","no")</f>
        <v>no</v>
      </c>
    </row>
    <row r="747" spans="2:4" x14ac:dyDescent="0.25">
      <c r="B747" s="22" t="s">
        <v>2180</v>
      </c>
      <c r="C747" s="22" t="s">
        <v>2868</v>
      </c>
      <c r="D747" t="str">
        <f>+IF(OR(IFERROR(FIND(".IO",Table2[[#This Row],[Sheet Location]],1)&gt;0,FALSE),B747="DI"),"IO","no")</f>
        <v>no</v>
      </c>
    </row>
    <row r="748" spans="2:4" x14ac:dyDescent="0.25">
      <c r="B748" s="22" t="s">
        <v>2180</v>
      </c>
      <c r="C748" s="22" t="s">
        <v>2869</v>
      </c>
      <c r="D748" t="str">
        <f>+IF(OR(IFERROR(FIND(".IO",Table2[[#This Row],[Sheet Location]],1)&gt;0,FALSE),B748="DI"),"IO","no")</f>
        <v>no</v>
      </c>
    </row>
    <row r="749" spans="2:4" x14ac:dyDescent="0.25">
      <c r="B749" s="22" t="s">
        <v>2180</v>
      </c>
      <c r="C749" s="22" t="s">
        <v>2870</v>
      </c>
      <c r="D749" t="str">
        <f>+IF(OR(IFERROR(FIND(".IO",Table2[[#This Row],[Sheet Location]],1)&gt;0,FALSE),B749="DI"),"IO","no")</f>
        <v>no</v>
      </c>
    </row>
    <row r="750" spans="2:4" x14ac:dyDescent="0.25">
      <c r="B750" s="22" t="s">
        <v>2180</v>
      </c>
      <c r="C750" s="22" t="s">
        <v>2871</v>
      </c>
      <c r="D750" t="str">
        <f>+IF(OR(IFERROR(FIND(".IO",Table2[[#This Row],[Sheet Location]],1)&gt;0,FALSE),B750="DI"),"IO","no")</f>
        <v>no</v>
      </c>
    </row>
    <row r="751" spans="2:4" x14ac:dyDescent="0.25">
      <c r="B751" s="22" t="s">
        <v>2180</v>
      </c>
      <c r="C751" s="22" t="s">
        <v>2872</v>
      </c>
      <c r="D751" t="str">
        <f>+IF(OR(IFERROR(FIND(".IO",Table2[[#This Row],[Sheet Location]],1)&gt;0,FALSE),B751="DI"),"IO","no")</f>
        <v>no</v>
      </c>
    </row>
    <row r="752" spans="2:4" x14ac:dyDescent="0.25">
      <c r="B752" s="22" t="s">
        <v>2180</v>
      </c>
      <c r="C752" s="22" t="s">
        <v>2873</v>
      </c>
      <c r="D752" t="str">
        <f>+IF(OR(IFERROR(FIND(".IO",Table2[[#This Row],[Sheet Location]],1)&gt;0,FALSE),B752="DI"),"IO","no")</f>
        <v>no</v>
      </c>
    </row>
    <row r="753" spans="2:4" x14ac:dyDescent="0.25">
      <c r="B753" s="22" t="s">
        <v>2180</v>
      </c>
      <c r="C753" s="22" t="s">
        <v>2874</v>
      </c>
      <c r="D753" t="str">
        <f>+IF(OR(IFERROR(FIND(".IO",Table2[[#This Row],[Sheet Location]],1)&gt;0,FALSE),B753="DI"),"IO","no")</f>
        <v>no</v>
      </c>
    </row>
    <row r="754" spans="2:4" x14ac:dyDescent="0.25">
      <c r="B754" s="22" t="s">
        <v>2180</v>
      </c>
      <c r="C754" s="22" t="s">
        <v>2875</v>
      </c>
      <c r="D754" t="str">
        <f>+IF(OR(IFERROR(FIND(".IO",Table2[[#This Row],[Sheet Location]],1)&gt;0,FALSE),B754="DI"),"IO","no")</f>
        <v>no</v>
      </c>
    </row>
    <row r="755" spans="2:4" x14ac:dyDescent="0.25">
      <c r="B755" s="22" t="s">
        <v>2180</v>
      </c>
      <c r="C755" s="22" t="s">
        <v>2876</v>
      </c>
      <c r="D755" t="str">
        <f>+IF(OR(IFERROR(FIND(".IO",Table2[[#This Row],[Sheet Location]],1)&gt;0,FALSE),B755="DI"),"IO","no")</f>
        <v>no</v>
      </c>
    </row>
    <row r="756" spans="2:4" x14ac:dyDescent="0.25">
      <c r="B756" s="22" t="s">
        <v>2180</v>
      </c>
      <c r="C756" s="22" t="s">
        <v>2877</v>
      </c>
      <c r="D756" t="str">
        <f>+IF(OR(IFERROR(FIND(".IO",Table2[[#This Row],[Sheet Location]],1)&gt;0,FALSE),B756="DI"),"IO","no")</f>
        <v>no</v>
      </c>
    </row>
    <row r="757" spans="2:4" x14ac:dyDescent="0.25">
      <c r="B757" s="22" t="s">
        <v>2180</v>
      </c>
      <c r="C757" s="22" t="s">
        <v>2878</v>
      </c>
      <c r="D757" t="str">
        <f>+IF(OR(IFERROR(FIND(".IO",Table2[[#This Row],[Sheet Location]],1)&gt;0,FALSE),B757="DI"),"IO","no")</f>
        <v>no</v>
      </c>
    </row>
    <row r="758" spans="2:4" x14ac:dyDescent="0.25">
      <c r="B758" s="22" t="s">
        <v>2180</v>
      </c>
      <c r="C758" s="22" t="s">
        <v>2879</v>
      </c>
      <c r="D758" t="str">
        <f>+IF(OR(IFERROR(FIND(".IO",Table2[[#This Row],[Sheet Location]],1)&gt;0,FALSE),B758="DI"),"IO","no")</f>
        <v>no</v>
      </c>
    </row>
    <row r="759" spans="2:4" x14ac:dyDescent="0.25">
      <c r="B759" s="22" t="s">
        <v>2180</v>
      </c>
      <c r="C759" s="22" t="s">
        <v>2880</v>
      </c>
      <c r="D759" t="str">
        <f>+IF(OR(IFERROR(FIND(".IO",Table2[[#This Row],[Sheet Location]],1)&gt;0,FALSE),B759="DI"),"IO","no")</f>
        <v>no</v>
      </c>
    </row>
    <row r="760" spans="2:4" x14ac:dyDescent="0.25">
      <c r="B760" s="22" t="s">
        <v>2180</v>
      </c>
      <c r="C760" s="22" t="s">
        <v>2881</v>
      </c>
      <c r="D760" t="str">
        <f>+IF(OR(IFERROR(FIND(".IO",Table2[[#This Row],[Sheet Location]],1)&gt;0,FALSE),B760="DI"),"IO","no")</f>
        <v>no</v>
      </c>
    </row>
    <row r="761" spans="2:4" x14ac:dyDescent="0.25">
      <c r="B761" s="22" t="s">
        <v>2180</v>
      </c>
      <c r="C761" s="22" t="s">
        <v>2882</v>
      </c>
      <c r="D761" t="str">
        <f>+IF(OR(IFERROR(FIND(".IO",Table2[[#This Row],[Sheet Location]],1)&gt;0,FALSE),B761="DI"),"IO","no")</f>
        <v>no</v>
      </c>
    </row>
    <row r="762" spans="2:4" x14ac:dyDescent="0.25">
      <c r="B762" s="22" t="s">
        <v>2097</v>
      </c>
      <c r="C762" s="22" t="s">
        <v>2883</v>
      </c>
      <c r="D762" t="str">
        <f>+IF(OR(IFERROR(FIND(".IO",Table2[[#This Row],[Sheet Location]],1)&gt;0,FALSE),B762="DI"),"IO","no")</f>
        <v>no</v>
      </c>
    </row>
    <row r="763" spans="2:4" x14ac:dyDescent="0.25">
      <c r="B763" s="22" t="s">
        <v>2097</v>
      </c>
      <c r="C763" s="22" t="s">
        <v>2884</v>
      </c>
      <c r="D763" t="str">
        <f>+IF(OR(IFERROR(FIND(".IO",Table2[[#This Row],[Sheet Location]],1)&gt;0,FALSE),B763="DI"),"IO","no")</f>
        <v>no</v>
      </c>
    </row>
    <row r="764" spans="2:4" x14ac:dyDescent="0.25">
      <c r="B764" s="22" t="s">
        <v>2097</v>
      </c>
      <c r="C764" s="22" t="s">
        <v>2885</v>
      </c>
      <c r="D764" t="str">
        <f>+IF(OR(IFERROR(FIND(".IO",Table2[[#This Row],[Sheet Location]],1)&gt;0,FALSE),B764="DI"),"IO","no")</f>
        <v>no</v>
      </c>
    </row>
    <row r="765" spans="2:4" x14ac:dyDescent="0.25">
      <c r="B765" s="22" t="s">
        <v>2097</v>
      </c>
      <c r="C765" s="22" t="s">
        <v>2886</v>
      </c>
      <c r="D765" t="str">
        <f>+IF(OR(IFERROR(FIND(".IO",Table2[[#This Row],[Sheet Location]],1)&gt;0,FALSE),B765="DI"),"IO","no")</f>
        <v>no</v>
      </c>
    </row>
    <row r="766" spans="2:4" x14ac:dyDescent="0.25">
      <c r="B766" s="22" t="s">
        <v>2097</v>
      </c>
      <c r="C766" s="22" t="s">
        <v>2887</v>
      </c>
      <c r="D766" t="str">
        <f>+IF(OR(IFERROR(FIND(".IO",Table2[[#This Row],[Sheet Location]],1)&gt;0,FALSE),B766="DI"),"IO","no")</f>
        <v>no</v>
      </c>
    </row>
    <row r="767" spans="2:4" x14ac:dyDescent="0.25">
      <c r="B767" s="22" t="s">
        <v>2097</v>
      </c>
      <c r="C767" s="22" t="s">
        <v>2888</v>
      </c>
      <c r="D767" t="str">
        <f>+IF(OR(IFERROR(FIND(".IO",Table2[[#This Row],[Sheet Location]],1)&gt;0,FALSE),B767="DI"),"IO","no")</f>
        <v>no</v>
      </c>
    </row>
    <row r="768" spans="2:4" x14ac:dyDescent="0.25">
      <c r="B768" s="22" t="s">
        <v>2097</v>
      </c>
      <c r="C768" s="22" t="s">
        <v>2889</v>
      </c>
      <c r="D768" t="str">
        <f>+IF(OR(IFERROR(FIND(".IO",Table2[[#This Row],[Sheet Location]],1)&gt;0,FALSE),B768="DI"),"IO","no")</f>
        <v>no</v>
      </c>
    </row>
    <row r="769" spans="2:4" x14ac:dyDescent="0.25">
      <c r="B769" s="22" t="s">
        <v>2097</v>
      </c>
      <c r="C769" s="22" t="s">
        <v>2890</v>
      </c>
      <c r="D769" t="str">
        <f>+IF(OR(IFERROR(FIND(".IO",Table2[[#This Row],[Sheet Location]],1)&gt;0,FALSE),B769="DI"),"IO","no")</f>
        <v>no</v>
      </c>
    </row>
    <row r="770" spans="2:4" x14ac:dyDescent="0.25">
      <c r="B770" s="22" t="s">
        <v>2097</v>
      </c>
      <c r="C770" s="22" t="s">
        <v>2891</v>
      </c>
      <c r="D770" t="str">
        <f>+IF(OR(IFERROR(FIND(".IO",Table2[[#This Row],[Sheet Location]],1)&gt;0,FALSE),B770="DI"),"IO","no")</f>
        <v>no</v>
      </c>
    </row>
    <row r="771" spans="2:4" x14ac:dyDescent="0.25">
      <c r="B771" s="22" t="s">
        <v>2097</v>
      </c>
      <c r="C771" s="22" t="s">
        <v>2892</v>
      </c>
      <c r="D771" t="str">
        <f>+IF(OR(IFERROR(FIND(".IO",Table2[[#This Row],[Sheet Location]],1)&gt;0,FALSE),B771="DI"),"IO","no")</f>
        <v>no</v>
      </c>
    </row>
    <row r="772" spans="2:4" x14ac:dyDescent="0.25">
      <c r="B772" s="22" t="s">
        <v>2097</v>
      </c>
      <c r="C772" s="22" t="s">
        <v>2893</v>
      </c>
      <c r="D772" t="str">
        <f>+IF(OR(IFERROR(FIND(".IO",Table2[[#This Row],[Sheet Location]],1)&gt;0,FALSE),B772="DI"),"IO","no")</f>
        <v>no</v>
      </c>
    </row>
    <row r="773" spans="2:4" x14ac:dyDescent="0.25">
      <c r="B773" s="22" t="s">
        <v>2097</v>
      </c>
      <c r="C773" s="22" t="s">
        <v>2894</v>
      </c>
      <c r="D773" t="str">
        <f>+IF(OR(IFERROR(FIND(".IO",Table2[[#This Row],[Sheet Location]],1)&gt;0,FALSE),B773="DI"),"IO","no")</f>
        <v>no</v>
      </c>
    </row>
    <row r="774" spans="2:4" x14ac:dyDescent="0.25">
      <c r="B774" s="22" t="s">
        <v>2097</v>
      </c>
      <c r="C774" s="22" t="s">
        <v>2895</v>
      </c>
      <c r="D774" t="str">
        <f>+IF(OR(IFERROR(FIND(".IO",Table2[[#This Row],[Sheet Location]],1)&gt;0,FALSE),B774="DI"),"IO","no")</f>
        <v>no</v>
      </c>
    </row>
    <row r="775" spans="2:4" x14ac:dyDescent="0.25">
      <c r="B775" s="22" t="s">
        <v>2097</v>
      </c>
      <c r="C775" s="22" t="s">
        <v>2896</v>
      </c>
      <c r="D775" t="str">
        <f>+IF(OR(IFERROR(FIND(".IO",Table2[[#This Row],[Sheet Location]],1)&gt;0,FALSE),B775="DI"),"IO","no")</f>
        <v>no</v>
      </c>
    </row>
    <row r="776" spans="2:4" x14ac:dyDescent="0.25">
      <c r="B776" s="22" t="s">
        <v>2897</v>
      </c>
      <c r="C776" s="22" t="s">
        <v>2898</v>
      </c>
      <c r="D776" t="str">
        <f>+IF(OR(IFERROR(FIND(".IO",Table2[[#This Row],[Sheet Location]],1)&gt;0,FALSE),B776="DI"),"IO","no")</f>
        <v>no</v>
      </c>
    </row>
    <row r="777" spans="2:4" x14ac:dyDescent="0.25">
      <c r="B777" s="22" t="s">
        <v>2897</v>
      </c>
      <c r="C777" s="22" t="s">
        <v>2899</v>
      </c>
      <c r="D777" t="str">
        <f>+IF(OR(IFERROR(FIND(".IO",Table2[[#This Row],[Sheet Location]],1)&gt;0,FALSE),B777="DI"),"IO","no")</f>
        <v>no</v>
      </c>
    </row>
    <row r="778" spans="2:4" x14ac:dyDescent="0.25">
      <c r="B778" s="22" t="s">
        <v>2900</v>
      </c>
      <c r="C778" s="22" t="s">
        <v>2901</v>
      </c>
      <c r="D778" t="str">
        <f>+IF(OR(IFERROR(FIND(".IO",Table2[[#This Row],[Sheet Location]],1)&gt;0,FALSE),B778="DI"),"IO","no")</f>
        <v>no</v>
      </c>
    </row>
    <row r="779" spans="2:4" x14ac:dyDescent="0.25">
      <c r="B779" s="22" t="s">
        <v>2900</v>
      </c>
      <c r="C779" s="22" t="s">
        <v>2902</v>
      </c>
      <c r="D779" t="str">
        <f>+IF(OR(IFERROR(FIND(".IO",Table2[[#This Row],[Sheet Location]],1)&gt;0,FALSE),B779="DI"),"IO","no")</f>
        <v>no</v>
      </c>
    </row>
    <row r="780" spans="2:4" x14ac:dyDescent="0.25">
      <c r="B780" s="22" t="s">
        <v>2900</v>
      </c>
      <c r="C780" s="22" t="s">
        <v>2903</v>
      </c>
      <c r="D780" t="str">
        <f>+IF(OR(IFERROR(FIND(".IO",Table2[[#This Row],[Sheet Location]],1)&gt;0,FALSE),B780="DI"),"IO","no")</f>
        <v>no</v>
      </c>
    </row>
    <row r="781" spans="2:4" x14ac:dyDescent="0.25">
      <c r="B781" s="22" t="s">
        <v>2900</v>
      </c>
      <c r="C781" s="22" t="s">
        <v>2904</v>
      </c>
      <c r="D781" t="str">
        <f>+IF(OR(IFERROR(FIND(".IO",Table2[[#This Row],[Sheet Location]],1)&gt;0,FALSE),B781="DI"),"IO","no")</f>
        <v>no</v>
      </c>
    </row>
    <row r="782" spans="2:4" x14ac:dyDescent="0.25">
      <c r="B782" s="22" t="s">
        <v>2900</v>
      </c>
      <c r="C782" s="22" t="s">
        <v>2905</v>
      </c>
      <c r="D782" t="str">
        <f>+IF(OR(IFERROR(FIND(".IO",Table2[[#This Row],[Sheet Location]],1)&gt;0,FALSE),B782="DI"),"IO","no")</f>
        <v>no</v>
      </c>
    </row>
    <row r="783" spans="2:4" x14ac:dyDescent="0.25">
      <c r="B783" s="22" t="s">
        <v>2900</v>
      </c>
      <c r="C783" s="22" t="s">
        <v>2906</v>
      </c>
      <c r="D783" t="str">
        <f>+IF(OR(IFERROR(FIND(".IO",Table2[[#This Row],[Sheet Location]],1)&gt;0,FALSE),B783="DI"),"IO","no")</f>
        <v>no</v>
      </c>
    </row>
    <row r="784" spans="2:4" x14ac:dyDescent="0.25">
      <c r="B784" s="22" t="s">
        <v>2900</v>
      </c>
      <c r="C784" s="22" t="s">
        <v>2907</v>
      </c>
      <c r="D784" t="str">
        <f>+IF(OR(IFERROR(FIND(".IO",Table2[[#This Row],[Sheet Location]],1)&gt;0,FALSE),B784="DI"),"IO","no")</f>
        <v>no</v>
      </c>
    </row>
    <row r="785" spans="2:4" x14ac:dyDescent="0.25">
      <c r="B785" s="22" t="s">
        <v>2908</v>
      </c>
      <c r="C785" s="22" t="s">
        <v>2909</v>
      </c>
      <c r="D785" t="str">
        <f>+IF(OR(IFERROR(FIND(".IO",Table2[[#This Row],[Sheet Location]],1)&gt;0,FALSE),B785="DI"),"IO","no")</f>
        <v>no</v>
      </c>
    </row>
    <row r="786" spans="2:4" x14ac:dyDescent="0.25">
      <c r="B786" s="22" t="s">
        <v>2908</v>
      </c>
      <c r="C786" s="22" t="s">
        <v>2910</v>
      </c>
      <c r="D786" t="str">
        <f>+IF(OR(IFERROR(FIND(".IO",Table2[[#This Row],[Sheet Location]],1)&gt;0,FALSE),B786="DI"),"IO","no")</f>
        <v>no</v>
      </c>
    </row>
    <row r="787" spans="2:4" x14ac:dyDescent="0.25">
      <c r="B787" s="22" t="s">
        <v>2908</v>
      </c>
      <c r="C787" s="22" t="s">
        <v>2911</v>
      </c>
      <c r="D787" t="str">
        <f>+IF(OR(IFERROR(FIND(".IO",Table2[[#This Row],[Sheet Location]],1)&gt;0,FALSE),B787="DI"),"IO","no")</f>
        <v>no</v>
      </c>
    </row>
    <row r="788" spans="2:4" x14ac:dyDescent="0.25">
      <c r="B788" s="22" t="s">
        <v>2908</v>
      </c>
      <c r="C788" s="22" t="s">
        <v>2912</v>
      </c>
      <c r="D788" t="str">
        <f>+IF(OR(IFERROR(FIND(".IO",Table2[[#This Row],[Sheet Location]],1)&gt;0,FALSE),B788="DI"),"IO","no")</f>
        <v>no</v>
      </c>
    </row>
    <row r="789" spans="2:4" x14ac:dyDescent="0.25">
      <c r="B789" s="22" t="s">
        <v>2908</v>
      </c>
      <c r="C789" s="22" t="s">
        <v>2913</v>
      </c>
      <c r="D789" t="str">
        <f>+IF(OR(IFERROR(FIND(".IO",Table2[[#This Row],[Sheet Location]],1)&gt;0,FALSE),B789="DI"),"IO","no")</f>
        <v>no</v>
      </c>
    </row>
    <row r="790" spans="2:4" x14ac:dyDescent="0.25">
      <c r="B790" s="22" t="s">
        <v>2908</v>
      </c>
      <c r="C790" s="22" t="s">
        <v>2914</v>
      </c>
      <c r="D790" t="str">
        <f>+IF(OR(IFERROR(FIND(".IO",Table2[[#This Row],[Sheet Location]],1)&gt;0,FALSE),B790="DI"),"IO","no")</f>
        <v>no</v>
      </c>
    </row>
    <row r="791" spans="2:4" x14ac:dyDescent="0.25">
      <c r="B791" s="22" t="s">
        <v>2908</v>
      </c>
      <c r="C791" s="22" t="s">
        <v>2915</v>
      </c>
      <c r="D791" t="str">
        <f>+IF(OR(IFERROR(FIND(".IO",Table2[[#This Row],[Sheet Location]],1)&gt;0,FALSE),B791="DI"),"IO","no")</f>
        <v>no</v>
      </c>
    </row>
    <row r="792" spans="2:4" x14ac:dyDescent="0.25">
      <c r="B792" s="22" t="s">
        <v>2908</v>
      </c>
      <c r="C792" s="22" t="s">
        <v>2916</v>
      </c>
      <c r="D792" t="str">
        <f>+IF(OR(IFERROR(FIND(".IO",Table2[[#This Row],[Sheet Location]],1)&gt;0,FALSE),B792="DI"),"IO","no")</f>
        <v>no</v>
      </c>
    </row>
    <row r="793" spans="2:4" x14ac:dyDescent="0.25">
      <c r="B793" s="22" t="s">
        <v>2908</v>
      </c>
      <c r="C793" s="22" t="s">
        <v>2917</v>
      </c>
      <c r="D793" t="str">
        <f>+IF(OR(IFERROR(FIND(".IO",Table2[[#This Row],[Sheet Location]],1)&gt;0,FALSE),B793="DI"),"IO","no")</f>
        <v>no</v>
      </c>
    </row>
    <row r="794" spans="2:4" x14ac:dyDescent="0.25">
      <c r="B794" s="22" t="s">
        <v>2908</v>
      </c>
      <c r="C794" s="22" t="s">
        <v>2918</v>
      </c>
      <c r="D794" t="str">
        <f>+IF(OR(IFERROR(FIND(".IO",Table2[[#This Row],[Sheet Location]],1)&gt;0,FALSE),B794="DI"),"IO","no")</f>
        <v>no</v>
      </c>
    </row>
    <row r="795" spans="2:4" x14ac:dyDescent="0.25">
      <c r="B795" s="22" t="s">
        <v>2908</v>
      </c>
      <c r="C795" s="22" t="s">
        <v>2919</v>
      </c>
      <c r="D795" t="str">
        <f>+IF(OR(IFERROR(FIND(".IO",Table2[[#This Row],[Sheet Location]],1)&gt;0,FALSE),B795="DI"),"IO","no")</f>
        <v>no</v>
      </c>
    </row>
    <row r="796" spans="2:4" x14ac:dyDescent="0.25">
      <c r="B796" s="22" t="s">
        <v>2908</v>
      </c>
      <c r="C796" s="22" t="s">
        <v>2920</v>
      </c>
      <c r="D796" t="str">
        <f>+IF(OR(IFERROR(FIND(".IO",Table2[[#This Row],[Sheet Location]],1)&gt;0,FALSE),B796="DI"),"IO","no")</f>
        <v>no</v>
      </c>
    </row>
    <row r="797" spans="2:4" x14ac:dyDescent="0.25">
      <c r="B797" s="22" t="s">
        <v>2908</v>
      </c>
      <c r="C797" s="22" t="s">
        <v>2921</v>
      </c>
      <c r="D797" t="str">
        <f>+IF(OR(IFERROR(FIND(".IO",Table2[[#This Row],[Sheet Location]],1)&gt;0,FALSE),B797="DI"),"IO","no")</f>
        <v>no</v>
      </c>
    </row>
    <row r="798" spans="2:4" x14ac:dyDescent="0.25">
      <c r="B798" s="22" t="s">
        <v>2908</v>
      </c>
      <c r="C798" s="22" t="s">
        <v>2922</v>
      </c>
      <c r="D798" t="str">
        <f>+IF(OR(IFERROR(FIND(".IO",Table2[[#This Row],[Sheet Location]],1)&gt;0,FALSE),B798="DI"),"IO","no")</f>
        <v>no</v>
      </c>
    </row>
    <row r="799" spans="2:4" x14ac:dyDescent="0.25">
      <c r="B799" s="22" t="s">
        <v>2923</v>
      </c>
      <c r="C799" s="22" t="s">
        <v>2924</v>
      </c>
      <c r="D799" t="str">
        <f>+IF(OR(IFERROR(FIND(".IO",Table2[[#This Row],[Sheet Location]],1)&gt;0,FALSE),B799="DI"),"IO","no")</f>
        <v>no</v>
      </c>
    </row>
    <row r="800" spans="2:4" x14ac:dyDescent="0.25">
      <c r="B800" s="22" t="s">
        <v>2923</v>
      </c>
      <c r="C800" s="22" t="s">
        <v>2925</v>
      </c>
      <c r="D800" t="str">
        <f>+IF(OR(IFERROR(FIND(".IO",Table2[[#This Row],[Sheet Location]],1)&gt;0,FALSE),B800="DI"),"IO","no")</f>
        <v>no</v>
      </c>
    </row>
    <row r="801" spans="2:4" x14ac:dyDescent="0.25">
      <c r="B801" s="22" t="s">
        <v>2923</v>
      </c>
      <c r="C801" s="22" t="s">
        <v>2926</v>
      </c>
      <c r="D801" t="str">
        <f>+IF(OR(IFERROR(FIND(".IO",Table2[[#This Row],[Sheet Location]],1)&gt;0,FALSE),B801="DI"),"IO","no")</f>
        <v>no</v>
      </c>
    </row>
    <row r="802" spans="2:4" x14ac:dyDescent="0.25">
      <c r="B802" s="22" t="s">
        <v>2927</v>
      </c>
      <c r="C802" s="22" t="s">
        <v>2928</v>
      </c>
      <c r="D802" t="str">
        <f>+IF(OR(IFERROR(FIND(".IO",Table2[[#This Row],[Sheet Location]],1)&gt;0,FALSE),B802="DI"),"IO","no")</f>
        <v>no</v>
      </c>
    </row>
    <row r="803" spans="2:4" x14ac:dyDescent="0.25">
      <c r="B803" s="22" t="s">
        <v>2927</v>
      </c>
      <c r="C803" s="22" t="s">
        <v>2929</v>
      </c>
      <c r="D803" t="str">
        <f>+IF(OR(IFERROR(FIND(".IO",Table2[[#This Row],[Sheet Location]],1)&gt;0,FALSE),B803="DI"),"IO","no")</f>
        <v>no</v>
      </c>
    </row>
    <row r="804" spans="2:4" x14ac:dyDescent="0.25">
      <c r="B804" s="22" t="s">
        <v>2927</v>
      </c>
      <c r="C804" s="22" t="s">
        <v>2930</v>
      </c>
      <c r="D804" t="str">
        <f>+IF(OR(IFERROR(FIND(".IO",Table2[[#This Row],[Sheet Location]],1)&gt;0,FALSE),B804="DI"),"IO","no")</f>
        <v>no</v>
      </c>
    </row>
    <row r="805" spans="2:4" x14ac:dyDescent="0.25">
      <c r="B805" s="22" t="s">
        <v>2927</v>
      </c>
      <c r="C805" s="22" t="s">
        <v>2931</v>
      </c>
      <c r="D805" t="str">
        <f>+IF(OR(IFERROR(FIND(".IO",Table2[[#This Row],[Sheet Location]],1)&gt;0,FALSE),B805="DI"),"IO","no")</f>
        <v>no</v>
      </c>
    </row>
    <row r="806" spans="2:4" x14ac:dyDescent="0.25">
      <c r="B806" s="22" t="s">
        <v>2927</v>
      </c>
      <c r="C806" s="22" t="s">
        <v>2932</v>
      </c>
      <c r="D806" t="str">
        <f>+IF(OR(IFERROR(FIND(".IO",Table2[[#This Row],[Sheet Location]],1)&gt;0,FALSE),B806="DI"),"IO","no")</f>
        <v>no</v>
      </c>
    </row>
    <row r="807" spans="2:4" x14ac:dyDescent="0.25">
      <c r="B807" s="22" t="s">
        <v>2927</v>
      </c>
      <c r="C807" s="22" t="s">
        <v>2933</v>
      </c>
      <c r="D807" t="str">
        <f>+IF(OR(IFERROR(FIND(".IO",Table2[[#This Row],[Sheet Location]],1)&gt;0,FALSE),B807="DI"),"IO","no")</f>
        <v>no</v>
      </c>
    </row>
    <row r="808" spans="2:4" x14ac:dyDescent="0.25">
      <c r="B808" s="22" t="s">
        <v>2927</v>
      </c>
      <c r="C808" s="22" t="s">
        <v>2934</v>
      </c>
      <c r="D808" t="str">
        <f>+IF(OR(IFERROR(FIND(".IO",Table2[[#This Row],[Sheet Location]],1)&gt;0,FALSE),B808="DI"),"IO","no")</f>
        <v>no</v>
      </c>
    </row>
    <row r="809" spans="2:4" x14ac:dyDescent="0.25">
      <c r="B809" s="22" t="s">
        <v>2927</v>
      </c>
      <c r="C809" s="22" t="s">
        <v>2935</v>
      </c>
      <c r="D809" t="str">
        <f>+IF(OR(IFERROR(FIND(".IO",Table2[[#This Row],[Sheet Location]],1)&gt;0,FALSE),B809="DI"),"IO","no")</f>
        <v>no</v>
      </c>
    </row>
    <row r="810" spans="2:4" x14ac:dyDescent="0.25">
      <c r="B810" s="22" t="s">
        <v>2927</v>
      </c>
      <c r="C810" s="22" t="s">
        <v>2936</v>
      </c>
      <c r="D810" t="str">
        <f>+IF(OR(IFERROR(FIND(".IO",Table2[[#This Row],[Sheet Location]],1)&gt;0,FALSE),B810="DI"),"IO","no")</f>
        <v>no</v>
      </c>
    </row>
    <row r="811" spans="2:4" x14ac:dyDescent="0.25">
      <c r="B811" s="22" t="s">
        <v>2927</v>
      </c>
      <c r="C811" s="22" t="s">
        <v>2937</v>
      </c>
      <c r="D811" t="str">
        <f>+IF(OR(IFERROR(FIND(".IO",Table2[[#This Row],[Sheet Location]],1)&gt;0,FALSE),B811="DI"),"IO","no")</f>
        <v>no</v>
      </c>
    </row>
    <row r="812" spans="2:4" x14ac:dyDescent="0.25">
      <c r="B812" s="22" t="s">
        <v>2927</v>
      </c>
      <c r="C812" s="22" t="s">
        <v>2938</v>
      </c>
      <c r="D812" t="str">
        <f>+IF(OR(IFERROR(FIND(".IO",Table2[[#This Row],[Sheet Location]],1)&gt;0,FALSE),B812="DI"),"IO","no")</f>
        <v>no</v>
      </c>
    </row>
    <row r="813" spans="2:4" x14ac:dyDescent="0.25">
      <c r="B813" s="22" t="s">
        <v>2927</v>
      </c>
      <c r="C813" s="22" t="s">
        <v>2939</v>
      </c>
      <c r="D813" t="str">
        <f>+IF(OR(IFERROR(FIND(".IO",Table2[[#This Row],[Sheet Location]],1)&gt;0,FALSE),B813="DI"),"IO","no")</f>
        <v>no</v>
      </c>
    </row>
    <row r="814" spans="2:4" x14ac:dyDescent="0.25">
      <c r="B814" s="22" t="s">
        <v>2927</v>
      </c>
      <c r="C814" s="22" t="s">
        <v>2940</v>
      </c>
      <c r="D814" t="str">
        <f>+IF(OR(IFERROR(FIND(".IO",Table2[[#This Row],[Sheet Location]],1)&gt;0,FALSE),B814="DI"),"IO","no")</f>
        <v>no</v>
      </c>
    </row>
    <row r="815" spans="2:4" x14ac:dyDescent="0.25">
      <c r="B815" s="22" t="s">
        <v>2927</v>
      </c>
      <c r="C815" s="22" t="s">
        <v>2941</v>
      </c>
      <c r="D815" t="str">
        <f>+IF(OR(IFERROR(FIND(".IO",Table2[[#This Row],[Sheet Location]],1)&gt;0,FALSE),B815="DI"),"IO","no")</f>
        <v>no</v>
      </c>
    </row>
    <row r="816" spans="2:4" x14ac:dyDescent="0.25">
      <c r="B816" s="22" t="s">
        <v>2942</v>
      </c>
      <c r="C816" s="22" t="s">
        <v>2943</v>
      </c>
      <c r="D816" t="str">
        <f>+IF(OR(IFERROR(FIND(".IO",Table2[[#This Row],[Sheet Location]],1)&gt;0,FALSE),B816="DI"),"IO","no")</f>
        <v>no</v>
      </c>
    </row>
    <row r="817" spans="2:4" x14ac:dyDescent="0.25">
      <c r="B817" s="22" t="s">
        <v>2942</v>
      </c>
      <c r="C817" s="22" t="s">
        <v>2944</v>
      </c>
      <c r="D817" t="str">
        <f>+IF(OR(IFERROR(FIND(".IO",Table2[[#This Row],[Sheet Location]],1)&gt;0,FALSE),B817="DI"),"IO","no")</f>
        <v>no</v>
      </c>
    </row>
    <row r="818" spans="2:4" x14ac:dyDescent="0.25">
      <c r="B818" s="22" t="s">
        <v>2942</v>
      </c>
      <c r="C818" s="22" t="s">
        <v>2945</v>
      </c>
      <c r="D818" t="str">
        <f>+IF(OR(IFERROR(FIND(".IO",Table2[[#This Row],[Sheet Location]],1)&gt;0,FALSE),B818="DI"),"IO","no")</f>
        <v>no</v>
      </c>
    </row>
    <row r="819" spans="2:4" x14ac:dyDescent="0.25">
      <c r="B819" s="22" t="s">
        <v>2942</v>
      </c>
      <c r="C819" s="22" t="s">
        <v>2946</v>
      </c>
      <c r="D819" t="str">
        <f>+IF(OR(IFERROR(FIND(".IO",Table2[[#This Row],[Sheet Location]],1)&gt;0,FALSE),B819="DI"),"IO","no")</f>
        <v>no</v>
      </c>
    </row>
    <row r="820" spans="2:4" x14ac:dyDescent="0.25">
      <c r="B820" s="22" t="s">
        <v>2942</v>
      </c>
      <c r="C820" s="22" t="s">
        <v>2947</v>
      </c>
      <c r="D820" t="str">
        <f>+IF(OR(IFERROR(FIND(".IO",Table2[[#This Row],[Sheet Location]],1)&gt;0,FALSE),B820="DI"),"IO","no")</f>
        <v>no</v>
      </c>
    </row>
    <row r="821" spans="2:4" x14ac:dyDescent="0.25">
      <c r="B821" s="22" t="s">
        <v>2942</v>
      </c>
      <c r="C821" s="22" t="s">
        <v>2948</v>
      </c>
      <c r="D821" t="str">
        <f>+IF(OR(IFERROR(FIND(".IO",Table2[[#This Row],[Sheet Location]],1)&gt;0,FALSE),B821="DI"),"IO","no")</f>
        <v>no</v>
      </c>
    </row>
    <row r="822" spans="2:4" x14ac:dyDescent="0.25">
      <c r="B822" s="22" t="s">
        <v>2942</v>
      </c>
      <c r="C822" s="22" t="s">
        <v>2949</v>
      </c>
      <c r="D822" t="str">
        <f>+IF(OR(IFERROR(FIND(".IO",Table2[[#This Row],[Sheet Location]],1)&gt;0,FALSE),B822="DI"),"IO","no")</f>
        <v>no</v>
      </c>
    </row>
    <row r="823" spans="2:4" x14ac:dyDescent="0.25">
      <c r="B823" s="22" t="s">
        <v>2942</v>
      </c>
      <c r="C823" s="22" t="s">
        <v>2950</v>
      </c>
      <c r="D823" t="str">
        <f>+IF(OR(IFERROR(FIND(".IO",Table2[[#This Row],[Sheet Location]],1)&gt;0,FALSE),B823="DI"),"IO","no")</f>
        <v>no</v>
      </c>
    </row>
    <row r="824" spans="2:4" x14ac:dyDescent="0.25">
      <c r="B824" s="22" t="s">
        <v>2942</v>
      </c>
      <c r="C824" s="22" t="s">
        <v>2951</v>
      </c>
      <c r="D824" t="str">
        <f>+IF(OR(IFERROR(FIND(".IO",Table2[[#This Row],[Sheet Location]],1)&gt;0,FALSE),B824="DI"),"IO","no")</f>
        <v>no</v>
      </c>
    </row>
    <row r="825" spans="2:4" x14ac:dyDescent="0.25">
      <c r="B825" s="22" t="s">
        <v>2942</v>
      </c>
      <c r="C825" s="22" t="s">
        <v>2952</v>
      </c>
      <c r="D825" t="str">
        <f>+IF(OR(IFERROR(FIND(".IO",Table2[[#This Row],[Sheet Location]],1)&gt;0,FALSE),B825="DI"),"IO","no")</f>
        <v>no</v>
      </c>
    </row>
    <row r="826" spans="2:4" x14ac:dyDescent="0.25">
      <c r="B826" s="22" t="s">
        <v>2942</v>
      </c>
      <c r="C826" s="22" t="s">
        <v>2953</v>
      </c>
      <c r="D826" t="str">
        <f>+IF(OR(IFERROR(FIND(".IO",Table2[[#This Row],[Sheet Location]],1)&gt;0,FALSE),B826="DI"),"IO","no")</f>
        <v>no</v>
      </c>
    </row>
    <row r="827" spans="2:4" x14ac:dyDescent="0.25">
      <c r="B827" s="22" t="s">
        <v>2954</v>
      </c>
      <c r="C827" s="22" t="s">
        <v>2955</v>
      </c>
      <c r="D827" t="str">
        <f>+IF(OR(IFERROR(FIND(".IO",Table2[[#This Row],[Sheet Location]],1)&gt;0,FALSE),B827="DI"),"IO","no")</f>
        <v>no</v>
      </c>
    </row>
    <row r="828" spans="2:4" x14ac:dyDescent="0.25">
      <c r="B828" s="22" t="s">
        <v>2954</v>
      </c>
      <c r="C828" s="22" t="s">
        <v>2956</v>
      </c>
      <c r="D828" t="str">
        <f>+IF(OR(IFERROR(FIND(".IO",Table2[[#This Row],[Sheet Location]],1)&gt;0,FALSE),B828="DI"),"IO","no")</f>
        <v>no</v>
      </c>
    </row>
    <row r="829" spans="2:4" x14ac:dyDescent="0.25">
      <c r="B829" s="22" t="s">
        <v>2954</v>
      </c>
      <c r="C829" s="22" t="s">
        <v>2957</v>
      </c>
      <c r="D829" t="str">
        <f>+IF(OR(IFERROR(FIND(".IO",Table2[[#This Row],[Sheet Location]],1)&gt;0,FALSE),B829="DI"),"IO","no")</f>
        <v>no</v>
      </c>
    </row>
    <row r="830" spans="2:4" x14ac:dyDescent="0.25">
      <c r="B830" s="22" t="s">
        <v>2954</v>
      </c>
      <c r="C830" s="22" t="s">
        <v>2958</v>
      </c>
      <c r="D830" t="str">
        <f>+IF(OR(IFERROR(FIND(".IO",Table2[[#This Row],[Sheet Location]],1)&gt;0,FALSE),B830="DI"),"IO","no")</f>
        <v>no</v>
      </c>
    </row>
    <row r="831" spans="2:4" x14ac:dyDescent="0.25">
      <c r="B831" s="22" t="s">
        <v>2954</v>
      </c>
      <c r="C831" s="22" t="s">
        <v>2959</v>
      </c>
      <c r="D831" t="str">
        <f>+IF(OR(IFERROR(FIND(".IO",Table2[[#This Row],[Sheet Location]],1)&gt;0,FALSE),B831="DI"),"IO","no")</f>
        <v>no</v>
      </c>
    </row>
    <row r="832" spans="2:4" x14ac:dyDescent="0.25">
      <c r="B832" s="22" t="s">
        <v>2954</v>
      </c>
      <c r="C832" s="22" t="s">
        <v>2960</v>
      </c>
      <c r="D832" t="str">
        <f>+IF(OR(IFERROR(FIND(".IO",Table2[[#This Row],[Sheet Location]],1)&gt;0,FALSE),B832="DI"),"IO","no")</f>
        <v>no</v>
      </c>
    </row>
    <row r="833" spans="2:4" x14ac:dyDescent="0.25">
      <c r="B833" s="22" t="s">
        <v>2954</v>
      </c>
      <c r="C833" s="22" t="s">
        <v>2961</v>
      </c>
      <c r="D833" t="str">
        <f>+IF(OR(IFERROR(FIND(".IO",Table2[[#This Row],[Sheet Location]],1)&gt;0,FALSE),B833="DI"),"IO","no")</f>
        <v>no</v>
      </c>
    </row>
    <row r="834" spans="2:4" x14ac:dyDescent="0.25">
      <c r="B834" s="22" t="s">
        <v>2962</v>
      </c>
      <c r="C834" s="22" t="s">
        <v>2963</v>
      </c>
      <c r="D834" t="str">
        <f>+IF(OR(IFERROR(FIND(".IO",Table2[[#This Row],[Sheet Location]],1)&gt;0,FALSE),B834="DI"),"IO","no")</f>
        <v>no</v>
      </c>
    </row>
    <row r="835" spans="2:4" x14ac:dyDescent="0.25">
      <c r="B835" s="22" t="s">
        <v>2962</v>
      </c>
      <c r="C835" s="22" t="s">
        <v>2964</v>
      </c>
      <c r="D835" t="str">
        <f>+IF(OR(IFERROR(FIND(".IO",Table2[[#This Row],[Sheet Location]],1)&gt;0,FALSE),B835="DI"),"IO","no")</f>
        <v>no</v>
      </c>
    </row>
    <row r="836" spans="2:4" x14ac:dyDescent="0.25">
      <c r="B836" s="22" t="s">
        <v>2962</v>
      </c>
      <c r="C836" s="22" t="s">
        <v>2965</v>
      </c>
      <c r="D836" t="str">
        <f>+IF(OR(IFERROR(FIND(".IO",Table2[[#This Row],[Sheet Location]],1)&gt;0,FALSE),B836="DI"),"IO","no")</f>
        <v>no</v>
      </c>
    </row>
    <row r="837" spans="2:4" x14ac:dyDescent="0.25">
      <c r="B837" s="22" t="s">
        <v>2962</v>
      </c>
      <c r="C837" s="22" t="s">
        <v>2966</v>
      </c>
      <c r="D837" t="str">
        <f>+IF(OR(IFERROR(FIND(".IO",Table2[[#This Row],[Sheet Location]],1)&gt;0,FALSE),B837="DI"),"IO","no")</f>
        <v>no</v>
      </c>
    </row>
    <row r="838" spans="2:4" x14ac:dyDescent="0.25">
      <c r="B838" s="22" t="s">
        <v>2962</v>
      </c>
      <c r="C838" s="22" t="s">
        <v>2967</v>
      </c>
      <c r="D838" t="str">
        <f>+IF(OR(IFERROR(FIND(".IO",Table2[[#This Row],[Sheet Location]],1)&gt;0,FALSE),B838="DI"),"IO","no")</f>
        <v>no</v>
      </c>
    </row>
    <row r="839" spans="2:4" x14ac:dyDescent="0.25">
      <c r="B839" s="22" t="s">
        <v>2962</v>
      </c>
      <c r="C839" s="22" t="s">
        <v>2968</v>
      </c>
      <c r="D839" t="str">
        <f>+IF(OR(IFERROR(FIND(".IO",Table2[[#This Row],[Sheet Location]],1)&gt;0,FALSE),B839="DI"),"IO","no")</f>
        <v>no</v>
      </c>
    </row>
    <row r="840" spans="2:4" x14ac:dyDescent="0.25">
      <c r="B840" s="22" t="s">
        <v>2969</v>
      </c>
      <c r="C840" s="22" t="s">
        <v>2970</v>
      </c>
      <c r="D840" t="str">
        <f>+IF(OR(IFERROR(FIND(".IO",Table2[[#This Row],[Sheet Location]],1)&gt;0,FALSE),B840="DI"),"IO","no")</f>
        <v>no</v>
      </c>
    </row>
    <row r="841" spans="2:4" x14ac:dyDescent="0.25">
      <c r="B841" s="22" t="s">
        <v>2969</v>
      </c>
      <c r="C841" s="22" t="s">
        <v>2971</v>
      </c>
      <c r="D841" t="str">
        <f>+IF(OR(IFERROR(FIND(".IO",Table2[[#This Row],[Sheet Location]],1)&gt;0,FALSE),B841="DI"),"IO","no")</f>
        <v>no</v>
      </c>
    </row>
    <row r="842" spans="2:4" x14ac:dyDescent="0.25">
      <c r="B842" s="22" t="s">
        <v>2969</v>
      </c>
      <c r="C842" s="22" t="s">
        <v>2972</v>
      </c>
      <c r="D842" t="str">
        <f>+IF(OR(IFERROR(FIND(".IO",Table2[[#This Row],[Sheet Location]],1)&gt;0,FALSE),B842="DI"),"IO","no")</f>
        <v>no</v>
      </c>
    </row>
    <row r="843" spans="2:4" x14ac:dyDescent="0.25">
      <c r="B843" s="22" t="s">
        <v>2969</v>
      </c>
      <c r="C843" s="22" t="s">
        <v>2973</v>
      </c>
      <c r="D843" t="str">
        <f>+IF(OR(IFERROR(FIND(".IO",Table2[[#This Row],[Sheet Location]],1)&gt;0,FALSE),B843="DI"),"IO","no")</f>
        <v>no</v>
      </c>
    </row>
    <row r="844" spans="2:4" x14ac:dyDescent="0.25">
      <c r="B844" s="22" t="s">
        <v>2969</v>
      </c>
      <c r="C844" s="22" t="s">
        <v>2974</v>
      </c>
      <c r="D844" t="str">
        <f>+IF(OR(IFERROR(FIND(".IO",Table2[[#This Row],[Sheet Location]],1)&gt;0,FALSE),B844="DI"),"IO","no")</f>
        <v>no</v>
      </c>
    </row>
    <row r="845" spans="2:4" x14ac:dyDescent="0.25">
      <c r="B845" s="22" t="s">
        <v>2969</v>
      </c>
      <c r="C845" s="22" t="s">
        <v>2975</v>
      </c>
      <c r="D845" t="str">
        <f>+IF(OR(IFERROR(FIND(".IO",Table2[[#This Row],[Sheet Location]],1)&gt;0,FALSE),B845="DI"),"IO","no")</f>
        <v>no</v>
      </c>
    </row>
    <row r="846" spans="2:4" x14ac:dyDescent="0.25">
      <c r="B846" s="22" t="s">
        <v>2969</v>
      </c>
      <c r="C846" s="22" t="s">
        <v>2976</v>
      </c>
      <c r="D846" t="str">
        <f>+IF(OR(IFERROR(FIND(".IO",Table2[[#This Row],[Sheet Location]],1)&gt;0,FALSE),B846="DI"),"IO","no")</f>
        <v>no</v>
      </c>
    </row>
    <row r="847" spans="2:4" x14ac:dyDescent="0.25">
      <c r="B847" s="22" t="s">
        <v>2969</v>
      </c>
      <c r="C847" s="22" t="s">
        <v>2977</v>
      </c>
      <c r="D847" t="str">
        <f>+IF(OR(IFERROR(FIND(".IO",Table2[[#This Row],[Sheet Location]],1)&gt;0,FALSE),B847="DI"),"IO","no")</f>
        <v>no</v>
      </c>
    </row>
    <row r="848" spans="2:4" x14ac:dyDescent="0.25">
      <c r="B848" s="22" t="s">
        <v>2969</v>
      </c>
      <c r="C848" s="22" t="s">
        <v>2978</v>
      </c>
      <c r="D848" t="str">
        <f>+IF(OR(IFERROR(FIND(".IO",Table2[[#This Row],[Sheet Location]],1)&gt;0,FALSE),B848="DI"),"IO","no")</f>
        <v>no</v>
      </c>
    </row>
    <row r="849" spans="2:4" x14ac:dyDescent="0.25">
      <c r="B849" s="22" t="s">
        <v>2969</v>
      </c>
      <c r="C849" s="22" t="s">
        <v>2979</v>
      </c>
      <c r="D849" t="str">
        <f>+IF(OR(IFERROR(FIND(".IO",Table2[[#This Row],[Sheet Location]],1)&gt;0,FALSE),B849="DI"),"IO","no")</f>
        <v>no</v>
      </c>
    </row>
    <row r="850" spans="2:4" x14ac:dyDescent="0.25">
      <c r="B850" s="22" t="s">
        <v>2980</v>
      </c>
      <c r="C850" s="22" t="s">
        <v>2981</v>
      </c>
      <c r="D850" t="str">
        <f>+IF(OR(IFERROR(FIND(".IO",Table2[[#This Row],[Sheet Location]],1)&gt;0,FALSE),B850="DI"),"IO","no")</f>
        <v>no</v>
      </c>
    </row>
    <row r="851" spans="2:4" x14ac:dyDescent="0.25">
      <c r="B851" s="22" t="s">
        <v>2980</v>
      </c>
      <c r="C851" s="22" t="s">
        <v>2982</v>
      </c>
      <c r="D851" t="str">
        <f>+IF(OR(IFERROR(FIND(".IO",Table2[[#This Row],[Sheet Location]],1)&gt;0,FALSE),B851="DI"),"IO","no")</f>
        <v>no</v>
      </c>
    </row>
    <row r="852" spans="2:4" x14ac:dyDescent="0.25">
      <c r="B852" s="22" t="s">
        <v>2980</v>
      </c>
      <c r="C852" s="22" t="s">
        <v>2983</v>
      </c>
      <c r="D852" t="str">
        <f>+IF(OR(IFERROR(FIND(".IO",Table2[[#This Row],[Sheet Location]],1)&gt;0,FALSE),B852="DI"),"IO","no")</f>
        <v>no</v>
      </c>
    </row>
    <row r="853" spans="2:4" x14ac:dyDescent="0.25">
      <c r="B853" s="22" t="s">
        <v>2980</v>
      </c>
      <c r="C853" s="22" t="s">
        <v>2984</v>
      </c>
      <c r="D853" t="str">
        <f>+IF(OR(IFERROR(FIND(".IO",Table2[[#This Row],[Sheet Location]],1)&gt;0,FALSE),B853="DI"),"IO","no")</f>
        <v>no</v>
      </c>
    </row>
    <row r="854" spans="2:4" x14ac:dyDescent="0.25">
      <c r="B854" s="22" t="s">
        <v>2980</v>
      </c>
      <c r="C854" s="22" t="s">
        <v>2985</v>
      </c>
      <c r="D854" t="str">
        <f>+IF(OR(IFERROR(FIND(".IO",Table2[[#This Row],[Sheet Location]],1)&gt;0,FALSE),B854="DI"),"IO","no")</f>
        <v>no</v>
      </c>
    </row>
    <row r="855" spans="2:4" x14ac:dyDescent="0.25">
      <c r="B855" s="22" t="s">
        <v>2980</v>
      </c>
      <c r="C855" s="22" t="s">
        <v>2986</v>
      </c>
      <c r="D855" t="str">
        <f>+IF(OR(IFERROR(FIND(".IO",Table2[[#This Row],[Sheet Location]],1)&gt;0,FALSE),B855="DI"),"IO","no")</f>
        <v>no</v>
      </c>
    </row>
    <row r="856" spans="2:4" x14ac:dyDescent="0.25">
      <c r="B856" s="22" t="s">
        <v>2980</v>
      </c>
      <c r="C856" s="22" t="s">
        <v>2987</v>
      </c>
      <c r="D856" t="str">
        <f>+IF(OR(IFERROR(FIND(".IO",Table2[[#This Row],[Sheet Location]],1)&gt;0,FALSE),B856="DI"),"IO","no")</f>
        <v>no</v>
      </c>
    </row>
    <row r="857" spans="2:4" x14ac:dyDescent="0.25">
      <c r="B857" s="22" t="s">
        <v>2980</v>
      </c>
      <c r="C857" s="22" t="s">
        <v>2988</v>
      </c>
      <c r="D857" t="str">
        <f>+IF(OR(IFERROR(FIND(".IO",Table2[[#This Row],[Sheet Location]],1)&gt;0,FALSE),B857="DI"),"IO","no")</f>
        <v>no</v>
      </c>
    </row>
    <row r="858" spans="2:4" x14ac:dyDescent="0.25">
      <c r="B858" s="22" t="s">
        <v>2980</v>
      </c>
      <c r="C858" s="22" t="s">
        <v>2989</v>
      </c>
      <c r="D858" t="str">
        <f>+IF(OR(IFERROR(FIND(".IO",Table2[[#This Row],[Sheet Location]],1)&gt;0,FALSE),B858="DI"),"IO","no")</f>
        <v>no</v>
      </c>
    </row>
    <row r="859" spans="2:4" x14ac:dyDescent="0.25">
      <c r="B859" s="22" t="s">
        <v>2980</v>
      </c>
      <c r="C859" s="22" t="s">
        <v>2990</v>
      </c>
      <c r="D859" t="str">
        <f>+IF(OR(IFERROR(FIND(".IO",Table2[[#This Row],[Sheet Location]],1)&gt;0,FALSE),B859="DI"),"IO","no")</f>
        <v>no</v>
      </c>
    </row>
    <row r="860" spans="2:4" x14ac:dyDescent="0.25">
      <c r="B860" s="22" t="s">
        <v>2991</v>
      </c>
      <c r="C860" s="22" t="s">
        <v>2992</v>
      </c>
      <c r="D860" t="str">
        <f>+IF(OR(IFERROR(FIND(".IO",Table2[[#This Row],[Sheet Location]],1)&gt;0,FALSE),B860="DI"),"IO","no")</f>
        <v>no</v>
      </c>
    </row>
    <row r="861" spans="2:4" x14ac:dyDescent="0.25">
      <c r="B861" s="22" t="s">
        <v>2991</v>
      </c>
      <c r="C861" s="22" t="s">
        <v>2993</v>
      </c>
      <c r="D861" t="str">
        <f>+IF(OR(IFERROR(FIND(".IO",Table2[[#This Row],[Sheet Location]],1)&gt;0,FALSE),B861="DI"),"IO","no")</f>
        <v>no</v>
      </c>
    </row>
    <row r="862" spans="2:4" x14ac:dyDescent="0.25">
      <c r="B862" s="22" t="s">
        <v>2991</v>
      </c>
      <c r="C862" s="22" t="s">
        <v>2994</v>
      </c>
      <c r="D862" t="str">
        <f>+IF(OR(IFERROR(FIND(".IO",Table2[[#This Row],[Sheet Location]],1)&gt;0,FALSE),B862="DI"),"IO","no")</f>
        <v>no</v>
      </c>
    </row>
    <row r="863" spans="2:4" x14ac:dyDescent="0.25">
      <c r="B863" s="22" t="s">
        <v>2991</v>
      </c>
      <c r="C863" s="22" t="s">
        <v>2995</v>
      </c>
      <c r="D863" t="str">
        <f>+IF(OR(IFERROR(FIND(".IO",Table2[[#This Row],[Sheet Location]],1)&gt;0,FALSE),B863="DI"),"IO","no")</f>
        <v>no</v>
      </c>
    </row>
    <row r="864" spans="2:4" x14ac:dyDescent="0.25">
      <c r="B864" s="22" t="s">
        <v>2991</v>
      </c>
      <c r="C864" s="22" t="s">
        <v>2996</v>
      </c>
      <c r="D864" t="str">
        <f>+IF(OR(IFERROR(FIND(".IO",Table2[[#This Row],[Sheet Location]],1)&gt;0,FALSE),B864="DI"),"IO","no")</f>
        <v>no</v>
      </c>
    </row>
    <row r="865" spans="2:4" x14ac:dyDescent="0.25">
      <c r="B865" s="22" t="s">
        <v>2991</v>
      </c>
      <c r="C865" s="22" t="s">
        <v>2997</v>
      </c>
      <c r="D865" t="str">
        <f>+IF(OR(IFERROR(FIND(".IO",Table2[[#This Row],[Sheet Location]],1)&gt;0,FALSE),B865="DI"),"IO","no")</f>
        <v>no</v>
      </c>
    </row>
    <row r="866" spans="2:4" x14ac:dyDescent="0.25">
      <c r="B866" s="22" t="s">
        <v>2991</v>
      </c>
      <c r="C866" s="22" t="s">
        <v>2998</v>
      </c>
      <c r="D866" t="str">
        <f>+IF(OR(IFERROR(FIND(".IO",Table2[[#This Row],[Sheet Location]],1)&gt;0,FALSE),B866="DI"),"IO","no")</f>
        <v>no</v>
      </c>
    </row>
    <row r="867" spans="2:4" x14ac:dyDescent="0.25">
      <c r="B867" s="22" t="s">
        <v>2991</v>
      </c>
      <c r="C867" s="22" t="s">
        <v>2999</v>
      </c>
      <c r="D867" t="str">
        <f>+IF(OR(IFERROR(FIND(".IO",Table2[[#This Row],[Sheet Location]],1)&gt;0,FALSE),B867="DI"),"IO","no")</f>
        <v>no</v>
      </c>
    </row>
    <row r="868" spans="2:4" x14ac:dyDescent="0.25">
      <c r="B868" s="22" t="s">
        <v>2991</v>
      </c>
      <c r="C868" s="22" t="s">
        <v>3000</v>
      </c>
      <c r="D868" t="str">
        <f>+IF(OR(IFERROR(FIND(".IO",Table2[[#This Row],[Sheet Location]],1)&gt;0,FALSE),B868="DI"),"IO","no")</f>
        <v>no</v>
      </c>
    </row>
    <row r="869" spans="2:4" x14ac:dyDescent="0.25">
      <c r="B869" s="22" t="s">
        <v>3001</v>
      </c>
      <c r="C869" s="22" t="s">
        <v>3002</v>
      </c>
      <c r="D869" t="str">
        <f>+IF(OR(IFERROR(FIND(".IO",Table2[[#This Row],[Sheet Location]],1)&gt;0,FALSE),B869="DI"),"IO","no")</f>
        <v>no</v>
      </c>
    </row>
    <row r="870" spans="2:4" x14ac:dyDescent="0.25">
      <c r="B870" s="22" t="s">
        <v>3001</v>
      </c>
      <c r="C870" s="22" t="s">
        <v>3003</v>
      </c>
      <c r="D870" t="str">
        <f>+IF(OR(IFERROR(FIND(".IO",Table2[[#This Row],[Sheet Location]],1)&gt;0,FALSE),B870="DI"),"IO","no")</f>
        <v>no</v>
      </c>
    </row>
    <row r="871" spans="2:4" x14ac:dyDescent="0.25">
      <c r="B871" s="22" t="s">
        <v>3001</v>
      </c>
      <c r="C871" s="22" t="s">
        <v>3004</v>
      </c>
      <c r="D871" t="str">
        <f>+IF(OR(IFERROR(FIND(".IO",Table2[[#This Row],[Sheet Location]],1)&gt;0,FALSE),B871="DI"),"IO","no")</f>
        <v>no</v>
      </c>
    </row>
    <row r="872" spans="2:4" x14ac:dyDescent="0.25">
      <c r="B872" s="22" t="s">
        <v>3001</v>
      </c>
      <c r="C872" s="22" t="s">
        <v>3005</v>
      </c>
      <c r="D872" t="str">
        <f>+IF(OR(IFERROR(FIND(".IO",Table2[[#This Row],[Sheet Location]],1)&gt;0,FALSE),B872="DI"),"IO","no")</f>
        <v>no</v>
      </c>
    </row>
    <row r="873" spans="2:4" x14ac:dyDescent="0.25">
      <c r="B873" s="22" t="s">
        <v>3001</v>
      </c>
      <c r="C873" s="22" t="s">
        <v>3006</v>
      </c>
      <c r="D873" t="str">
        <f>+IF(OR(IFERROR(FIND(".IO",Table2[[#This Row],[Sheet Location]],1)&gt;0,FALSE),B873="DI"),"IO","no")</f>
        <v>no</v>
      </c>
    </row>
    <row r="874" spans="2:4" x14ac:dyDescent="0.25">
      <c r="B874" s="22" t="s">
        <v>3001</v>
      </c>
      <c r="C874" s="22" t="s">
        <v>3007</v>
      </c>
      <c r="D874" t="str">
        <f>+IF(OR(IFERROR(FIND(".IO",Table2[[#This Row],[Sheet Location]],1)&gt;0,FALSE),B874="DI"),"IO","no")</f>
        <v>no</v>
      </c>
    </row>
    <row r="875" spans="2:4" x14ac:dyDescent="0.25">
      <c r="B875" s="22" t="s">
        <v>3001</v>
      </c>
      <c r="C875" s="22" t="s">
        <v>3008</v>
      </c>
      <c r="D875" t="str">
        <f>+IF(OR(IFERROR(FIND(".IO",Table2[[#This Row],[Sheet Location]],1)&gt;0,FALSE),B875="DI"),"IO","no")</f>
        <v>no</v>
      </c>
    </row>
    <row r="876" spans="2:4" x14ac:dyDescent="0.25">
      <c r="B876" s="22" t="s">
        <v>3001</v>
      </c>
      <c r="C876" s="22" t="s">
        <v>3009</v>
      </c>
      <c r="D876" t="str">
        <f>+IF(OR(IFERROR(FIND(".IO",Table2[[#This Row],[Sheet Location]],1)&gt;0,FALSE),B876="DI"),"IO","no")</f>
        <v>no</v>
      </c>
    </row>
    <row r="877" spans="2:4" x14ac:dyDescent="0.25">
      <c r="B877" s="22" t="s">
        <v>3001</v>
      </c>
      <c r="C877" s="22" t="s">
        <v>3010</v>
      </c>
      <c r="D877" t="str">
        <f>+IF(OR(IFERROR(FIND(".IO",Table2[[#This Row],[Sheet Location]],1)&gt;0,FALSE),B877="DI"),"IO","no")</f>
        <v>no</v>
      </c>
    </row>
    <row r="878" spans="2:4" x14ac:dyDescent="0.25">
      <c r="B878" s="22" t="s">
        <v>3001</v>
      </c>
      <c r="C878" s="22" t="s">
        <v>3011</v>
      </c>
      <c r="D878" t="str">
        <f>+IF(OR(IFERROR(FIND(".IO",Table2[[#This Row],[Sheet Location]],1)&gt;0,FALSE),B878="DI"),"IO","no")</f>
        <v>no</v>
      </c>
    </row>
    <row r="879" spans="2:4" x14ac:dyDescent="0.25">
      <c r="B879" s="22" t="s">
        <v>3012</v>
      </c>
      <c r="C879" s="22" t="s">
        <v>3013</v>
      </c>
      <c r="D879" t="str">
        <f>+IF(OR(IFERROR(FIND(".IO",Table2[[#This Row],[Sheet Location]],1)&gt;0,FALSE),B879="DI"),"IO","no")</f>
        <v>no</v>
      </c>
    </row>
    <row r="880" spans="2:4" x14ac:dyDescent="0.25">
      <c r="B880" s="22" t="s">
        <v>3012</v>
      </c>
      <c r="C880" s="22" t="s">
        <v>3014</v>
      </c>
      <c r="D880" t="str">
        <f>+IF(OR(IFERROR(FIND(".IO",Table2[[#This Row],[Sheet Location]],1)&gt;0,FALSE),B880="DI"),"IO","no")</f>
        <v>no</v>
      </c>
    </row>
    <row r="881" spans="2:4" x14ac:dyDescent="0.25">
      <c r="B881" s="22" t="s">
        <v>3012</v>
      </c>
      <c r="C881" s="22" t="s">
        <v>3015</v>
      </c>
      <c r="D881" t="str">
        <f>+IF(OR(IFERROR(FIND(".IO",Table2[[#This Row],[Sheet Location]],1)&gt;0,FALSE),B881="DI"),"IO","no")</f>
        <v>no</v>
      </c>
    </row>
    <row r="882" spans="2:4" x14ac:dyDescent="0.25">
      <c r="B882" s="22" t="s">
        <v>3012</v>
      </c>
      <c r="C882" s="22" t="s">
        <v>3016</v>
      </c>
      <c r="D882" t="str">
        <f>+IF(OR(IFERROR(FIND(".IO",Table2[[#This Row],[Sheet Location]],1)&gt;0,FALSE),B882="DI"),"IO","no")</f>
        <v>no</v>
      </c>
    </row>
    <row r="883" spans="2:4" x14ac:dyDescent="0.25">
      <c r="B883" s="22" t="s">
        <v>3012</v>
      </c>
      <c r="C883" s="22" t="s">
        <v>3017</v>
      </c>
      <c r="D883" t="str">
        <f>+IF(OR(IFERROR(FIND(".IO",Table2[[#This Row],[Sheet Location]],1)&gt;0,FALSE),B883="DI"),"IO","no")</f>
        <v>no</v>
      </c>
    </row>
    <row r="884" spans="2:4" x14ac:dyDescent="0.25">
      <c r="B884" s="22" t="s">
        <v>3012</v>
      </c>
      <c r="C884" s="22" t="s">
        <v>3018</v>
      </c>
      <c r="D884" t="str">
        <f>+IF(OR(IFERROR(FIND(".IO",Table2[[#This Row],[Sheet Location]],1)&gt;0,FALSE),B884="DI"),"IO","no")</f>
        <v>no</v>
      </c>
    </row>
    <row r="885" spans="2:4" x14ac:dyDescent="0.25">
      <c r="B885" s="22" t="s">
        <v>3012</v>
      </c>
      <c r="C885" s="22" t="s">
        <v>3019</v>
      </c>
      <c r="D885" t="str">
        <f>+IF(OR(IFERROR(FIND(".IO",Table2[[#This Row],[Sheet Location]],1)&gt;0,FALSE),B885="DI"),"IO","no")</f>
        <v>no</v>
      </c>
    </row>
    <row r="886" spans="2:4" x14ac:dyDescent="0.25">
      <c r="B886" s="22" t="s">
        <v>3012</v>
      </c>
      <c r="C886" s="22" t="s">
        <v>3020</v>
      </c>
      <c r="D886" t="str">
        <f>+IF(OR(IFERROR(FIND(".IO",Table2[[#This Row],[Sheet Location]],1)&gt;0,FALSE),B886="DI"),"IO","no")</f>
        <v>no</v>
      </c>
    </row>
    <row r="887" spans="2:4" x14ac:dyDescent="0.25">
      <c r="B887" s="22" t="s">
        <v>3012</v>
      </c>
      <c r="C887" s="22" t="s">
        <v>3021</v>
      </c>
      <c r="D887" t="str">
        <f>+IF(OR(IFERROR(FIND(".IO",Table2[[#This Row],[Sheet Location]],1)&gt;0,FALSE),B887="DI"),"IO","no")</f>
        <v>no</v>
      </c>
    </row>
    <row r="888" spans="2:4" x14ac:dyDescent="0.25">
      <c r="B888" s="22" t="s">
        <v>3022</v>
      </c>
      <c r="C888" s="22" t="s">
        <v>3023</v>
      </c>
      <c r="D888" t="str">
        <f>+IF(OR(IFERROR(FIND(".IO",Table2[[#This Row],[Sheet Location]],1)&gt;0,FALSE),B888="DI"),"IO","no")</f>
        <v>IO</v>
      </c>
    </row>
    <row r="889" spans="2:4" x14ac:dyDescent="0.25">
      <c r="B889" s="22" t="s">
        <v>3022</v>
      </c>
      <c r="C889" s="22" t="s">
        <v>3024</v>
      </c>
      <c r="D889" t="str">
        <f>+IF(OR(IFERROR(FIND(".IO",Table2[[#This Row],[Sheet Location]],1)&gt;0,FALSE),B889="DI"),"IO","no")</f>
        <v>IO</v>
      </c>
    </row>
    <row r="890" spans="2:4" x14ac:dyDescent="0.25">
      <c r="B890" s="22" t="s">
        <v>3022</v>
      </c>
      <c r="C890" s="22" t="s">
        <v>3025</v>
      </c>
      <c r="D890" t="str">
        <f>+IF(OR(IFERROR(FIND(".IO",Table2[[#This Row],[Sheet Location]],1)&gt;0,FALSE),B890="DI"),"IO","no")</f>
        <v>IO</v>
      </c>
    </row>
    <row r="891" spans="2:4" x14ac:dyDescent="0.25">
      <c r="B891" s="22" t="s">
        <v>3022</v>
      </c>
      <c r="C891" s="22" t="s">
        <v>3026</v>
      </c>
      <c r="D891" t="str">
        <f>+IF(OR(IFERROR(FIND(".IO",Table2[[#This Row],[Sheet Location]],1)&gt;0,FALSE),B891="DI"),"IO","no")</f>
        <v>IO</v>
      </c>
    </row>
    <row r="892" spans="2:4" x14ac:dyDescent="0.25">
      <c r="B892" s="22" t="s">
        <v>3022</v>
      </c>
      <c r="C892" s="22" t="s">
        <v>3027</v>
      </c>
      <c r="D892" t="str">
        <f>+IF(OR(IFERROR(FIND(".IO",Table2[[#This Row],[Sheet Location]],1)&gt;0,FALSE),B892="DI"),"IO","no")</f>
        <v>IO</v>
      </c>
    </row>
    <row r="893" spans="2:4" x14ac:dyDescent="0.25">
      <c r="B893" s="22" t="s">
        <v>3022</v>
      </c>
      <c r="C893" s="22" t="s">
        <v>3028</v>
      </c>
      <c r="D893" t="str">
        <f>+IF(OR(IFERROR(FIND(".IO",Table2[[#This Row],[Sheet Location]],1)&gt;0,FALSE),B893="DI"),"IO","no")</f>
        <v>IO</v>
      </c>
    </row>
    <row r="894" spans="2:4" x14ac:dyDescent="0.25">
      <c r="B894" s="22" t="s">
        <v>3022</v>
      </c>
      <c r="C894" s="22" t="s">
        <v>3029</v>
      </c>
      <c r="D894" t="str">
        <f>+IF(OR(IFERROR(FIND(".IO",Table2[[#This Row],[Sheet Location]],1)&gt;0,FALSE),B894="DI"),"IO","no")</f>
        <v>IO</v>
      </c>
    </row>
    <row r="895" spans="2:4" x14ac:dyDescent="0.25">
      <c r="B895" s="22" t="s">
        <v>3022</v>
      </c>
      <c r="C895" s="22" t="s">
        <v>3030</v>
      </c>
      <c r="D895" t="str">
        <f>+IF(OR(IFERROR(FIND(".IO",Table2[[#This Row],[Sheet Location]],1)&gt;0,FALSE),B895="DI"),"IO","no")</f>
        <v>IO</v>
      </c>
    </row>
    <row r="896" spans="2:4" x14ac:dyDescent="0.25">
      <c r="B896" s="22" t="s">
        <v>3022</v>
      </c>
      <c r="C896" s="22" t="s">
        <v>3031</v>
      </c>
      <c r="D896" t="str">
        <f>+IF(OR(IFERROR(FIND(".IO",Table2[[#This Row],[Sheet Location]],1)&gt;0,FALSE),B896="DI"),"IO","no")</f>
        <v>IO</v>
      </c>
    </row>
    <row r="897" spans="2:4" x14ac:dyDescent="0.25">
      <c r="B897" s="22" t="s">
        <v>3022</v>
      </c>
      <c r="C897" s="22" t="s">
        <v>3032</v>
      </c>
      <c r="D897" t="str">
        <f>+IF(OR(IFERROR(FIND(".IO",Table2[[#This Row],[Sheet Location]],1)&gt;0,FALSE),B897="DI"),"IO","no")</f>
        <v>IO</v>
      </c>
    </row>
    <row r="898" spans="2:4" x14ac:dyDescent="0.25">
      <c r="B898" s="22" t="s">
        <v>3022</v>
      </c>
      <c r="C898" s="22" t="s">
        <v>3033</v>
      </c>
      <c r="D898" t="str">
        <f>+IF(OR(IFERROR(FIND(".IO",Table2[[#This Row],[Sheet Location]],1)&gt;0,FALSE),B898="DI"),"IO","no")</f>
        <v>IO</v>
      </c>
    </row>
    <row r="899" spans="2:4" x14ac:dyDescent="0.25">
      <c r="B899" s="22" t="s">
        <v>3022</v>
      </c>
      <c r="C899" s="22" t="s">
        <v>3034</v>
      </c>
      <c r="D899" t="str">
        <f>+IF(OR(IFERROR(FIND(".IO",Table2[[#This Row],[Sheet Location]],1)&gt;0,FALSE),B899="DI"),"IO","no")</f>
        <v>IO</v>
      </c>
    </row>
    <row r="900" spans="2:4" x14ac:dyDescent="0.25">
      <c r="B900" s="22" t="s">
        <v>3022</v>
      </c>
      <c r="C900" s="22" t="s">
        <v>3035</v>
      </c>
      <c r="D900" t="str">
        <f>+IF(OR(IFERROR(FIND(".IO",Table2[[#This Row],[Sheet Location]],1)&gt;0,FALSE),B900="DI"),"IO","no")</f>
        <v>IO</v>
      </c>
    </row>
    <row r="901" spans="2:4" x14ac:dyDescent="0.25">
      <c r="B901" s="22" t="s">
        <v>3022</v>
      </c>
      <c r="C901" s="22" t="s">
        <v>3036</v>
      </c>
      <c r="D901" t="str">
        <f>+IF(OR(IFERROR(FIND(".IO",Table2[[#This Row],[Sheet Location]],1)&gt;0,FALSE),B901="DI"),"IO","no")</f>
        <v>IO</v>
      </c>
    </row>
    <row r="902" spans="2:4" x14ac:dyDescent="0.25">
      <c r="B902" s="22" t="s">
        <v>3037</v>
      </c>
      <c r="C902" s="22" t="s">
        <v>3038</v>
      </c>
      <c r="D902" t="str">
        <f>+IF(OR(IFERROR(FIND(".IO",Table2[[#This Row],[Sheet Location]],1)&gt;0,FALSE),B902="DI"),"IO","no")</f>
        <v>no</v>
      </c>
    </row>
    <row r="903" spans="2:4" x14ac:dyDescent="0.25">
      <c r="B903" s="22" t="s">
        <v>3037</v>
      </c>
      <c r="C903" s="22" t="s">
        <v>3039</v>
      </c>
      <c r="D903" t="str">
        <f>+IF(OR(IFERROR(FIND(".IO",Table2[[#This Row],[Sheet Location]],1)&gt;0,FALSE),B903="DI"),"IO","no")</f>
        <v>no</v>
      </c>
    </row>
    <row r="904" spans="2:4" x14ac:dyDescent="0.25">
      <c r="B904" s="22" t="s">
        <v>3037</v>
      </c>
      <c r="C904" s="22" t="s">
        <v>3040</v>
      </c>
      <c r="D904" t="str">
        <f>+IF(OR(IFERROR(FIND(".IO",Table2[[#This Row],[Sheet Location]],1)&gt;0,FALSE),B904="DI"),"IO","no")</f>
        <v>no</v>
      </c>
    </row>
    <row r="905" spans="2:4" x14ac:dyDescent="0.25">
      <c r="B905" s="22" t="s">
        <v>3037</v>
      </c>
      <c r="C905" s="22" t="s">
        <v>3041</v>
      </c>
      <c r="D905" t="str">
        <f>+IF(OR(IFERROR(FIND(".IO",Table2[[#This Row],[Sheet Location]],1)&gt;0,FALSE),B905="DI"),"IO","no")</f>
        <v>no</v>
      </c>
    </row>
    <row r="906" spans="2:4" x14ac:dyDescent="0.25">
      <c r="B906" s="22" t="s">
        <v>3037</v>
      </c>
      <c r="C906" s="22" t="s">
        <v>3042</v>
      </c>
      <c r="D906" t="str">
        <f>+IF(OR(IFERROR(FIND(".IO",Table2[[#This Row],[Sheet Location]],1)&gt;0,FALSE),B906="DI"),"IO","no")</f>
        <v>no</v>
      </c>
    </row>
    <row r="907" spans="2:4" x14ac:dyDescent="0.25">
      <c r="B907" s="22" t="s">
        <v>3037</v>
      </c>
      <c r="C907" s="22" t="s">
        <v>3043</v>
      </c>
      <c r="D907" t="str">
        <f>+IF(OR(IFERROR(FIND(".IO",Table2[[#This Row],[Sheet Location]],1)&gt;0,FALSE),B907="DI"),"IO","no")</f>
        <v>no</v>
      </c>
    </row>
    <row r="908" spans="2:4" x14ac:dyDescent="0.25">
      <c r="B908" s="22" t="s">
        <v>3037</v>
      </c>
      <c r="C908" s="22" t="s">
        <v>3044</v>
      </c>
      <c r="D908" t="str">
        <f>+IF(OR(IFERROR(FIND(".IO",Table2[[#This Row],[Sheet Location]],1)&gt;0,FALSE),B908="DI"),"IO","no")</f>
        <v>no</v>
      </c>
    </row>
    <row r="909" spans="2:4" x14ac:dyDescent="0.25">
      <c r="B909" s="22" t="s">
        <v>3037</v>
      </c>
      <c r="C909" s="22" t="s">
        <v>3045</v>
      </c>
      <c r="D909" t="str">
        <f>+IF(OR(IFERROR(FIND(".IO",Table2[[#This Row],[Sheet Location]],1)&gt;0,FALSE),B909="DI"),"IO","no")</f>
        <v>no</v>
      </c>
    </row>
    <row r="910" spans="2:4" x14ac:dyDescent="0.25">
      <c r="B910" s="22" t="s">
        <v>3037</v>
      </c>
      <c r="C910" s="22" t="s">
        <v>3046</v>
      </c>
      <c r="D910" t="str">
        <f>+IF(OR(IFERROR(FIND(".IO",Table2[[#This Row],[Sheet Location]],1)&gt;0,FALSE),B910="DI"),"IO","no")</f>
        <v>no</v>
      </c>
    </row>
    <row r="911" spans="2:4" x14ac:dyDescent="0.25">
      <c r="B911" s="22" t="s">
        <v>3047</v>
      </c>
      <c r="C911" s="22" t="s">
        <v>3048</v>
      </c>
      <c r="D911" t="str">
        <f>+IF(OR(IFERROR(FIND(".IO",Table2[[#This Row],[Sheet Location]],1)&gt;0,FALSE),B911="DI"),"IO","no")</f>
        <v>no</v>
      </c>
    </row>
    <row r="912" spans="2:4" x14ac:dyDescent="0.25">
      <c r="B912" s="22" t="s">
        <v>3047</v>
      </c>
      <c r="C912" s="22" t="s">
        <v>3049</v>
      </c>
      <c r="D912" t="str">
        <f>+IF(OR(IFERROR(FIND(".IO",Table2[[#This Row],[Sheet Location]],1)&gt;0,FALSE),B912="DI"),"IO","no")</f>
        <v>no</v>
      </c>
    </row>
    <row r="913" spans="2:4" x14ac:dyDescent="0.25">
      <c r="B913" s="22" t="s">
        <v>3047</v>
      </c>
      <c r="C913" s="22" t="s">
        <v>3050</v>
      </c>
      <c r="D913" t="str">
        <f>+IF(OR(IFERROR(FIND(".IO",Table2[[#This Row],[Sheet Location]],1)&gt;0,FALSE),B913="DI"),"IO","no")</f>
        <v>no</v>
      </c>
    </row>
    <row r="914" spans="2:4" x14ac:dyDescent="0.25">
      <c r="B914" s="22" t="s">
        <v>3047</v>
      </c>
      <c r="C914" s="22" t="s">
        <v>3051</v>
      </c>
      <c r="D914" t="str">
        <f>+IF(OR(IFERROR(FIND(".IO",Table2[[#This Row],[Sheet Location]],1)&gt;0,FALSE),B914="DI"),"IO","no")</f>
        <v>no</v>
      </c>
    </row>
    <row r="915" spans="2:4" x14ac:dyDescent="0.25">
      <c r="B915" s="22" t="s">
        <v>3047</v>
      </c>
      <c r="C915" s="22" t="s">
        <v>3052</v>
      </c>
      <c r="D915" t="str">
        <f>+IF(OR(IFERROR(FIND(".IO",Table2[[#This Row],[Sheet Location]],1)&gt;0,FALSE),B915="DI"),"IO","no")</f>
        <v>no</v>
      </c>
    </row>
    <row r="916" spans="2:4" x14ac:dyDescent="0.25">
      <c r="B916" s="22" t="s">
        <v>3047</v>
      </c>
      <c r="C916" s="22" t="s">
        <v>3053</v>
      </c>
      <c r="D916" t="str">
        <f>+IF(OR(IFERROR(FIND(".IO",Table2[[#This Row],[Sheet Location]],1)&gt;0,FALSE),B916="DI"),"IO","no")</f>
        <v>no</v>
      </c>
    </row>
    <row r="917" spans="2:4" x14ac:dyDescent="0.25">
      <c r="B917" s="22" t="s">
        <v>3047</v>
      </c>
      <c r="C917" s="22" t="s">
        <v>3054</v>
      </c>
      <c r="D917" t="str">
        <f>+IF(OR(IFERROR(FIND(".IO",Table2[[#This Row],[Sheet Location]],1)&gt;0,FALSE),B917="DI"),"IO","no")</f>
        <v>no</v>
      </c>
    </row>
    <row r="918" spans="2:4" x14ac:dyDescent="0.25">
      <c r="B918" s="22" t="s">
        <v>3047</v>
      </c>
      <c r="C918" s="22" t="s">
        <v>3055</v>
      </c>
      <c r="D918" t="str">
        <f>+IF(OR(IFERROR(FIND(".IO",Table2[[#This Row],[Sheet Location]],1)&gt;0,FALSE),B918="DI"),"IO","no")</f>
        <v>no</v>
      </c>
    </row>
    <row r="919" spans="2:4" x14ac:dyDescent="0.25">
      <c r="B919" s="22" t="s">
        <v>3047</v>
      </c>
      <c r="C919" s="22" t="s">
        <v>3056</v>
      </c>
      <c r="D919" t="str">
        <f>+IF(OR(IFERROR(FIND(".IO",Table2[[#This Row],[Sheet Location]],1)&gt;0,FALSE),B919="DI"),"IO","no")</f>
        <v>no</v>
      </c>
    </row>
    <row r="920" spans="2:4" x14ac:dyDescent="0.25">
      <c r="B920" s="22" t="s">
        <v>3057</v>
      </c>
      <c r="C920" s="22" t="s">
        <v>3058</v>
      </c>
      <c r="D920" t="str">
        <f>+IF(OR(IFERROR(FIND(".IO",Table2[[#This Row],[Sheet Location]],1)&gt;0,FALSE),B920="DI"),"IO","no")</f>
        <v>no</v>
      </c>
    </row>
    <row r="921" spans="2:4" x14ac:dyDescent="0.25">
      <c r="B921" s="22" t="s">
        <v>3057</v>
      </c>
      <c r="C921" s="22" t="s">
        <v>3059</v>
      </c>
      <c r="D921" t="str">
        <f>+IF(OR(IFERROR(FIND(".IO",Table2[[#This Row],[Sheet Location]],1)&gt;0,FALSE),B921="DI"),"IO","no")</f>
        <v>no</v>
      </c>
    </row>
    <row r="922" spans="2:4" x14ac:dyDescent="0.25">
      <c r="B922" s="22" t="s">
        <v>3057</v>
      </c>
      <c r="C922" s="22" t="s">
        <v>3060</v>
      </c>
      <c r="D922" t="str">
        <f>+IF(OR(IFERROR(FIND(".IO",Table2[[#This Row],[Sheet Location]],1)&gt;0,FALSE),B922="DI"),"IO","no")</f>
        <v>no</v>
      </c>
    </row>
    <row r="923" spans="2:4" x14ac:dyDescent="0.25">
      <c r="B923" s="22" t="s">
        <v>3057</v>
      </c>
      <c r="C923" s="22" t="s">
        <v>3061</v>
      </c>
      <c r="D923" t="str">
        <f>+IF(OR(IFERROR(FIND(".IO",Table2[[#This Row],[Sheet Location]],1)&gt;0,FALSE),B923="DI"),"IO","no")</f>
        <v>no</v>
      </c>
    </row>
    <row r="924" spans="2:4" x14ac:dyDescent="0.25">
      <c r="B924" s="22" t="s">
        <v>3057</v>
      </c>
      <c r="C924" s="22" t="s">
        <v>3062</v>
      </c>
      <c r="D924" t="str">
        <f>+IF(OR(IFERROR(FIND(".IO",Table2[[#This Row],[Sheet Location]],1)&gt;0,FALSE),B924="DI"),"IO","no")</f>
        <v>no</v>
      </c>
    </row>
    <row r="925" spans="2:4" x14ac:dyDescent="0.25">
      <c r="B925" s="22" t="s">
        <v>3057</v>
      </c>
      <c r="C925" s="22" t="s">
        <v>3063</v>
      </c>
      <c r="D925" t="str">
        <f>+IF(OR(IFERROR(FIND(".IO",Table2[[#This Row],[Sheet Location]],1)&gt;0,FALSE),B925="DI"),"IO","no")</f>
        <v>no</v>
      </c>
    </row>
    <row r="926" spans="2:4" x14ac:dyDescent="0.25">
      <c r="B926" s="22" t="s">
        <v>3057</v>
      </c>
      <c r="C926" s="22" t="s">
        <v>3064</v>
      </c>
      <c r="D926" t="str">
        <f>+IF(OR(IFERROR(FIND(".IO",Table2[[#This Row],[Sheet Location]],1)&gt;0,FALSE),B926="DI"),"IO","no")</f>
        <v>no</v>
      </c>
    </row>
    <row r="927" spans="2:4" x14ac:dyDescent="0.25">
      <c r="B927" s="22" t="s">
        <v>3065</v>
      </c>
      <c r="C927" s="22" t="s">
        <v>3066</v>
      </c>
      <c r="D927" t="str">
        <f>+IF(OR(IFERROR(FIND(".IO",Table2[[#This Row],[Sheet Location]],1)&gt;0,FALSE),B927="DI"),"IO","no")</f>
        <v>no</v>
      </c>
    </row>
    <row r="928" spans="2:4" x14ac:dyDescent="0.25">
      <c r="B928" s="22" t="s">
        <v>3065</v>
      </c>
      <c r="C928" s="22" t="s">
        <v>3067</v>
      </c>
      <c r="D928" t="str">
        <f>+IF(OR(IFERROR(FIND(".IO",Table2[[#This Row],[Sheet Location]],1)&gt;0,FALSE),B928="DI"),"IO","no")</f>
        <v>no</v>
      </c>
    </row>
    <row r="929" spans="2:4" x14ac:dyDescent="0.25">
      <c r="B929" s="22" t="s">
        <v>3065</v>
      </c>
      <c r="C929" s="22" t="s">
        <v>3068</v>
      </c>
      <c r="D929" t="str">
        <f>+IF(OR(IFERROR(FIND(".IO",Table2[[#This Row],[Sheet Location]],1)&gt;0,FALSE),B929="DI"),"IO","no")</f>
        <v>no</v>
      </c>
    </row>
    <row r="930" spans="2:4" x14ac:dyDescent="0.25">
      <c r="B930" s="22" t="s">
        <v>3065</v>
      </c>
      <c r="C930" s="22" t="s">
        <v>3069</v>
      </c>
      <c r="D930" t="str">
        <f>+IF(OR(IFERROR(FIND(".IO",Table2[[#This Row],[Sheet Location]],1)&gt;0,FALSE),B930="DI"),"IO","no")</f>
        <v>no</v>
      </c>
    </row>
    <row r="931" spans="2:4" x14ac:dyDescent="0.25">
      <c r="B931" s="22" t="s">
        <v>3065</v>
      </c>
      <c r="C931" s="22" t="s">
        <v>3070</v>
      </c>
      <c r="D931" t="str">
        <f>+IF(OR(IFERROR(FIND(".IO",Table2[[#This Row],[Sheet Location]],1)&gt;0,FALSE),B931="DI"),"IO","no")</f>
        <v>no</v>
      </c>
    </row>
    <row r="932" spans="2:4" x14ac:dyDescent="0.25">
      <c r="B932" s="22" t="s">
        <v>2038</v>
      </c>
      <c r="C932" s="22" t="s">
        <v>3071</v>
      </c>
      <c r="D932" t="str">
        <f>+IF(OR(IFERROR(FIND(".IO",Table2[[#This Row],[Sheet Location]],1)&gt;0,FALSE),B932="DI"),"IO","no")</f>
        <v>no</v>
      </c>
    </row>
    <row r="933" spans="2:4" x14ac:dyDescent="0.25">
      <c r="B933" s="22" t="s">
        <v>2038</v>
      </c>
      <c r="C933" s="22" t="s">
        <v>3072</v>
      </c>
      <c r="D933" t="str">
        <f>+IF(OR(IFERROR(FIND(".IO",Table2[[#This Row],[Sheet Location]],1)&gt;0,FALSE),B933="DI"),"IO","no")</f>
        <v>no</v>
      </c>
    </row>
    <row r="934" spans="2:4" x14ac:dyDescent="0.25">
      <c r="B934" s="22" t="s">
        <v>2038</v>
      </c>
      <c r="C934" s="22" t="s">
        <v>3073</v>
      </c>
      <c r="D934" t="str">
        <f>+IF(OR(IFERROR(FIND(".IO",Table2[[#This Row],[Sheet Location]],1)&gt;0,FALSE),B934="DI"),"IO","no")</f>
        <v>no</v>
      </c>
    </row>
    <row r="935" spans="2:4" x14ac:dyDescent="0.25">
      <c r="B935" s="22" t="s">
        <v>2038</v>
      </c>
      <c r="C935" s="22" t="s">
        <v>3074</v>
      </c>
      <c r="D935" t="str">
        <f>+IF(OR(IFERROR(FIND(".IO",Table2[[#This Row],[Sheet Location]],1)&gt;0,FALSE),B935="DI"),"IO","no")</f>
        <v>no</v>
      </c>
    </row>
    <row r="936" spans="2:4" x14ac:dyDescent="0.25">
      <c r="B936" s="22" t="s">
        <v>3075</v>
      </c>
      <c r="C936" s="22" t="s">
        <v>3076</v>
      </c>
      <c r="D936" t="str">
        <f>+IF(OR(IFERROR(FIND(".IO",Table2[[#This Row],[Sheet Location]],1)&gt;0,FALSE),B936="DI"),"IO","no")</f>
        <v>no</v>
      </c>
    </row>
    <row r="937" spans="2:4" x14ac:dyDescent="0.25">
      <c r="B937" s="22" t="s">
        <v>3075</v>
      </c>
      <c r="C937" s="22" t="s">
        <v>3077</v>
      </c>
      <c r="D937" t="str">
        <f>+IF(OR(IFERROR(FIND(".IO",Table2[[#This Row],[Sheet Location]],1)&gt;0,FALSE),B937="DI"),"IO","no")</f>
        <v>no</v>
      </c>
    </row>
    <row r="938" spans="2:4" x14ac:dyDescent="0.25">
      <c r="B938" s="22" t="s">
        <v>3075</v>
      </c>
      <c r="C938" s="22" t="s">
        <v>3078</v>
      </c>
      <c r="D938" t="str">
        <f>+IF(OR(IFERROR(FIND(".IO",Table2[[#This Row],[Sheet Location]],1)&gt;0,FALSE),B938="DI"),"IO","no")</f>
        <v>no</v>
      </c>
    </row>
    <row r="939" spans="2:4" x14ac:dyDescent="0.25">
      <c r="B939" s="22" t="s">
        <v>2151</v>
      </c>
      <c r="C939" s="22" t="s">
        <v>3079</v>
      </c>
      <c r="D939" t="str">
        <f>+IF(OR(IFERROR(FIND(".IO",Table2[[#This Row],[Sheet Location]],1)&gt;0,FALSE),B939="DI"),"IO","no")</f>
        <v>no</v>
      </c>
    </row>
    <row r="940" spans="2:4" x14ac:dyDescent="0.25">
      <c r="B940" s="22" t="s">
        <v>2151</v>
      </c>
      <c r="C940" s="22" t="s">
        <v>3080</v>
      </c>
      <c r="D940" t="str">
        <f>+IF(OR(IFERROR(FIND(".IO",Table2[[#This Row],[Sheet Location]],1)&gt;0,FALSE),B940="DI"),"IO","no")</f>
        <v>no</v>
      </c>
    </row>
    <row r="941" spans="2:4" x14ac:dyDescent="0.25">
      <c r="B941" s="22" t="s">
        <v>3081</v>
      </c>
      <c r="C941" s="22" t="s">
        <v>3082</v>
      </c>
      <c r="D941" t="str">
        <f>+IF(OR(IFERROR(FIND(".IO",Table2[[#This Row],[Sheet Location]],1)&gt;0,FALSE),B941="DI"),"IO","no")</f>
        <v>no</v>
      </c>
    </row>
    <row r="942" spans="2:4" x14ac:dyDescent="0.25">
      <c r="B942" s="22" t="s">
        <v>3081</v>
      </c>
      <c r="C942" s="22" t="s">
        <v>3083</v>
      </c>
      <c r="D942" t="str">
        <f>+IF(OR(IFERROR(FIND(".IO",Table2[[#This Row],[Sheet Location]],1)&gt;0,FALSE),B942="DI"),"IO","no")</f>
        <v>no</v>
      </c>
    </row>
    <row r="943" spans="2:4" x14ac:dyDescent="0.25">
      <c r="B943" s="22" t="s">
        <v>3081</v>
      </c>
      <c r="C943" s="22" t="s">
        <v>3084</v>
      </c>
      <c r="D943" t="str">
        <f>+IF(OR(IFERROR(FIND(".IO",Table2[[#This Row],[Sheet Location]],1)&gt;0,FALSE),B943="DI"),"IO","no")</f>
        <v>no</v>
      </c>
    </row>
    <row r="944" spans="2:4" x14ac:dyDescent="0.25">
      <c r="B944" s="22" t="s">
        <v>3081</v>
      </c>
      <c r="C944" s="22" t="s">
        <v>3085</v>
      </c>
      <c r="D944" t="str">
        <f>+IF(OR(IFERROR(FIND(".IO",Table2[[#This Row],[Sheet Location]],1)&gt;0,FALSE),B944="DI"),"IO","no")</f>
        <v>no</v>
      </c>
    </row>
    <row r="945" spans="2:4" x14ac:dyDescent="0.25">
      <c r="B945" s="22" t="s">
        <v>3081</v>
      </c>
      <c r="C945" s="22" t="s">
        <v>3086</v>
      </c>
      <c r="D945" t="str">
        <f>+IF(OR(IFERROR(FIND(".IO",Table2[[#This Row],[Sheet Location]],1)&gt;0,FALSE),B945="DI"),"IO","no")</f>
        <v>no</v>
      </c>
    </row>
    <row r="946" spans="2:4" x14ac:dyDescent="0.25">
      <c r="B946" s="22" t="s">
        <v>2172</v>
      </c>
      <c r="C946" s="22" t="s">
        <v>3087</v>
      </c>
      <c r="D946" t="str">
        <f>+IF(OR(IFERROR(FIND(".IO",Table2[[#This Row],[Sheet Location]],1)&gt;0,FALSE),B946="DI"),"IO","no")</f>
        <v>no</v>
      </c>
    </row>
    <row r="947" spans="2:4" x14ac:dyDescent="0.25">
      <c r="B947" s="22" t="s">
        <v>2172</v>
      </c>
      <c r="C947" s="22" t="s">
        <v>3088</v>
      </c>
      <c r="D947" t="str">
        <f>+IF(OR(IFERROR(FIND(".IO",Table2[[#This Row],[Sheet Location]],1)&gt;0,FALSE),B947="DI"),"IO","no")</f>
        <v>no</v>
      </c>
    </row>
    <row r="948" spans="2:4" x14ac:dyDescent="0.25">
      <c r="B948" s="22" t="s">
        <v>2174</v>
      </c>
      <c r="C948" s="22" t="s">
        <v>3089</v>
      </c>
      <c r="D948" t="str">
        <f>+IF(OR(IFERROR(FIND(".IO",Table2[[#This Row],[Sheet Location]],1)&gt;0,FALSE),B948="DI"),"IO","no")</f>
        <v>no</v>
      </c>
    </row>
    <row r="949" spans="2:4" x14ac:dyDescent="0.25">
      <c r="B949" s="22" t="s">
        <v>2174</v>
      </c>
      <c r="C949" s="22" t="s">
        <v>3090</v>
      </c>
      <c r="D949" t="str">
        <f>+IF(OR(IFERROR(FIND(".IO",Table2[[#This Row],[Sheet Location]],1)&gt;0,FALSE),B949="DI"),"IO","no")</f>
        <v>no</v>
      </c>
    </row>
    <row r="950" spans="2:4" x14ac:dyDescent="0.25">
      <c r="B950" s="22" t="s">
        <v>3091</v>
      </c>
      <c r="C950" s="22" t="s">
        <v>3092</v>
      </c>
      <c r="D950" t="str">
        <f>+IF(OR(IFERROR(FIND(".IO",Table2[[#This Row],[Sheet Location]],1)&gt;0,FALSE),B950="DI"),"IO","no")</f>
        <v>no</v>
      </c>
    </row>
    <row r="951" spans="2:4" x14ac:dyDescent="0.25">
      <c r="B951" s="22" t="s">
        <v>3091</v>
      </c>
      <c r="C951" s="22" t="s">
        <v>3093</v>
      </c>
      <c r="D951" t="str">
        <f>+IF(OR(IFERROR(FIND(".IO",Table2[[#This Row],[Sheet Location]],1)&gt;0,FALSE),B951="DI"),"IO","no")</f>
        <v>no</v>
      </c>
    </row>
    <row r="952" spans="2:4" x14ac:dyDescent="0.25">
      <c r="B952" s="22" t="s">
        <v>3091</v>
      </c>
      <c r="C952" s="22" t="s">
        <v>3094</v>
      </c>
      <c r="D952" t="str">
        <f>+IF(OR(IFERROR(FIND(".IO",Table2[[#This Row],[Sheet Location]],1)&gt;0,FALSE),B952="DI"),"IO","no")</f>
        <v>no</v>
      </c>
    </row>
    <row r="953" spans="2:4" x14ac:dyDescent="0.25">
      <c r="B953" s="22" t="s">
        <v>3091</v>
      </c>
      <c r="C953" s="22" t="s">
        <v>3095</v>
      </c>
      <c r="D953" t="str">
        <f>+IF(OR(IFERROR(FIND(".IO",Table2[[#This Row],[Sheet Location]],1)&gt;0,FALSE),B953="DI"),"IO","no")</f>
        <v>no</v>
      </c>
    </row>
    <row r="954" spans="2:4" x14ac:dyDescent="0.25">
      <c r="B954" s="22" t="s">
        <v>3091</v>
      </c>
      <c r="C954" s="22" t="s">
        <v>3096</v>
      </c>
      <c r="D954" t="str">
        <f>+IF(OR(IFERROR(FIND(".IO",Table2[[#This Row],[Sheet Location]],1)&gt;0,FALSE),B954="DI"),"IO","no")</f>
        <v>no</v>
      </c>
    </row>
    <row r="955" spans="2:4" x14ac:dyDescent="0.25">
      <c r="B955" s="22" t="s">
        <v>3091</v>
      </c>
      <c r="C955" s="22" t="s">
        <v>3097</v>
      </c>
      <c r="D955" t="str">
        <f>+IF(OR(IFERROR(FIND(".IO",Table2[[#This Row],[Sheet Location]],1)&gt;0,FALSE),B955="DI"),"IO","no")</f>
        <v>no</v>
      </c>
    </row>
    <row r="956" spans="2:4" x14ac:dyDescent="0.25">
      <c r="B956" s="22" t="s">
        <v>3091</v>
      </c>
      <c r="C956" s="22" t="s">
        <v>3098</v>
      </c>
      <c r="D956" t="str">
        <f>+IF(OR(IFERROR(FIND(".IO",Table2[[#This Row],[Sheet Location]],1)&gt;0,FALSE),B956="DI"),"IO","no")</f>
        <v>no</v>
      </c>
    </row>
    <row r="957" spans="2:4" x14ac:dyDescent="0.25">
      <c r="B957" s="22" t="s">
        <v>3091</v>
      </c>
      <c r="C957" s="22" t="s">
        <v>3099</v>
      </c>
      <c r="D957" t="str">
        <f>+IF(OR(IFERROR(FIND(".IO",Table2[[#This Row],[Sheet Location]],1)&gt;0,FALSE),B957="DI"),"IO","no")</f>
        <v>no</v>
      </c>
    </row>
    <row r="958" spans="2:4" x14ac:dyDescent="0.25">
      <c r="B958" s="22" t="s">
        <v>3091</v>
      </c>
      <c r="C958" s="22" t="s">
        <v>3100</v>
      </c>
      <c r="D958" t="str">
        <f>+IF(OR(IFERROR(FIND(".IO",Table2[[#This Row],[Sheet Location]],1)&gt;0,FALSE),B958="DI"),"IO","no")</f>
        <v>no</v>
      </c>
    </row>
    <row r="959" spans="2:4" x14ac:dyDescent="0.25">
      <c r="B959" s="22" t="s">
        <v>3091</v>
      </c>
      <c r="C959" s="22" t="s">
        <v>3101</v>
      </c>
      <c r="D959" t="str">
        <f>+IF(OR(IFERROR(FIND(".IO",Table2[[#This Row],[Sheet Location]],1)&gt;0,FALSE),B959="DI"),"IO","no")</f>
        <v>no</v>
      </c>
    </row>
    <row r="960" spans="2:4" x14ac:dyDescent="0.25">
      <c r="B960" s="22" t="s">
        <v>3091</v>
      </c>
      <c r="C960" s="22" t="s">
        <v>3102</v>
      </c>
      <c r="D960" t="str">
        <f>+IF(OR(IFERROR(FIND(".IO",Table2[[#This Row],[Sheet Location]],1)&gt;0,FALSE),B960="DI"),"IO","no")</f>
        <v>no</v>
      </c>
    </row>
    <row r="961" spans="2:4" x14ac:dyDescent="0.25">
      <c r="B961" s="22" t="s">
        <v>3091</v>
      </c>
      <c r="C961" s="22" t="s">
        <v>3103</v>
      </c>
      <c r="D961" t="str">
        <f>+IF(OR(IFERROR(FIND(".IO",Table2[[#This Row],[Sheet Location]],1)&gt;0,FALSE),B961="DI"),"IO","no")</f>
        <v>no</v>
      </c>
    </row>
    <row r="962" spans="2:4" x14ac:dyDescent="0.25">
      <c r="B962" s="22" t="s">
        <v>3091</v>
      </c>
      <c r="C962" s="22" t="s">
        <v>3104</v>
      </c>
      <c r="D962" t="str">
        <f>+IF(OR(IFERROR(FIND(".IO",Table2[[#This Row],[Sheet Location]],1)&gt;0,FALSE),B962="DI"),"IO","no")</f>
        <v>no</v>
      </c>
    </row>
    <row r="963" spans="2:4" x14ac:dyDescent="0.25">
      <c r="B963" s="22" t="s">
        <v>3091</v>
      </c>
      <c r="C963" s="22" t="s">
        <v>3105</v>
      </c>
      <c r="D963" t="str">
        <f>+IF(OR(IFERROR(FIND(".IO",Table2[[#This Row],[Sheet Location]],1)&gt;0,FALSE),B963="DI"),"IO","no")</f>
        <v>no</v>
      </c>
    </row>
    <row r="964" spans="2:4" x14ac:dyDescent="0.25">
      <c r="B964" s="22" t="s">
        <v>3091</v>
      </c>
      <c r="C964" s="22" t="s">
        <v>3106</v>
      </c>
      <c r="D964" t="str">
        <f>+IF(OR(IFERROR(FIND(".IO",Table2[[#This Row],[Sheet Location]],1)&gt;0,FALSE),B964="DI"),"IO","no")</f>
        <v>no</v>
      </c>
    </row>
    <row r="965" spans="2:4" x14ac:dyDescent="0.25">
      <c r="B965" s="22" t="s">
        <v>3091</v>
      </c>
      <c r="C965" s="22" t="s">
        <v>3107</v>
      </c>
      <c r="D965" t="str">
        <f>+IF(OR(IFERROR(FIND(".IO",Table2[[#This Row],[Sheet Location]],1)&gt;0,FALSE),B965="DI"),"IO","no")</f>
        <v>no</v>
      </c>
    </row>
    <row r="966" spans="2:4" x14ac:dyDescent="0.25">
      <c r="B966" s="22" t="s">
        <v>3091</v>
      </c>
      <c r="C966" s="22" t="s">
        <v>3108</v>
      </c>
      <c r="D966" t="str">
        <f>+IF(OR(IFERROR(FIND(".IO",Table2[[#This Row],[Sheet Location]],1)&gt;0,FALSE),B966="DI"),"IO","no")</f>
        <v>no</v>
      </c>
    </row>
    <row r="967" spans="2:4" x14ac:dyDescent="0.25">
      <c r="B967" s="22" t="s">
        <v>3091</v>
      </c>
      <c r="C967" s="22" t="s">
        <v>3109</v>
      </c>
      <c r="D967" t="str">
        <f>+IF(OR(IFERROR(FIND(".IO",Table2[[#This Row],[Sheet Location]],1)&gt;0,FALSE),B967="DI"),"IO","no")</f>
        <v>no</v>
      </c>
    </row>
    <row r="968" spans="2:4" x14ac:dyDescent="0.25">
      <c r="B968" s="22" t="s">
        <v>3110</v>
      </c>
      <c r="C968" s="22" t="s">
        <v>3111</v>
      </c>
      <c r="D968" t="str">
        <f>+IF(OR(IFERROR(FIND(".IO",Table2[[#This Row],[Sheet Location]],1)&gt;0,FALSE),B968="DI"),"IO","no")</f>
        <v>no</v>
      </c>
    </row>
    <row r="969" spans="2:4" x14ac:dyDescent="0.25">
      <c r="B969" s="22" t="s">
        <v>3110</v>
      </c>
      <c r="C969" s="22" t="s">
        <v>3112</v>
      </c>
      <c r="D969" t="str">
        <f>+IF(OR(IFERROR(FIND(".IO",Table2[[#This Row],[Sheet Location]],1)&gt;0,FALSE),B969="DI"),"IO","no")</f>
        <v>no</v>
      </c>
    </row>
    <row r="970" spans="2:4" x14ac:dyDescent="0.25">
      <c r="B970" s="22" t="s">
        <v>3110</v>
      </c>
      <c r="C970" s="22" t="s">
        <v>3113</v>
      </c>
      <c r="D970" t="str">
        <f>+IF(OR(IFERROR(FIND(".IO",Table2[[#This Row],[Sheet Location]],1)&gt;0,FALSE),B970="DI"),"IO","no")</f>
        <v>no</v>
      </c>
    </row>
    <row r="971" spans="2:4" x14ac:dyDescent="0.25">
      <c r="B971" s="22" t="s">
        <v>3110</v>
      </c>
      <c r="C971" s="22" t="s">
        <v>3114</v>
      </c>
      <c r="D971" t="str">
        <f>+IF(OR(IFERROR(FIND(".IO",Table2[[#This Row],[Sheet Location]],1)&gt;0,FALSE),B971="DI"),"IO","no")</f>
        <v>no</v>
      </c>
    </row>
    <row r="972" spans="2:4" x14ac:dyDescent="0.25">
      <c r="B972" s="22" t="s">
        <v>3110</v>
      </c>
      <c r="C972" s="22" t="s">
        <v>3115</v>
      </c>
      <c r="D972" t="str">
        <f>+IF(OR(IFERROR(FIND(".IO",Table2[[#This Row],[Sheet Location]],1)&gt;0,FALSE),B972="DI"),"IO","no")</f>
        <v>no</v>
      </c>
    </row>
    <row r="973" spans="2:4" x14ac:dyDescent="0.25">
      <c r="B973" s="22" t="s">
        <v>3110</v>
      </c>
      <c r="C973" s="22" t="s">
        <v>3116</v>
      </c>
      <c r="D973" t="str">
        <f>+IF(OR(IFERROR(FIND(".IO",Table2[[#This Row],[Sheet Location]],1)&gt;0,FALSE),B973="DI"),"IO","no")</f>
        <v>no</v>
      </c>
    </row>
    <row r="974" spans="2:4" x14ac:dyDescent="0.25">
      <c r="B974" s="22" t="s">
        <v>3110</v>
      </c>
      <c r="C974" s="22" t="s">
        <v>3117</v>
      </c>
      <c r="D974" t="str">
        <f>+IF(OR(IFERROR(FIND(".IO",Table2[[#This Row],[Sheet Location]],1)&gt;0,FALSE),B974="DI"),"IO","no")</f>
        <v>no</v>
      </c>
    </row>
    <row r="975" spans="2:4" x14ac:dyDescent="0.25">
      <c r="B975" s="22" t="s">
        <v>3110</v>
      </c>
      <c r="C975" s="22" t="s">
        <v>3118</v>
      </c>
      <c r="D975" t="str">
        <f>+IF(OR(IFERROR(FIND(".IO",Table2[[#This Row],[Sheet Location]],1)&gt;0,FALSE),B975="DI"),"IO","no")</f>
        <v>no</v>
      </c>
    </row>
    <row r="976" spans="2:4" x14ac:dyDescent="0.25">
      <c r="B976" s="22" t="s">
        <v>3110</v>
      </c>
      <c r="C976" s="22" t="s">
        <v>3119</v>
      </c>
      <c r="D976" t="str">
        <f>+IF(OR(IFERROR(FIND(".IO",Table2[[#This Row],[Sheet Location]],1)&gt;0,FALSE),B976="DI"),"IO","no")</f>
        <v>no</v>
      </c>
    </row>
    <row r="977" spans="2:4" x14ac:dyDescent="0.25">
      <c r="B977" s="22" t="s">
        <v>3110</v>
      </c>
      <c r="C977" s="22" t="s">
        <v>3120</v>
      </c>
      <c r="D977" t="str">
        <f>+IF(OR(IFERROR(FIND(".IO",Table2[[#This Row],[Sheet Location]],1)&gt;0,FALSE),B977="DI"),"IO","no")</f>
        <v>no</v>
      </c>
    </row>
    <row r="978" spans="2:4" x14ac:dyDescent="0.25">
      <c r="B978" s="22" t="s">
        <v>3110</v>
      </c>
      <c r="C978" s="22" t="s">
        <v>3121</v>
      </c>
      <c r="D978" t="str">
        <f>+IF(OR(IFERROR(FIND(".IO",Table2[[#This Row],[Sheet Location]],1)&gt;0,FALSE),B978="DI"),"IO","no")</f>
        <v>no</v>
      </c>
    </row>
    <row r="979" spans="2:4" x14ac:dyDescent="0.25">
      <c r="B979" s="22" t="s">
        <v>3110</v>
      </c>
      <c r="C979" s="22" t="s">
        <v>3122</v>
      </c>
      <c r="D979" t="str">
        <f>+IF(OR(IFERROR(FIND(".IO",Table2[[#This Row],[Sheet Location]],1)&gt;0,FALSE),B979="DI"),"IO","no")</f>
        <v>no</v>
      </c>
    </row>
    <row r="980" spans="2:4" x14ac:dyDescent="0.25">
      <c r="B980" s="22" t="s">
        <v>3110</v>
      </c>
      <c r="C980" s="22" t="s">
        <v>3123</v>
      </c>
      <c r="D980" t="str">
        <f>+IF(OR(IFERROR(FIND(".IO",Table2[[#This Row],[Sheet Location]],1)&gt;0,FALSE),B980="DI"),"IO","no")</f>
        <v>no</v>
      </c>
    </row>
    <row r="981" spans="2:4" x14ac:dyDescent="0.25">
      <c r="B981" s="22" t="s">
        <v>3110</v>
      </c>
      <c r="C981" s="22" t="s">
        <v>3124</v>
      </c>
      <c r="D981" t="str">
        <f>+IF(OR(IFERROR(FIND(".IO",Table2[[#This Row],[Sheet Location]],1)&gt;0,FALSE),B981="DI"),"IO","no")</f>
        <v>no</v>
      </c>
    </row>
    <row r="982" spans="2:4" x14ac:dyDescent="0.25">
      <c r="B982" s="22" t="s">
        <v>3110</v>
      </c>
      <c r="C982" s="22" t="s">
        <v>3125</v>
      </c>
      <c r="D982" t="str">
        <f>+IF(OR(IFERROR(FIND(".IO",Table2[[#This Row],[Sheet Location]],1)&gt;0,FALSE),B982="DI"),"IO","no")</f>
        <v>no</v>
      </c>
    </row>
    <row r="983" spans="2:4" x14ac:dyDescent="0.25">
      <c r="B983" s="22" t="s">
        <v>3110</v>
      </c>
      <c r="C983" s="22" t="s">
        <v>3126</v>
      </c>
      <c r="D983" t="str">
        <f>+IF(OR(IFERROR(FIND(".IO",Table2[[#This Row],[Sheet Location]],1)&gt;0,FALSE),B983="DI"),"IO","no")</f>
        <v>no</v>
      </c>
    </row>
    <row r="984" spans="2:4" x14ac:dyDescent="0.25">
      <c r="B984" s="22" t="s">
        <v>3110</v>
      </c>
      <c r="C984" s="22" t="s">
        <v>3127</v>
      </c>
      <c r="D984" t="str">
        <f>+IF(OR(IFERROR(FIND(".IO",Table2[[#This Row],[Sheet Location]],1)&gt;0,FALSE),B984="DI"),"IO","no")</f>
        <v>no</v>
      </c>
    </row>
    <row r="985" spans="2:4" x14ac:dyDescent="0.25">
      <c r="B985" s="22" t="s">
        <v>3110</v>
      </c>
      <c r="C985" s="22" t="s">
        <v>3128</v>
      </c>
      <c r="D985" t="str">
        <f>+IF(OR(IFERROR(FIND(".IO",Table2[[#This Row],[Sheet Location]],1)&gt;0,FALSE),B985="DI"),"IO","no")</f>
        <v>no</v>
      </c>
    </row>
    <row r="986" spans="2:4" x14ac:dyDescent="0.25">
      <c r="B986" s="22" t="s">
        <v>3110</v>
      </c>
      <c r="C986" s="22" t="s">
        <v>3129</v>
      </c>
      <c r="D986" t="str">
        <f>+IF(OR(IFERROR(FIND(".IO",Table2[[#This Row],[Sheet Location]],1)&gt;0,FALSE),B986="DI"),"IO","no")</f>
        <v>no</v>
      </c>
    </row>
    <row r="987" spans="2:4" x14ac:dyDescent="0.25">
      <c r="B987" s="22" t="s">
        <v>3110</v>
      </c>
      <c r="C987" s="22" t="s">
        <v>3130</v>
      </c>
      <c r="D987" t="str">
        <f>+IF(OR(IFERROR(FIND(".IO",Table2[[#This Row],[Sheet Location]],1)&gt;0,FALSE),B987="DI"),"IO","no")</f>
        <v>no</v>
      </c>
    </row>
    <row r="988" spans="2:4" x14ac:dyDescent="0.25">
      <c r="B988" s="22" t="s">
        <v>3110</v>
      </c>
      <c r="C988" s="22" t="s">
        <v>3131</v>
      </c>
      <c r="D988" t="str">
        <f>+IF(OR(IFERROR(FIND(".IO",Table2[[#This Row],[Sheet Location]],1)&gt;0,FALSE),B988="DI"),"IO","no")</f>
        <v>no</v>
      </c>
    </row>
    <row r="989" spans="2:4" x14ac:dyDescent="0.25">
      <c r="B989" s="22" t="s">
        <v>3110</v>
      </c>
      <c r="C989" s="22" t="s">
        <v>3132</v>
      </c>
      <c r="D989" t="str">
        <f>+IF(OR(IFERROR(FIND(".IO",Table2[[#This Row],[Sheet Location]],1)&gt;0,FALSE),B989="DI"),"IO","no")</f>
        <v>no</v>
      </c>
    </row>
    <row r="990" spans="2:4" x14ac:dyDescent="0.25">
      <c r="B990" s="22" t="s">
        <v>3110</v>
      </c>
      <c r="C990" s="22" t="s">
        <v>3133</v>
      </c>
      <c r="D990" t="str">
        <f>+IF(OR(IFERROR(FIND(".IO",Table2[[#This Row],[Sheet Location]],1)&gt;0,FALSE),B990="DI"),"IO","no")</f>
        <v>no</v>
      </c>
    </row>
    <row r="991" spans="2:4" x14ac:dyDescent="0.25">
      <c r="B991" s="22" t="s">
        <v>3110</v>
      </c>
      <c r="C991" s="22" t="s">
        <v>3134</v>
      </c>
      <c r="D991" t="str">
        <f>+IF(OR(IFERROR(FIND(".IO",Table2[[#This Row],[Sheet Location]],1)&gt;0,FALSE),B991="DI"),"IO","no")</f>
        <v>no</v>
      </c>
    </row>
    <row r="992" spans="2:4" x14ac:dyDescent="0.25">
      <c r="B992" s="22" t="s">
        <v>3110</v>
      </c>
      <c r="C992" s="22" t="s">
        <v>3135</v>
      </c>
      <c r="D992" t="str">
        <f>+IF(OR(IFERROR(FIND(".IO",Table2[[#This Row],[Sheet Location]],1)&gt;0,FALSE),B992="DI"),"IO","no")</f>
        <v>no</v>
      </c>
    </row>
    <row r="993" spans="2:4" x14ac:dyDescent="0.25">
      <c r="B993" s="22" t="s">
        <v>3110</v>
      </c>
      <c r="C993" s="22" t="s">
        <v>3136</v>
      </c>
      <c r="D993" t="str">
        <f>+IF(OR(IFERROR(FIND(".IO",Table2[[#This Row],[Sheet Location]],1)&gt;0,FALSE),B993="DI"),"IO","no")</f>
        <v>no</v>
      </c>
    </row>
    <row r="994" spans="2:4" x14ac:dyDescent="0.25">
      <c r="B994" s="22" t="s">
        <v>3110</v>
      </c>
      <c r="C994" s="22" t="s">
        <v>3137</v>
      </c>
      <c r="D994" t="str">
        <f>+IF(OR(IFERROR(FIND(".IO",Table2[[#This Row],[Sheet Location]],1)&gt;0,FALSE),B994="DI"),"IO","no")</f>
        <v>no</v>
      </c>
    </row>
    <row r="995" spans="2:4" x14ac:dyDescent="0.25">
      <c r="B995" s="22" t="s">
        <v>3110</v>
      </c>
      <c r="C995" s="22" t="s">
        <v>3138</v>
      </c>
      <c r="D995" t="str">
        <f>+IF(OR(IFERROR(FIND(".IO",Table2[[#This Row],[Sheet Location]],1)&gt;0,FALSE),B995="DI"),"IO","no")</f>
        <v>no</v>
      </c>
    </row>
    <row r="996" spans="2:4" x14ac:dyDescent="0.25">
      <c r="B996" s="22" t="s">
        <v>3110</v>
      </c>
      <c r="C996" s="22" t="s">
        <v>3139</v>
      </c>
      <c r="D996" t="str">
        <f>+IF(OR(IFERROR(FIND(".IO",Table2[[#This Row],[Sheet Location]],1)&gt;0,FALSE),B996="DI"),"IO","no")</f>
        <v>no</v>
      </c>
    </row>
    <row r="997" spans="2:4" x14ac:dyDescent="0.25">
      <c r="B997" s="22" t="s">
        <v>3110</v>
      </c>
      <c r="C997" s="22" t="s">
        <v>3140</v>
      </c>
      <c r="D997" t="str">
        <f>+IF(OR(IFERROR(FIND(".IO",Table2[[#This Row],[Sheet Location]],1)&gt;0,FALSE),B997="DI"),"IO","no")</f>
        <v>no</v>
      </c>
    </row>
    <row r="998" spans="2:4" x14ac:dyDescent="0.25">
      <c r="B998" s="22" t="s">
        <v>3141</v>
      </c>
      <c r="C998" s="22" t="s">
        <v>3142</v>
      </c>
      <c r="D998" t="str">
        <f>+IF(OR(IFERROR(FIND(".IO",Table2[[#This Row],[Sheet Location]],1)&gt;0,FALSE),B998="DI"),"IO","no")</f>
        <v>no</v>
      </c>
    </row>
    <row r="999" spans="2:4" x14ac:dyDescent="0.25">
      <c r="B999" s="22" t="s">
        <v>3141</v>
      </c>
      <c r="C999" s="22" t="s">
        <v>3143</v>
      </c>
      <c r="D999" t="str">
        <f>+IF(OR(IFERROR(FIND(".IO",Table2[[#This Row],[Sheet Location]],1)&gt;0,FALSE),B999="DI"),"IO","no")</f>
        <v>no</v>
      </c>
    </row>
    <row r="1000" spans="2:4" x14ac:dyDescent="0.25">
      <c r="B1000" s="22" t="s">
        <v>3141</v>
      </c>
      <c r="C1000" s="22" t="s">
        <v>3144</v>
      </c>
      <c r="D1000" t="str">
        <f>+IF(OR(IFERROR(FIND(".IO",Table2[[#This Row],[Sheet Location]],1)&gt;0,FALSE),B1000="DI"),"IO","no")</f>
        <v>no</v>
      </c>
    </row>
    <row r="1001" spans="2:4" x14ac:dyDescent="0.25">
      <c r="B1001" s="22" t="s">
        <v>3141</v>
      </c>
      <c r="C1001" s="22" t="s">
        <v>3145</v>
      </c>
      <c r="D1001" t="str">
        <f>+IF(OR(IFERROR(FIND(".IO",Table2[[#This Row],[Sheet Location]],1)&gt;0,FALSE),B1001="DI"),"IO","no")</f>
        <v>no</v>
      </c>
    </row>
    <row r="1002" spans="2:4" x14ac:dyDescent="0.25">
      <c r="B1002" s="22" t="s">
        <v>3146</v>
      </c>
      <c r="C1002" s="22" t="s">
        <v>3147</v>
      </c>
      <c r="D1002" t="str">
        <f>+IF(OR(IFERROR(FIND(".IO",Table2[[#This Row],[Sheet Location]],1)&gt;0,FALSE),B1002="DI"),"IO","no")</f>
        <v>no</v>
      </c>
    </row>
    <row r="1003" spans="2:4" x14ac:dyDescent="0.25">
      <c r="B1003" s="22" t="s">
        <v>3146</v>
      </c>
      <c r="C1003" s="22" t="s">
        <v>3148</v>
      </c>
      <c r="D1003" t="str">
        <f>+IF(OR(IFERROR(FIND(".IO",Table2[[#This Row],[Sheet Location]],1)&gt;0,FALSE),B1003="DI"),"IO","no")</f>
        <v>no</v>
      </c>
    </row>
    <row r="1004" spans="2:4" x14ac:dyDescent="0.25">
      <c r="B1004" s="22" t="s">
        <v>3149</v>
      </c>
      <c r="C1004" s="22" t="s">
        <v>3150</v>
      </c>
      <c r="D1004" t="str">
        <f>+IF(OR(IFERROR(FIND(".IO",Table2[[#This Row],[Sheet Location]],1)&gt;0,FALSE),B1004="DI"),"IO","no")</f>
        <v>no</v>
      </c>
    </row>
    <row r="1005" spans="2:4" x14ac:dyDescent="0.25">
      <c r="B1005" s="22" t="s">
        <v>3149</v>
      </c>
      <c r="C1005" s="22" t="s">
        <v>3151</v>
      </c>
      <c r="D1005" t="str">
        <f>+IF(OR(IFERROR(FIND(".IO",Table2[[#This Row],[Sheet Location]],1)&gt;0,FALSE),B1005="DI"),"IO","no")</f>
        <v>no</v>
      </c>
    </row>
    <row r="1006" spans="2:4" x14ac:dyDescent="0.25">
      <c r="B1006" s="22" t="s">
        <v>3149</v>
      </c>
      <c r="C1006" s="22" t="s">
        <v>3152</v>
      </c>
      <c r="D1006" t="str">
        <f>+IF(OR(IFERROR(FIND(".IO",Table2[[#This Row],[Sheet Location]],1)&gt;0,FALSE),B1006="DI"),"IO","no")</f>
        <v>no</v>
      </c>
    </row>
    <row r="1007" spans="2:4" x14ac:dyDescent="0.25">
      <c r="B1007" s="22" t="s">
        <v>3149</v>
      </c>
      <c r="C1007" s="22" t="s">
        <v>3153</v>
      </c>
      <c r="D1007" t="str">
        <f>+IF(OR(IFERROR(FIND(".IO",Table2[[#This Row],[Sheet Location]],1)&gt;0,FALSE),B1007="DI"),"IO","no")</f>
        <v>no</v>
      </c>
    </row>
    <row r="1008" spans="2:4" x14ac:dyDescent="0.25">
      <c r="B1008" s="22" t="s">
        <v>3149</v>
      </c>
      <c r="C1008" s="22" t="s">
        <v>3154</v>
      </c>
      <c r="D1008" t="str">
        <f>+IF(OR(IFERROR(FIND(".IO",Table2[[#This Row],[Sheet Location]],1)&gt;0,FALSE),B1008="DI"),"IO","no")</f>
        <v>no</v>
      </c>
    </row>
    <row r="1009" spans="2:4" x14ac:dyDescent="0.25">
      <c r="B1009" s="22" t="s">
        <v>3149</v>
      </c>
      <c r="C1009" s="22" t="s">
        <v>3155</v>
      </c>
      <c r="D1009" t="str">
        <f>+IF(OR(IFERROR(FIND(".IO",Table2[[#This Row],[Sheet Location]],1)&gt;0,FALSE),B1009="DI"),"IO","no")</f>
        <v>no</v>
      </c>
    </row>
    <row r="1010" spans="2:4" x14ac:dyDescent="0.25">
      <c r="B1010" s="22" t="s">
        <v>3149</v>
      </c>
      <c r="C1010" s="22" t="s">
        <v>3156</v>
      </c>
      <c r="D1010" t="str">
        <f>+IF(OR(IFERROR(FIND(".IO",Table2[[#This Row],[Sheet Location]],1)&gt;0,FALSE),B1010="DI"),"IO","no")</f>
        <v>no</v>
      </c>
    </row>
    <row r="1011" spans="2:4" x14ac:dyDescent="0.25">
      <c r="B1011" s="22" t="s">
        <v>3149</v>
      </c>
      <c r="C1011" s="22" t="s">
        <v>3157</v>
      </c>
      <c r="D1011" t="str">
        <f>+IF(OR(IFERROR(FIND(".IO",Table2[[#This Row],[Sheet Location]],1)&gt;0,FALSE),B1011="DI"),"IO","no")</f>
        <v>no</v>
      </c>
    </row>
    <row r="1012" spans="2:4" x14ac:dyDescent="0.25">
      <c r="B1012" s="22" t="s">
        <v>3149</v>
      </c>
      <c r="C1012" s="22" t="s">
        <v>3158</v>
      </c>
      <c r="D1012" t="str">
        <f>+IF(OR(IFERROR(FIND(".IO",Table2[[#This Row],[Sheet Location]],1)&gt;0,FALSE),B1012="DI"),"IO","no")</f>
        <v>no</v>
      </c>
    </row>
    <row r="1013" spans="2:4" x14ac:dyDescent="0.25">
      <c r="B1013" s="22" t="s">
        <v>3149</v>
      </c>
      <c r="C1013" s="22" t="s">
        <v>3159</v>
      </c>
      <c r="D1013" t="str">
        <f>+IF(OR(IFERROR(FIND(".IO",Table2[[#This Row],[Sheet Location]],1)&gt;0,FALSE),B1013="DI"),"IO","no")</f>
        <v>no</v>
      </c>
    </row>
    <row r="1014" spans="2:4" x14ac:dyDescent="0.25">
      <c r="B1014" s="22" t="s">
        <v>3160</v>
      </c>
      <c r="C1014" s="22" t="s">
        <v>3161</v>
      </c>
      <c r="D1014" t="str">
        <f>+IF(OR(IFERROR(FIND(".IO",Table2[[#This Row],[Sheet Location]],1)&gt;0,FALSE),B1014="DI"),"IO","no")</f>
        <v>no</v>
      </c>
    </row>
    <row r="1015" spans="2:4" x14ac:dyDescent="0.25">
      <c r="B1015" s="22" t="s">
        <v>3160</v>
      </c>
      <c r="C1015" s="22" t="s">
        <v>3162</v>
      </c>
      <c r="D1015" t="str">
        <f>+IF(OR(IFERROR(FIND(".IO",Table2[[#This Row],[Sheet Location]],1)&gt;0,FALSE),B1015="DI"),"IO","no")</f>
        <v>no</v>
      </c>
    </row>
    <row r="1016" spans="2:4" x14ac:dyDescent="0.25">
      <c r="B1016" s="22" t="s">
        <v>3160</v>
      </c>
      <c r="C1016" s="22" t="s">
        <v>3163</v>
      </c>
      <c r="D1016" t="str">
        <f>+IF(OR(IFERROR(FIND(".IO",Table2[[#This Row],[Sheet Location]],1)&gt;0,FALSE),B1016="DI"),"IO","no")</f>
        <v>no</v>
      </c>
    </row>
    <row r="1017" spans="2:4" x14ac:dyDescent="0.25">
      <c r="B1017" s="22" t="s">
        <v>3160</v>
      </c>
      <c r="C1017" s="22" t="s">
        <v>3164</v>
      </c>
      <c r="D1017" t="str">
        <f>+IF(OR(IFERROR(FIND(".IO",Table2[[#This Row],[Sheet Location]],1)&gt;0,FALSE),B1017="DI"),"IO","no")</f>
        <v>no</v>
      </c>
    </row>
    <row r="1018" spans="2:4" x14ac:dyDescent="0.25">
      <c r="B1018" s="22" t="s">
        <v>3160</v>
      </c>
      <c r="C1018" s="22" t="s">
        <v>3165</v>
      </c>
      <c r="D1018" t="str">
        <f>+IF(OR(IFERROR(FIND(".IO",Table2[[#This Row],[Sheet Location]],1)&gt;0,FALSE),B1018="DI"),"IO","no")</f>
        <v>no</v>
      </c>
    </row>
    <row r="1019" spans="2:4" x14ac:dyDescent="0.25">
      <c r="B1019" s="22" t="s">
        <v>3160</v>
      </c>
      <c r="C1019" s="22" t="s">
        <v>3166</v>
      </c>
      <c r="D1019" t="str">
        <f>+IF(OR(IFERROR(FIND(".IO",Table2[[#This Row],[Sheet Location]],1)&gt;0,FALSE),B1019="DI"),"IO","no")</f>
        <v>no</v>
      </c>
    </row>
    <row r="1020" spans="2:4" x14ac:dyDescent="0.25">
      <c r="B1020" s="22" t="s">
        <v>3160</v>
      </c>
      <c r="C1020" s="22" t="s">
        <v>3167</v>
      </c>
      <c r="D1020" t="str">
        <f>+IF(OR(IFERROR(FIND(".IO",Table2[[#This Row],[Sheet Location]],1)&gt;0,FALSE),B1020="DI"),"IO","no")</f>
        <v>no</v>
      </c>
    </row>
    <row r="1021" spans="2:4" x14ac:dyDescent="0.25">
      <c r="B1021" s="22" t="s">
        <v>3168</v>
      </c>
      <c r="C1021" s="22" t="s">
        <v>3169</v>
      </c>
      <c r="D1021" t="str">
        <f>+IF(OR(IFERROR(FIND(".IO",Table2[[#This Row],[Sheet Location]],1)&gt;0,FALSE),B1021="DI"),"IO","no")</f>
        <v>no</v>
      </c>
    </row>
    <row r="1022" spans="2:4" x14ac:dyDescent="0.25">
      <c r="B1022" s="22" t="s">
        <v>3168</v>
      </c>
      <c r="C1022" s="22" t="s">
        <v>3170</v>
      </c>
      <c r="D1022" t="str">
        <f>+IF(OR(IFERROR(FIND(".IO",Table2[[#This Row],[Sheet Location]],1)&gt;0,FALSE),B1022="DI"),"IO","no")</f>
        <v>no</v>
      </c>
    </row>
    <row r="1023" spans="2:4" x14ac:dyDescent="0.25">
      <c r="B1023" s="22" t="s">
        <v>3168</v>
      </c>
      <c r="C1023" s="22" t="s">
        <v>3171</v>
      </c>
      <c r="D1023" t="str">
        <f>+IF(OR(IFERROR(FIND(".IO",Table2[[#This Row],[Sheet Location]],1)&gt;0,FALSE),B1023="DI"),"IO","no")</f>
        <v>no</v>
      </c>
    </row>
    <row r="1024" spans="2:4" x14ac:dyDescent="0.25">
      <c r="B1024" s="22" t="s">
        <v>3172</v>
      </c>
      <c r="C1024" s="22" t="s">
        <v>3173</v>
      </c>
      <c r="D1024" t="str">
        <f>+IF(OR(IFERROR(FIND(".IO",Table2[[#This Row],[Sheet Location]],1)&gt;0,FALSE),B1024="DI"),"IO","no")</f>
        <v>no</v>
      </c>
    </row>
    <row r="1025" spans="2:4" x14ac:dyDescent="0.25">
      <c r="B1025" s="22" t="s">
        <v>3172</v>
      </c>
      <c r="C1025" s="22" t="s">
        <v>3174</v>
      </c>
      <c r="D1025" t="str">
        <f>+IF(OR(IFERROR(FIND(".IO",Table2[[#This Row],[Sheet Location]],1)&gt;0,FALSE),B1025="DI"),"IO","no")</f>
        <v>no</v>
      </c>
    </row>
    <row r="1026" spans="2:4" x14ac:dyDescent="0.25">
      <c r="B1026" s="22" t="s">
        <v>3172</v>
      </c>
      <c r="C1026" s="22" t="s">
        <v>3175</v>
      </c>
      <c r="D1026" t="str">
        <f>+IF(OR(IFERROR(FIND(".IO",Table2[[#This Row],[Sheet Location]],1)&gt;0,FALSE),B1026="DI"),"IO","no")</f>
        <v>no</v>
      </c>
    </row>
    <row r="1027" spans="2:4" x14ac:dyDescent="0.25">
      <c r="B1027" s="22" t="s">
        <v>3172</v>
      </c>
      <c r="C1027" s="22" t="s">
        <v>3176</v>
      </c>
      <c r="D1027" t="str">
        <f>+IF(OR(IFERROR(FIND(".IO",Table2[[#This Row],[Sheet Location]],1)&gt;0,FALSE),B1027="DI"),"IO","no")</f>
        <v>no</v>
      </c>
    </row>
    <row r="1028" spans="2:4" x14ac:dyDescent="0.25">
      <c r="B1028" s="22" t="s">
        <v>3172</v>
      </c>
      <c r="C1028" s="22" t="s">
        <v>3177</v>
      </c>
      <c r="D1028" t="str">
        <f>+IF(OR(IFERROR(FIND(".IO",Table2[[#This Row],[Sheet Location]],1)&gt;0,FALSE),B1028="DI"),"IO","no")</f>
        <v>no</v>
      </c>
    </row>
    <row r="1029" spans="2:4" x14ac:dyDescent="0.25">
      <c r="B1029" s="22" t="s">
        <v>3172</v>
      </c>
      <c r="C1029" s="22" t="s">
        <v>3178</v>
      </c>
      <c r="D1029" t="str">
        <f>+IF(OR(IFERROR(FIND(".IO",Table2[[#This Row],[Sheet Location]],1)&gt;0,FALSE),B1029="DI"),"IO","no")</f>
        <v>no</v>
      </c>
    </row>
    <row r="1030" spans="2:4" x14ac:dyDescent="0.25">
      <c r="B1030" s="22" t="s">
        <v>3172</v>
      </c>
      <c r="C1030" s="22" t="s">
        <v>3179</v>
      </c>
      <c r="D1030" t="str">
        <f>+IF(OR(IFERROR(FIND(".IO",Table2[[#This Row],[Sheet Location]],1)&gt;0,FALSE),B1030="DI"),"IO","no")</f>
        <v>no</v>
      </c>
    </row>
    <row r="1031" spans="2:4" x14ac:dyDescent="0.25">
      <c r="B1031" s="22" t="s">
        <v>2101</v>
      </c>
      <c r="C1031" s="22" t="s">
        <v>3180</v>
      </c>
      <c r="D1031" t="str">
        <f>+IF(OR(IFERROR(FIND(".IO",Table2[[#This Row],[Sheet Location]],1)&gt;0,FALSE),B1031="DI"),"IO","no")</f>
        <v>no</v>
      </c>
    </row>
    <row r="1032" spans="2:4" x14ac:dyDescent="0.25">
      <c r="B1032" s="22" t="s">
        <v>2101</v>
      </c>
      <c r="C1032" s="22" t="s">
        <v>3181</v>
      </c>
      <c r="D1032" t="str">
        <f>+IF(OR(IFERROR(FIND(".IO",Table2[[#This Row],[Sheet Location]],1)&gt;0,FALSE),B1032="DI"),"IO","no")</f>
        <v>no</v>
      </c>
    </row>
    <row r="1033" spans="2:4" x14ac:dyDescent="0.25">
      <c r="B1033" s="22" t="s">
        <v>2101</v>
      </c>
      <c r="C1033" s="22" t="s">
        <v>3182</v>
      </c>
      <c r="D1033" t="str">
        <f>+IF(OR(IFERROR(FIND(".IO",Table2[[#This Row],[Sheet Location]],1)&gt;0,FALSE),B1033="DI"),"IO","no")</f>
        <v>no</v>
      </c>
    </row>
    <row r="1034" spans="2:4" x14ac:dyDescent="0.25">
      <c r="B1034" s="22" t="s">
        <v>2101</v>
      </c>
      <c r="C1034" s="22" t="s">
        <v>3183</v>
      </c>
      <c r="D1034" t="str">
        <f>+IF(OR(IFERROR(FIND(".IO",Table2[[#This Row],[Sheet Location]],1)&gt;0,FALSE),B1034="DI"),"IO","no")</f>
        <v>no</v>
      </c>
    </row>
    <row r="1035" spans="2:4" x14ac:dyDescent="0.25">
      <c r="B1035" s="22" t="s">
        <v>2101</v>
      </c>
      <c r="C1035" s="22" t="s">
        <v>3184</v>
      </c>
      <c r="D1035" t="str">
        <f>+IF(OR(IFERROR(FIND(".IO",Table2[[#This Row],[Sheet Location]],1)&gt;0,FALSE),B1035="DI"),"IO","no")</f>
        <v>no</v>
      </c>
    </row>
    <row r="1036" spans="2:4" x14ac:dyDescent="0.25">
      <c r="B1036" s="22" t="s">
        <v>3185</v>
      </c>
      <c r="C1036" s="22" t="s">
        <v>3186</v>
      </c>
      <c r="D1036" t="str">
        <f>+IF(OR(IFERROR(FIND(".IO",Table2[[#This Row],[Sheet Location]],1)&gt;0,FALSE),B1036="DI"),"IO","no")</f>
        <v>no</v>
      </c>
    </row>
    <row r="1037" spans="2:4" x14ac:dyDescent="0.25">
      <c r="B1037" s="22" t="s">
        <v>3185</v>
      </c>
      <c r="C1037" s="22" t="s">
        <v>3187</v>
      </c>
      <c r="D1037" t="str">
        <f>+IF(OR(IFERROR(FIND(".IO",Table2[[#This Row],[Sheet Location]],1)&gt;0,FALSE),B1037="DI"),"IO","no")</f>
        <v>no</v>
      </c>
    </row>
    <row r="1038" spans="2:4" x14ac:dyDescent="0.25">
      <c r="B1038" s="22" t="s">
        <v>3185</v>
      </c>
      <c r="C1038" s="22" t="s">
        <v>3188</v>
      </c>
      <c r="D1038" t="str">
        <f>+IF(OR(IFERROR(FIND(".IO",Table2[[#This Row],[Sheet Location]],1)&gt;0,FALSE),B1038="DI"),"IO","no")</f>
        <v>no</v>
      </c>
    </row>
    <row r="1039" spans="2:4" x14ac:dyDescent="0.25">
      <c r="B1039" s="22" t="s">
        <v>3185</v>
      </c>
      <c r="C1039" s="22" t="s">
        <v>3189</v>
      </c>
      <c r="D1039" t="str">
        <f>+IF(OR(IFERROR(FIND(".IO",Table2[[#This Row],[Sheet Location]],1)&gt;0,FALSE),B1039="DI"),"IO","no")</f>
        <v>no</v>
      </c>
    </row>
    <row r="1040" spans="2:4" x14ac:dyDescent="0.25">
      <c r="B1040" s="22" t="s">
        <v>3185</v>
      </c>
      <c r="C1040" s="22" t="s">
        <v>3190</v>
      </c>
      <c r="D1040" t="str">
        <f>+IF(OR(IFERROR(FIND(".IO",Table2[[#This Row],[Sheet Location]],1)&gt;0,FALSE),B1040="DI"),"IO","no")</f>
        <v>no</v>
      </c>
    </row>
    <row r="1041" spans="2:4" x14ac:dyDescent="0.25">
      <c r="B1041" s="22" t="s">
        <v>3185</v>
      </c>
      <c r="C1041" s="22" t="s">
        <v>3191</v>
      </c>
      <c r="D1041" t="str">
        <f>+IF(OR(IFERROR(FIND(".IO",Table2[[#This Row],[Sheet Location]],1)&gt;0,FALSE),B1041="DI"),"IO","no")</f>
        <v>no</v>
      </c>
    </row>
    <row r="1042" spans="2:4" x14ac:dyDescent="0.25">
      <c r="B1042" s="22" t="s">
        <v>3185</v>
      </c>
      <c r="C1042" s="22" t="s">
        <v>3192</v>
      </c>
      <c r="D1042" t="str">
        <f>+IF(OR(IFERROR(FIND(".IO",Table2[[#This Row],[Sheet Location]],1)&gt;0,FALSE),B1042="DI"),"IO","no")</f>
        <v>no</v>
      </c>
    </row>
    <row r="1043" spans="2:4" x14ac:dyDescent="0.25">
      <c r="B1043" s="22" t="s">
        <v>2105</v>
      </c>
      <c r="C1043" s="22" t="s">
        <v>3193</v>
      </c>
      <c r="D1043" t="str">
        <f>+IF(OR(IFERROR(FIND(".IO",Table2[[#This Row],[Sheet Location]],1)&gt;0,FALSE),B1043="DI"),"IO","no")</f>
        <v>no</v>
      </c>
    </row>
    <row r="1044" spans="2:4" x14ac:dyDescent="0.25">
      <c r="B1044" s="22" t="s">
        <v>2105</v>
      </c>
      <c r="C1044" s="22" t="s">
        <v>3194</v>
      </c>
      <c r="D1044" t="str">
        <f>+IF(OR(IFERROR(FIND(".IO",Table2[[#This Row],[Sheet Location]],1)&gt;0,FALSE),B1044="DI"),"IO","no")</f>
        <v>no</v>
      </c>
    </row>
    <row r="1045" spans="2:4" x14ac:dyDescent="0.25">
      <c r="B1045" s="22" t="s">
        <v>2105</v>
      </c>
      <c r="C1045" s="22" t="s">
        <v>3195</v>
      </c>
      <c r="D1045" t="str">
        <f>+IF(OR(IFERROR(FIND(".IO",Table2[[#This Row],[Sheet Location]],1)&gt;0,FALSE),B1045="DI"),"IO","no")</f>
        <v>no</v>
      </c>
    </row>
    <row r="1046" spans="2:4" x14ac:dyDescent="0.25">
      <c r="B1046" s="22" t="s">
        <v>2105</v>
      </c>
      <c r="C1046" s="22" t="s">
        <v>3196</v>
      </c>
      <c r="D1046" t="str">
        <f>+IF(OR(IFERROR(FIND(".IO",Table2[[#This Row],[Sheet Location]],1)&gt;0,FALSE),B1046="DI"),"IO","no")</f>
        <v>no</v>
      </c>
    </row>
    <row r="1047" spans="2:4" x14ac:dyDescent="0.25">
      <c r="B1047" s="22" t="s">
        <v>2105</v>
      </c>
      <c r="C1047" s="22" t="s">
        <v>3197</v>
      </c>
      <c r="D1047" t="str">
        <f>+IF(OR(IFERROR(FIND(".IO",Table2[[#This Row],[Sheet Location]],1)&gt;0,FALSE),B1047="DI"),"IO","no")</f>
        <v>no</v>
      </c>
    </row>
    <row r="1048" spans="2:4" x14ac:dyDescent="0.25">
      <c r="B1048" s="22" t="s">
        <v>2105</v>
      </c>
      <c r="C1048" s="22" t="s">
        <v>3198</v>
      </c>
      <c r="D1048" t="str">
        <f>+IF(OR(IFERROR(FIND(".IO",Table2[[#This Row],[Sheet Location]],1)&gt;0,FALSE),B1048="DI"),"IO","no")</f>
        <v>no</v>
      </c>
    </row>
    <row r="1049" spans="2:4" x14ac:dyDescent="0.25">
      <c r="B1049" s="22" t="s">
        <v>2105</v>
      </c>
      <c r="C1049" s="22" t="s">
        <v>3199</v>
      </c>
      <c r="D1049" t="str">
        <f>+IF(OR(IFERROR(FIND(".IO",Table2[[#This Row],[Sheet Location]],1)&gt;0,FALSE),B1049="DI"),"IO","no")</f>
        <v>no</v>
      </c>
    </row>
    <row r="1050" spans="2:4" x14ac:dyDescent="0.25">
      <c r="B1050" s="22" t="s">
        <v>2159</v>
      </c>
      <c r="C1050" s="22" t="s">
        <v>3200</v>
      </c>
      <c r="D1050" t="str">
        <f>+IF(OR(IFERROR(FIND(".IO",Table2[[#This Row],[Sheet Location]],1)&gt;0,FALSE),B1050="DI"),"IO","no")</f>
        <v>no</v>
      </c>
    </row>
    <row r="1051" spans="2:4" x14ac:dyDescent="0.25">
      <c r="B1051" s="22" t="s">
        <v>2159</v>
      </c>
      <c r="C1051" s="22" t="s">
        <v>3201</v>
      </c>
      <c r="D1051" t="str">
        <f>+IF(OR(IFERROR(FIND(".IO",Table2[[#This Row],[Sheet Location]],1)&gt;0,FALSE),B1051="DI"),"IO","no")</f>
        <v>no</v>
      </c>
    </row>
    <row r="1052" spans="2:4" x14ac:dyDescent="0.25">
      <c r="B1052" s="22" t="s">
        <v>2159</v>
      </c>
      <c r="C1052" s="22" t="s">
        <v>3202</v>
      </c>
      <c r="D1052" t="str">
        <f>+IF(OR(IFERROR(FIND(".IO",Table2[[#This Row],[Sheet Location]],1)&gt;0,FALSE),B1052="DI"),"IO","no")</f>
        <v>no</v>
      </c>
    </row>
    <row r="1053" spans="2:4" x14ac:dyDescent="0.25">
      <c r="B1053" s="22" t="s">
        <v>2159</v>
      </c>
      <c r="C1053" s="22" t="s">
        <v>3203</v>
      </c>
      <c r="D1053" t="str">
        <f>+IF(OR(IFERROR(FIND(".IO",Table2[[#This Row],[Sheet Location]],1)&gt;0,FALSE),B1053="DI"),"IO","no")</f>
        <v>no</v>
      </c>
    </row>
    <row r="1054" spans="2:4" x14ac:dyDescent="0.25">
      <c r="B1054" s="22" t="s">
        <v>2159</v>
      </c>
      <c r="C1054" s="22" t="s">
        <v>3204</v>
      </c>
      <c r="D1054" t="str">
        <f>+IF(OR(IFERROR(FIND(".IO",Table2[[#This Row],[Sheet Location]],1)&gt;0,FALSE),B1054="DI"),"IO","no")</f>
        <v>no</v>
      </c>
    </row>
    <row r="1055" spans="2:4" x14ac:dyDescent="0.25">
      <c r="B1055" s="22" t="s">
        <v>2159</v>
      </c>
      <c r="C1055" s="22" t="s">
        <v>3205</v>
      </c>
      <c r="D1055" t="str">
        <f>+IF(OR(IFERROR(FIND(".IO",Table2[[#This Row],[Sheet Location]],1)&gt;0,FALSE),B1055="DI"),"IO","no")</f>
        <v>no</v>
      </c>
    </row>
    <row r="1056" spans="2:4" x14ac:dyDescent="0.25">
      <c r="B1056" s="22" t="s">
        <v>2159</v>
      </c>
      <c r="C1056" s="22" t="s">
        <v>3206</v>
      </c>
      <c r="D1056" t="str">
        <f>+IF(OR(IFERROR(FIND(".IO",Table2[[#This Row],[Sheet Location]],1)&gt;0,FALSE),B1056="DI"),"IO","no")</f>
        <v>no</v>
      </c>
    </row>
    <row r="1057" spans="2:4" x14ac:dyDescent="0.25">
      <c r="B1057" s="22" t="s">
        <v>2159</v>
      </c>
      <c r="C1057" s="22" t="s">
        <v>3207</v>
      </c>
      <c r="D1057" t="str">
        <f>+IF(OR(IFERROR(FIND(".IO",Table2[[#This Row],[Sheet Location]],1)&gt;0,FALSE),B1057="DI"),"IO","no")</f>
        <v>no</v>
      </c>
    </row>
    <row r="1058" spans="2:4" x14ac:dyDescent="0.25">
      <c r="B1058" s="22" t="s">
        <v>2159</v>
      </c>
      <c r="C1058" s="22" t="s">
        <v>3208</v>
      </c>
      <c r="D1058" t="str">
        <f>+IF(OR(IFERROR(FIND(".IO",Table2[[#This Row],[Sheet Location]],1)&gt;0,FALSE),B1058="DI"),"IO","no")</f>
        <v>no</v>
      </c>
    </row>
    <row r="1059" spans="2:4" x14ac:dyDescent="0.25">
      <c r="B1059" s="22" t="s">
        <v>3209</v>
      </c>
      <c r="C1059" s="22" t="s">
        <v>3210</v>
      </c>
      <c r="D1059" t="str">
        <f>+IF(OR(IFERROR(FIND(".IO",Table2[[#This Row],[Sheet Location]],1)&gt;0,FALSE),B1059="DI"),"IO","no")</f>
        <v>IO</v>
      </c>
    </row>
    <row r="1060" spans="2:4" x14ac:dyDescent="0.25">
      <c r="B1060" s="22" t="s">
        <v>3209</v>
      </c>
      <c r="C1060" s="22" t="s">
        <v>3211</v>
      </c>
      <c r="D1060" t="str">
        <f>+IF(OR(IFERROR(FIND(".IO",Table2[[#This Row],[Sheet Location]],1)&gt;0,FALSE),B1060="DI"),"IO","no")</f>
        <v>IO</v>
      </c>
    </row>
    <row r="1061" spans="2:4" x14ac:dyDescent="0.25">
      <c r="B1061" s="22" t="s">
        <v>3209</v>
      </c>
      <c r="C1061" s="22" t="s">
        <v>3212</v>
      </c>
      <c r="D1061" t="str">
        <f>+IF(OR(IFERROR(FIND(".IO",Table2[[#This Row],[Sheet Location]],1)&gt;0,FALSE),B1061="DI"),"IO","no")</f>
        <v>IO</v>
      </c>
    </row>
    <row r="1062" spans="2:4" x14ac:dyDescent="0.25">
      <c r="B1062" s="22" t="s">
        <v>3209</v>
      </c>
      <c r="C1062" s="22" t="s">
        <v>3213</v>
      </c>
      <c r="D1062" t="str">
        <f>+IF(OR(IFERROR(FIND(".IO",Table2[[#This Row],[Sheet Location]],1)&gt;0,FALSE),B1062="DI"),"IO","no")</f>
        <v>IO</v>
      </c>
    </row>
    <row r="1063" spans="2:4" x14ac:dyDescent="0.25">
      <c r="B1063" s="22" t="s">
        <v>3209</v>
      </c>
      <c r="C1063" s="22" t="s">
        <v>3214</v>
      </c>
      <c r="D1063" t="str">
        <f>+IF(OR(IFERROR(FIND(".IO",Table2[[#This Row],[Sheet Location]],1)&gt;0,FALSE),B1063="DI"),"IO","no")</f>
        <v>IO</v>
      </c>
    </row>
    <row r="1064" spans="2:4" x14ac:dyDescent="0.25">
      <c r="B1064" s="22" t="s">
        <v>3209</v>
      </c>
      <c r="C1064" s="22" t="s">
        <v>3215</v>
      </c>
      <c r="D1064" t="str">
        <f>+IF(OR(IFERROR(FIND(".IO",Table2[[#This Row],[Sheet Location]],1)&gt;0,FALSE),B1064="DI"),"IO","no")</f>
        <v>IO</v>
      </c>
    </row>
    <row r="1065" spans="2:4" x14ac:dyDescent="0.25">
      <c r="B1065" s="22" t="s">
        <v>3209</v>
      </c>
      <c r="C1065" s="22" t="s">
        <v>3216</v>
      </c>
      <c r="D1065" t="str">
        <f>+IF(OR(IFERROR(FIND(".IO",Table2[[#This Row],[Sheet Location]],1)&gt;0,FALSE),B1065="DI"),"IO","no")</f>
        <v>IO</v>
      </c>
    </row>
    <row r="1066" spans="2:4" x14ac:dyDescent="0.25">
      <c r="B1066" s="22" t="s">
        <v>3209</v>
      </c>
      <c r="C1066" s="22" t="s">
        <v>3217</v>
      </c>
      <c r="D1066" t="str">
        <f>+IF(OR(IFERROR(FIND(".IO",Table2[[#This Row],[Sheet Location]],1)&gt;0,FALSE),B1066="DI"),"IO","no")</f>
        <v>IO</v>
      </c>
    </row>
    <row r="1067" spans="2:4" x14ac:dyDescent="0.25">
      <c r="B1067" s="22" t="s">
        <v>3209</v>
      </c>
      <c r="C1067" s="22" t="s">
        <v>3218</v>
      </c>
      <c r="D1067" t="str">
        <f>+IF(OR(IFERROR(FIND(".IO",Table2[[#This Row],[Sheet Location]],1)&gt;0,FALSE),B1067="DI"),"IO","no")</f>
        <v>IO</v>
      </c>
    </row>
    <row r="1068" spans="2:4" x14ac:dyDescent="0.25">
      <c r="B1068" s="22" t="s">
        <v>3209</v>
      </c>
      <c r="C1068" s="22" t="s">
        <v>3219</v>
      </c>
      <c r="D1068" t="str">
        <f>+IF(OR(IFERROR(FIND(".IO",Table2[[#This Row],[Sheet Location]],1)&gt;0,FALSE),B1068="DI"),"IO","no")</f>
        <v>IO</v>
      </c>
    </row>
    <row r="1069" spans="2:4" x14ac:dyDescent="0.25">
      <c r="B1069" s="22" t="s">
        <v>3209</v>
      </c>
      <c r="C1069" s="22" t="s">
        <v>3220</v>
      </c>
      <c r="D1069" t="str">
        <f>+IF(OR(IFERROR(FIND(".IO",Table2[[#This Row],[Sheet Location]],1)&gt;0,FALSE),B1069="DI"),"IO","no")</f>
        <v>IO</v>
      </c>
    </row>
    <row r="1070" spans="2:4" x14ac:dyDescent="0.25">
      <c r="B1070" s="22" t="s">
        <v>3209</v>
      </c>
      <c r="C1070" s="22" t="s">
        <v>3221</v>
      </c>
      <c r="D1070" t="str">
        <f>+IF(OR(IFERROR(FIND(".IO",Table2[[#This Row],[Sheet Location]],1)&gt;0,FALSE),B1070="DI"),"IO","no")</f>
        <v>IO</v>
      </c>
    </row>
    <row r="1071" spans="2:4" x14ac:dyDescent="0.25">
      <c r="B1071" s="22" t="s">
        <v>3209</v>
      </c>
      <c r="C1071" s="22" t="s">
        <v>3222</v>
      </c>
      <c r="D1071" t="str">
        <f>+IF(OR(IFERROR(FIND(".IO",Table2[[#This Row],[Sheet Location]],1)&gt;0,FALSE),B1071="DI"),"IO","no")</f>
        <v>IO</v>
      </c>
    </row>
    <row r="1072" spans="2:4" x14ac:dyDescent="0.25">
      <c r="B1072" s="22" t="s">
        <v>3209</v>
      </c>
      <c r="C1072" s="22" t="s">
        <v>3223</v>
      </c>
      <c r="D1072" t="str">
        <f>+IF(OR(IFERROR(FIND(".IO",Table2[[#This Row],[Sheet Location]],1)&gt;0,FALSE),B1072="DI"),"IO","no")</f>
        <v>IO</v>
      </c>
    </row>
    <row r="1073" spans="2:4" x14ac:dyDescent="0.25">
      <c r="B1073" s="22" t="s">
        <v>3209</v>
      </c>
      <c r="C1073" s="22" t="s">
        <v>3224</v>
      </c>
      <c r="D1073" t="str">
        <f>+IF(OR(IFERROR(FIND(".IO",Table2[[#This Row],[Sheet Location]],1)&gt;0,FALSE),B1073="DI"),"IO","no")</f>
        <v>IO</v>
      </c>
    </row>
    <row r="1074" spans="2:4" x14ac:dyDescent="0.25">
      <c r="B1074" s="22" t="s">
        <v>3209</v>
      </c>
      <c r="C1074" s="22" t="s">
        <v>3225</v>
      </c>
      <c r="D1074" t="str">
        <f>+IF(OR(IFERROR(FIND(".IO",Table2[[#This Row],[Sheet Location]],1)&gt;0,FALSE),B1074="DI"),"IO","no")</f>
        <v>IO</v>
      </c>
    </row>
    <row r="1075" spans="2:4" x14ac:dyDescent="0.25">
      <c r="B1075" s="22" t="s">
        <v>3209</v>
      </c>
      <c r="C1075" s="22" t="s">
        <v>3226</v>
      </c>
      <c r="D1075" t="str">
        <f>+IF(OR(IFERROR(FIND(".IO",Table2[[#This Row],[Sheet Location]],1)&gt;0,FALSE),B1075="DI"),"IO","no")</f>
        <v>IO</v>
      </c>
    </row>
    <row r="1076" spans="2:4" x14ac:dyDescent="0.25">
      <c r="B1076" s="22" t="s">
        <v>3209</v>
      </c>
      <c r="C1076" s="22" t="s">
        <v>3227</v>
      </c>
      <c r="D1076" t="str">
        <f>+IF(OR(IFERROR(FIND(".IO",Table2[[#This Row],[Sheet Location]],1)&gt;0,FALSE),B1076="DI"),"IO","no")</f>
        <v>IO</v>
      </c>
    </row>
    <row r="1077" spans="2:4" x14ac:dyDescent="0.25">
      <c r="B1077" s="22" t="s">
        <v>3209</v>
      </c>
      <c r="C1077" s="22" t="s">
        <v>3228</v>
      </c>
      <c r="D1077" t="str">
        <f>+IF(OR(IFERROR(FIND(".IO",Table2[[#This Row],[Sheet Location]],1)&gt;0,FALSE),B1077="DI"),"IO","no")</f>
        <v>IO</v>
      </c>
    </row>
    <row r="1078" spans="2:4" x14ac:dyDescent="0.25">
      <c r="B1078" s="22" t="s">
        <v>3209</v>
      </c>
      <c r="C1078" s="22" t="s">
        <v>3229</v>
      </c>
      <c r="D1078" t="str">
        <f>+IF(OR(IFERROR(FIND(".IO",Table2[[#This Row],[Sheet Location]],1)&gt;0,FALSE),B1078="DI"),"IO","no")</f>
        <v>IO</v>
      </c>
    </row>
    <row r="1079" spans="2:4" x14ac:dyDescent="0.25">
      <c r="B1079" s="22" t="s">
        <v>3209</v>
      </c>
      <c r="C1079" s="22" t="s">
        <v>3230</v>
      </c>
      <c r="D1079" t="str">
        <f>+IF(OR(IFERROR(FIND(".IO",Table2[[#This Row],[Sheet Location]],1)&gt;0,FALSE),B1079="DI"),"IO","no")</f>
        <v>IO</v>
      </c>
    </row>
    <row r="1080" spans="2:4" x14ac:dyDescent="0.25">
      <c r="B1080" s="22" t="s">
        <v>3209</v>
      </c>
      <c r="C1080" s="22" t="s">
        <v>3231</v>
      </c>
      <c r="D1080" t="str">
        <f>+IF(OR(IFERROR(FIND(".IO",Table2[[#This Row],[Sheet Location]],1)&gt;0,FALSE),B1080="DI"),"IO","no")</f>
        <v>IO</v>
      </c>
    </row>
    <row r="1081" spans="2:4" x14ac:dyDescent="0.25">
      <c r="B1081" s="22" t="s">
        <v>3209</v>
      </c>
      <c r="C1081" s="22" t="s">
        <v>3232</v>
      </c>
      <c r="D1081" t="str">
        <f>+IF(OR(IFERROR(FIND(".IO",Table2[[#This Row],[Sheet Location]],1)&gt;0,FALSE),B1081="DI"),"IO","no")</f>
        <v>IO</v>
      </c>
    </row>
    <row r="1082" spans="2:4" x14ac:dyDescent="0.25">
      <c r="B1082" s="22" t="s">
        <v>3209</v>
      </c>
      <c r="C1082" s="22" t="s">
        <v>3233</v>
      </c>
      <c r="D1082" t="str">
        <f>+IF(OR(IFERROR(FIND(".IO",Table2[[#This Row],[Sheet Location]],1)&gt;0,FALSE),B1082="DI"),"IO","no")</f>
        <v>IO</v>
      </c>
    </row>
    <row r="1083" spans="2:4" x14ac:dyDescent="0.25">
      <c r="B1083" s="22" t="s">
        <v>3209</v>
      </c>
      <c r="C1083" s="22" t="s">
        <v>3234</v>
      </c>
      <c r="D1083" t="str">
        <f>+IF(OR(IFERROR(FIND(".IO",Table2[[#This Row],[Sheet Location]],1)&gt;0,FALSE),B1083="DI"),"IO","no")</f>
        <v>IO</v>
      </c>
    </row>
    <row r="1084" spans="2:4" x14ac:dyDescent="0.25">
      <c r="B1084" s="22" t="s">
        <v>3209</v>
      </c>
      <c r="C1084" s="22" t="s">
        <v>3235</v>
      </c>
      <c r="D1084" t="str">
        <f>+IF(OR(IFERROR(FIND(".IO",Table2[[#This Row],[Sheet Location]],1)&gt;0,FALSE),B1084="DI"),"IO","no")</f>
        <v>IO</v>
      </c>
    </row>
    <row r="1085" spans="2:4" x14ac:dyDescent="0.25">
      <c r="B1085" s="22" t="s">
        <v>3209</v>
      </c>
      <c r="C1085" s="22" t="s">
        <v>3236</v>
      </c>
      <c r="D1085" t="str">
        <f>+IF(OR(IFERROR(FIND(".IO",Table2[[#This Row],[Sheet Location]],1)&gt;0,FALSE),B1085="DI"),"IO","no")</f>
        <v>IO</v>
      </c>
    </row>
    <row r="1086" spans="2:4" x14ac:dyDescent="0.25">
      <c r="B1086" s="22" t="s">
        <v>3209</v>
      </c>
      <c r="C1086" s="22" t="s">
        <v>3237</v>
      </c>
      <c r="D1086" t="str">
        <f>+IF(OR(IFERROR(FIND(".IO",Table2[[#This Row],[Sheet Location]],1)&gt;0,FALSE),B1086="DI"),"IO","no")</f>
        <v>IO</v>
      </c>
    </row>
    <row r="1087" spans="2:4" x14ac:dyDescent="0.25">
      <c r="B1087" s="22" t="s">
        <v>3209</v>
      </c>
      <c r="C1087" s="22" t="s">
        <v>3238</v>
      </c>
      <c r="D1087" t="str">
        <f>+IF(OR(IFERROR(FIND(".IO",Table2[[#This Row],[Sheet Location]],1)&gt;0,FALSE),B1087="DI"),"IO","no")</f>
        <v>IO</v>
      </c>
    </row>
    <row r="1088" spans="2:4" x14ac:dyDescent="0.25">
      <c r="B1088" s="22" t="s">
        <v>3209</v>
      </c>
      <c r="C1088" s="22" t="s">
        <v>3239</v>
      </c>
      <c r="D1088" t="str">
        <f>+IF(OR(IFERROR(FIND(".IO",Table2[[#This Row],[Sheet Location]],1)&gt;0,FALSE),B1088="DI"),"IO","no")</f>
        <v>IO</v>
      </c>
    </row>
    <row r="1089" spans="2:4" x14ac:dyDescent="0.25">
      <c r="B1089" s="22" t="s">
        <v>3209</v>
      </c>
      <c r="C1089" s="22" t="s">
        <v>3240</v>
      </c>
      <c r="D1089" t="str">
        <f>+IF(OR(IFERROR(FIND(".IO",Table2[[#This Row],[Sheet Location]],1)&gt;0,FALSE),B1089="DI"),"IO","no")</f>
        <v>IO</v>
      </c>
    </row>
    <row r="1090" spans="2:4" x14ac:dyDescent="0.25">
      <c r="B1090" s="22" t="s">
        <v>3209</v>
      </c>
      <c r="C1090" s="22" t="s">
        <v>3241</v>
      </c>
      <c r="D1090" t="str">
        <f>+IF(OR(IFERROR(FIND(".IO",Table2[[#This Row],[Sheet Location]],1)&gt;0,FALSE),B1090="DI"),"IO","no")</f>
        <v>IO</v>
      </c>
    </row>
    <row r="1091" spans="2:4" x14ac:dyDescent="0.25">
      <c r="B1091" s="22" t="s">
        <v>3209</v>
      </c>
      <c r="C1091" s="22" t="s">
        <v>3242</v>
      </c>
      <c r="D1091" t="str">
        <f>+IF(OR(IFERROR(FIND(".IO",Table2[[#This Row],[Sheet Location]],1)&gt;0,FALSE),B1091="DI"),"IO","no")</f>
        <v>IO</v>
      </c>
    </row>
    <row r="1092" spans="2:4" x14ac:dyDescent="0.25">
      <c r="B1092" s="22" t="s">
        <v>3209</v>
      </c>
      <c r="C1092" s="22" t="s">
        <v>3243</v>
      </c>
      <c r="D1092" t="str">
        <f>+IF(OR(IFERROR(FIND(".IO",Table2[[#This Row],[Sheet Location]],1)&gt;0,FALSE),B1092="DI"),"IO","no")</f>
        <v>IO</v>
      </c>
    </row>
    <row r="1093" spans="2:4" x14ac:dyDescent="0.25">
      <c r="B1093" s="22" t="s">
        <v>3209</v>
      </c>
      <c r="C1093" s="22" t="s">
        <v>3244</v>
      </c>
      <c r="D1093" t="str">
        <f>+IF(OR(IFERROR(FIND(".IO",Table2[[#This Row],[Sheet Location]],1)&gt;0,FALSE),B1093="DI"),"IO","no")</f>
        <v>IO</v>
      </c>
    </row>
    <row r="1094" spans="2:4" x14ac:dyDescent="0.25">
      <c r="B1094" s="22" t="s">
        <v>3209</v>
      </c>
      <c r="C1094" s="22" t="s">
        <v>3245</v>
      </c>
      <c r="D1094" t="str">
        <f>+IF(OR(IFERROR(FIND(".IO",Table2[[#This Row],[Sheet Location]],1)&gt;0,FALSE),B1094="DI"),"IO","no")</f>
        <v>IO</v>
      </c>
    </row>
    <row r="1095" spans="2:4" x14ac:dyDescent="0.25">
      <c r="B1095" s="22" t="s">
        <v>3209</v>
      </c>
      <c r="C1095" s="22" t="s">
        <v>3246</v>
      </c>
      <c r="D1095" t="str">
        <f>+IF(OR(IFERROR(FIND(".IO",Table2[[#This Row],[Sheet Location]],1)&gt;0,FALSE),B1095="DI"),"IO","no")</f>
        <v>IO</v>
      </c>
    </row>
    <row r="1096" spans="2:4" x14ac:dyDescent="0.25">
      <c r="B1096" s="22" t="s">
        <v>3209</v>
      </c>
      <c r="C1096" s="22" t="s">
        <v>3247</v>
      </c>
      <c r="D1096" t="str">
        <f>+IF(OR(IFERROR(FIND(".IO",Table2[[#This Row],[Sheet Location]],1)&gt;0,FALSE),B1096="DI"),"IO","no")</f>
        <v>IO</v>
      </c>
    </row>
    <row r="1097" spans="2:4" x14ac:dyDescent="0.25">
      <c r="B1097" s="22" t="s">
        <v>3209</v>
      </c>
      <c r="C1097" s="22" t="s">
        <v>3248</v>
      </c>
      <c r="D1097" t="str">
        <f>+IF(OR(IFERROR(FIND(".IO",Table2[[#This Row],[Sheet Location]],1)&gt;0,FALSE),B1097="DI"),"IO","no")</f>
        <v>IO</v>
      </c>
    </row>
    <row r="1098" spans="2:4" x14ac:dyDescent="0.25">
      <c r="B1098" s="22" t="s">
        <v>3209</v>
      </c>
      <c r="C1098" s="22" t="s">
        <v>3249</v>
      </c>
      <c r="D1098" t="str">
        <f>+IF(OR(IFERROR(FIND(".IO",Table2[[#This Row],[Sheet Location]],1)&gt;0,FALSE),B1098="DI"),"IO","no")</f>
        <v>IO</v>
      </c>
    </row>
    <row r="1099" spans="2:4" x14ac:dyDescent="0.25">
      <c r="B1099" s="22" t="s">
        <v>3209</v>
      </c>
      <c r="C1099" s="22" t="s">
        <v>3250</v>
      </c>
      <c r="D1099" t="str">
        <f>+IF(OR(IFERROR(FIND(".IO",Table2[[#This Row],[Sheet Location]],1)&gt;0,FALSE),B1099="DI"),"IO","no")</f>
        <v>IO</v>
      </c>
    </row>
    <row r="1100" spans="2:4" x14ac:dyDescent="0.25">
      <c r="B1100" s="22" t="s">
        <v>3209</v>
      </c>
      <c r="C1100" s="22" t="s">
        <v>3251</v>
      </c>
      <c r="D1100" t="str">
        <f>+IF(OR(IFERROR(FIND(".IO",Table2[[#This Row],[Sheet Location]],1)&gt;0,FALSE),B1100="DI"),"IO","no")</f>
        <v>IO</v>
      </c>
    </row>
    <row r="1101" spans="2:4" x14ac:dyDescent="0.25">
      <c r="B1101" s="22" t="s">
        <v>3209</v>
      </c>
      <c r="C1101" s="22" t="s">
        <v>3252</v>
      </c>
      <c r="D1101" t="str">
        <f>+IF(OR(IFERROR(FIND(".IO",Table2[[#This Row],[Sheet Location]],1)&gt;0,FALSE),B1101="DI"),"IO","no")</f>
        <v>IO</v>
      </c>
    </row>
    <row r="1102" spans="2:4" x14ac:dyDescent="0.25">
      <c r="B1102" s="22" t="s">
        <v>3209</v>
      </c>
      <c r="C1102" s="22" t="s">
        <v>3253</v>
      </c>
      <c r="D1102" t="str">
        <f>+IF(OR(IFERROR(FIND(".IO",Table2[[#This Row],[Sheet Location]],1)&gt;0,FALSE),B1102="DI"),"IO","no")</f>
        <v>IO</v>
      </c>
    </row>
    <row r="1103" spans="2:4" x14ac:dyDescent="0.25">
      <c r="B1103" s="22" t="s">
        <v>3209</v>
      </c>
      <c r="C1103" s="22" t="s">
        <v>3254</v>
      </c>
      <c r="D1103" t="str">
        <f>+IF(OR(IFERROR(FIND(".IO",Table2[[#This Row],[Sheet Location]],1)&gt;0,FALSE),B1103="DI"),"IO","no")</f>
        <v>IO</v>
      </c>
    </row>
    <row r="1104" spans="2:4" x14ac:dyDescent="0.25">
      <c r="B1104" s="22" t="s">
        <v>3209</v>
      </c>
      <c r="C1104" s="22" t="s">
        <v>3255</v>
      </c>
      <c r="D1104" t="str">
        <f>+IF(OR(IFERROR(FIND(".IO",Table2[[#This Row],[Sheet Location]],1)&gt;0,FALSE),B1104="DI"),"IO","no")</f>
        <v>IO</v>
      </c>
    </row>
    <row r="1105" spans="2:4" x14ac:dyDescent="0.25">
      <c r="B1105" s="22" t="s">
        <v>3209</v>
      </c>
      <c r="C1105" s="22" t="s">
        <v>3256</v>
      </c>
      <c r="D1105" t="str">
        <f>+IF(OR(IFERROR(FIND(".IO",Table2[[#This Row],[Sheet Location]],1)&gt;0,FALSE),B1105="DI"),"IO","no")</f>
        <v>IO</v>
      </c>
    </row>
    <row r="1106" spans="2:4" x14ac:dyDescent="0.25">
      <c r="B1106" s="22" t="s">
        <v>3209</v>
      </c>
      <c r="C1106" s="22" t="s">
        <v>3257</v>
      </c>
      <c r="D1106" t="str">
        <f>+IF(OR(IFERROR(FIND(".IO",Table2[[#This Row],[Sheet Location]],1)&gt;0,FALSE),B1106="DI"),"IO","no")</f>
        <v>IO</v>
      </c>
    </row>
    <row r="1107" spans="2:4" x14ac:dyDescent="0.25">
      <c r="B1107" s="22" t="s">
        <v>3209</v>
      </c>
      <c r="C1107" s="22" t="s">
        <v>3258</v>
      </c>
      <c r="D1107" t="str">
        <f>+IF(OR(IFERROR(FIND(".IO",Table2[[#This Row],[Sheet Location]],1)&gt;0,FALSE),B1107="DI"),"IO","no")</f>
        <v>IO</v>
      </c>
    </row>
    <row r="1108" spans="2:4" x14ac:dyDescent="0.25">
      <c r="B1108" s="22" t="s">
        <v>3209</v>
      </c>
      <c r="C1108" s="22" t="s">
        <v>3259</v>
      </c>
      <c r="D1108" t="str">
        <f>+IF(OR(IFERROR(FIND(".IO",Table2[[#This Row],[Sheet Location]],1)&gt;0,FALSE),B1108="DI"),"IO","no")</f>
        <v>IO</v>
      </c>
    </row>
    <row r="1109" spans="2:4" x14ac:dyDescent="0.25">
      <c r="B1109" s="22" t="s">
        <v>3209</v>
      </c>
      <c r="C1109" s="22" t="s">
        <v>3260</v>
      </c>
      <c r="D1109" t="str">
        <f>+IF(OR(IFERROR(FIND(".IO",Table2[[#This Row],[Sheet Location]],1)&gt;0,FALSE),B1109="DI"),"IO","no")</f>
        <v>IO</v>
      </c>
    </row>
    <row r="1110" spans="2:4" x14ac:dyDescent="0.25">
      <c r="B1110" s="22" t="s">
        <v>3209</v>
      </c>
      <c r="C1110" s="22" t="s">
        <v>3261</v>
      </c>
      <c r="D1110" t="str">
        <f>+IF(OR(IFERROR(FIND(".IO",Table2[[#This Row],[Sheet Location]],1)&gt;0,FALSE),B1110="DI"),"IO","no")</f>
        <v>IO</v>
      </c>
    </row>
    <row r="1111" spans="2:4" x14ac:dyDescent="0.25">
      <c r="B1111" s="22" t="s">
        <v>3209</v>
      </c>
      <c r="C1111" s="22" t="s">
        <v>3262</v>
      </c>
      <c r="D1111" t="str">
        <f>+IF(OR(IFERROR(FIND(".IO",Table2[[#This Row],[Sheet Location]],1)&gt;0,FALSE),B1111="DI"),"IO","no")</f>
        <v>IO</v>
      </c>
    </row>
    <row r="1112" spans="2:4" x14ac:dyDescent="0.25">
      <c r="B1112" s="22" t="s">
        <v>3209</v>
      </c>
      <c r="C1112" s="22" t="s">
        <v>3263</v>
      </c>
      <c r="D1112" t="str">
        <f>+IF(OR(IFERROR(FIND(".IO",Table2[[#This Row],[Sheet Location]],1)&gt;0,FALSE),B1112="DI"),"IO","no")</f>
        <v>IO</v>
      </c>
    </row>
    <row r="1113" spans="2:4" x14ac:dyDescent="0.25">
      <c r="B1113" s="22" t="s">
        <v>3209</v>
      </c>
      <c r="C1113" s="22" t="s">
        <v>3264</v>
      </c>
      <c r="D1113" t="str">
        <f>+IF(OR(IFERROR(FIND(".IO",Table2[[#This Row],[Sheet Location]],1)&gt;0,FALSE),B1113="DI"),"IO","no")</f>
        <v>IO</v>
      </c>
    </row>
    <row r="1114" spans="2:4" x14ac:dyDescent="0.25">
      <c r="B1114" s="22" t="s">
        <v>3209</v>
      </c>
      <c r="C1114" s="22" t="s">
        <v>3265</v>
      </c>
      <c r="D1114" t="str">
        <f>+IF(OR(IFERROR(FIND(".IO",Table2[[#This Row],[Sheet Location]],1)&gt;0,FALSE),B1114="DI"),"IO","no")</f>
        <v>IO</v>
      </c>
    </row>
    <row r="1115" spans="2:4" x14ac:dyDescent="0.25">
      <c r="B1115" s="22" t="s">
        <v>3209</v>
      </c>
      <c r="C1115" s="22" t="s">
        <v>3266</v>
      </c>
      <c r="D1115" t="str">
        <f>+IF(OR(IFERROR(FIND(".IO",Table2[[#This Row],[Sheet Location]],1)&gt;0,FALSE),B1115="DI"),"IO","no")</f>
        <v>IO</v>
      </c>
    </row>
    <row r="1116" spans="2:4" x14ac:dyDescent="0.25">
      <c r="B1116" s="22" t="s">
        <v>3209</v>
      </c>
      <c r="C1116" s="22" t="s">
        <v>3267</v>
      </c>
      <c r="D1116" t="str">
        <f>+IF(OR(IFERROR(FIND(".IO",Table2[[#This Row],[Sheet Location]],1)&gt;0,FALSE),B1116="DI"),"IO","no")</f>
        <v>IO</v>
      </c>
    </row>
    <row r="1117" spans="2:4" x14ac:dyDescent="0.25">
      <c r="B1117" s="22" t="s">
        <v>3209</v>
      </c>
      <c r="C1117" s="22" t="s">
        <v>3268</v>
      </c>
      <c r="D1117" t="str">
        <f>+IF(OR(IFERROR(FIND(".IO",Table2[[#This Row],[Sheet Location]],1)&gt;0,FALSE),B1117="DI"),"IO","no")</f>
        <v>IO</v>
      </c>
    </row>
    <row r="1118" spans="2:4" x14ac:dyDescent="0.25">
      <c r="B1118" s="22" t="s">
        <v>3209</v>
      </c>
      <c r="C1118" s="22" t="s">
        <v>3269</v>
      </c>
      <c r="D1118" t="str">
        <f>+IF(OR(IFERROR(FIND(".IO",Table2[[#This Row],[Sheet Location]],1)&gt;0,FALSE),B1118="DI"),"IO","no")</f>
        <v>IO</v>
      </c>
    </row>
    <row r="1119" spans="2:4" x14ac:dyDescent="0.25">
      <c r="B1119" s="22" t="s">
        <v>3209</v>
      </c>
      <c r="C1119" s="22" t="s">
        <v>3270</v>
      </c>
      <c r="D1119" t="str">
        <f>+IF(OR(IFERROR(FIND(".IO",Table2[[#This Row],[Sheet Location]],1)&gt;0,FALSE),B1119="DI"),"IO","no")</f>
        <v>IO</v>
      </c>
    </row>
    <row r="1120" spans="2:4" x14ac:dyDescent="0.25">
      <c r="B1120" s="22" t="s">
        <v>3271</v>
      </c>
      <c r="C1120" s="22" t="s">
        <v>3272</v>
      </c>
      <c r="D1120" t="str">
        <f>+IF(OR(IFERROR(FIND(".IO",Table2[[#This Row],[Sheet Location]],1)&gt;0,FALSE),B1120="DI"),"IO","no")</f>
        <v>no</v>
      </c>
    </row>
    <row r="1121" spans="2:4" x14ac:dyDescent="0.25">
      <c r="B1121" s="22" t="s">
        <v>3271</v>
      </c>
      <c r="C1121" s="22" t="s">
        <v>3273</v>
      </c>
      <c r="D1121" t="str">
        <f>+IF(OR(IFERROR(FIND(".IO",Table2[[#This Row],[Sheet Location]],1)&gt;0,FALSE),B1121="DI"),"IO","no")</f>
        <v>no</v>
      </c>
    </row>
    <row r="1122" spans="2:4" x14ac:dyDescent="0.25">
      <c r="B1122" s="22" t="s">
        <v>3271</v>
      </c>
      <c r="C1122" s="22" t="s">
        <v>3274</v>
      </c>
      <c r="D1122" t="str">
        <f>+IF(OR(IFERROR(FIND(".IO",Table2[[#This Row],[Sheet Location]],1)&gt;0,FALSE),B1122="DI"),"IO","no")</f>
        <v>no</v>
      </c>
    </row>
    <row r="1123" spans="2:4" x14ac:dyDescent="0.25">
      <c r="B1123" s="22" t="s">
        <v>3271</v>
      </c>
      <c r="C1123" s="22" t="s">
        <v>3275</v>
      </c>
      <c r="D1123" t="str">
        <f>+IF(OR(IFERROR(FIND(".IO",Table2[[#This Row],[Sheet Location]],1)&gt;0,FALSE),B1123="DI"),"IO","no")</f>
        <v>no</v>
      </c>
    </row>
    <row r="1124" spans="2:4" x14ac:dyDescent="0.25">
      <c r="B1124" s="22" t="s">
        <v>3271</v>
      </c>
      <c r="C1124" s="22" t="s">
        <v>3276</v>
      </c>
      <c r="D1124" t="str">
        <f>+IF(OR(IFERROR(FIND(".IO",Table2[[#This Row],[Sheet Location]],1)&gt;0,FALSE),B1124="DI"),"IO","no")</f>
        <v>no</v>
      </c>
    </row>
    <row r="1125" spans="2:4" x14ac:dyDescent="0.25">
      <c r="B1125" s="22" t="s">
        <v>3271</v>
      </c>
      <c r="C1125" s="22" t="s">
        <v>3277</v>
      </c>
      <c r="D1125" t="str">
        <f>+IF(OR(IFERROR(FIND(".IO",Table2[[#This Row],[Sheet Location]],1)&gt;0,FALSE),B1125="DI"),"IO","no")</f>
        <v>no</v>
      </c>
    </row>
    <row r="1126" spans="2:4" x14ac:dyDescent="0.25">
      <c r="B1126" s="22" t="s">
        <v>3271</v>
      </c>
      <c r="C1126" s="22" t="s">
        <v>3278</v>
      </c>
      <c r="D1126" t="str">
        <f>+IF(OR(IFERROR(FIND(".IO",Table2[[#This Row],[Sheet Location]],1)&gt;0,FALSE),B1126="DI"),"IO","no")</f>
        <v>no</v>
      </c>
    </row>
    <row r="1127" spans="2:4" x14ac:dyDescent="0.25">
      <c r="B1127" s="22" t="s">
        <v>3271</v>
      </c>
      <c r="C1127" s="22" t="s">
        <v>3279</v>
      </c>
      <c r="D1127" t="str">
        <f>+IF(OR(IFERROR(FIND(".IO",Table2[[#This Row],[Sheet Location]],1)&gt;0,FALSE),B1127="DI"),"IO","no")</f>
        <v>no</v>
      </c>
    </row>
    <row r="1128" spans="2:4" x14ac:dyDescent="0.25">
      <c r="B1128" s="22" t="s">
        <v>3280</v>
      </c>
      <c r="C1128" s="22" t="s">
        <v>3281</v>
      </c>
      <c r="D1128" t="str">
        <f>+IF(OR(IFERROR(FIND(".IO",Table2[[#This Row],[Sheet Location]],1)&gt;0,FALSE),B1128="DI"),"IO","no")</f>
        <v>no</v>
      </c>
    </row>
    <row r="1129" spans="2:4" x14ac:dyDescent="0.25">
      <c r="B1129" s="22" t="s">
        <v>3280</v>
      </c>
      <c r="C1129" s="22" t="s">
        <v>3282</v>
      </c>
      <c r="D1129" t="str">
        <f>+IF(OR(IFERROR(FIND(".IO",Table2[[#This Row],[Sheet Location]],1)&gt;0,FALSE),B1129="DI"),"IO","no")</f>
        <v>no</v>
      </c>
    </row>
    <row r="1130" spans="2:4" x14ac:dyDescent="0.25">
      <c r="B1130" s="22" t="s">
        <v>3280</v>
      </c>
      <c r="C1130" s="22" t="s">
        <v>3283</v>
      </c>
      <c r="D1130" t="str">
        <f>+IF(OR(IFERROR(FIND(".IO",Table2[[#This Row],[Sheet Location]],1)&gt;0,FALSE),B1130="DI"),"IO","no")</f>
        <v>no</v>
      </c>
    </row>
    <row r="1131" spans="2:4" x14ac:dyDescent="0.25">
      <c r="B1131" s="22" t="s">
        <v>3280</v>
      </c>
      <c r="C1131" s="22" t="s">
        <v>3284</v>
      </c>
      <c r="D1131" t="str">
        <f>+IF(OR(IFERROR(FIND(".IO",Table2[[#This Row],[Sheet Location]],1)&gt;0,FALSE),B1131="DI"),"IO","no")</f>
        <v>no</v>
      </c>
    </row>
    <row r="1132" spans="2:4" x14ac:dyDescent="0.25">
      <c r="B1132" s="22" t="s">
        <v>3280</v>
      </c>
      <c r="C1132" s="22" t="s">
        <v>3285</v>
      </c>
      <c r="D1132" t="str">
        <f>+IF(OR(IFERROR(FIND(".IO",Table2[[#This Row],[Sheet Location]],1)&gt;0,FALSE),B1132="DI"),"IO","no")</f>
        <v>no</v>
      </c>
    </row>
    <row r="1133" spans="2:4" x14ac:dyDescent="0.25">
      <c r="B1133" s="22" t="s">
        <v>3280</v>
      </c>
      <c r="C1133" s="22" t="s">
        <v>3286</v>
      </c>
      <c r="D1133" t="str">
        <f>+IF(OR(IFERROR(FIND(".IO",Table2[[#This Row],[Sheet Location]],1)&gt;0,FALSE),B1133="DI"),"IO","no")</f>
        <v>no</v>
      </c>
    </row>
    <row r="1134" spans="2:4" x14ac:dyDescent="0.25">
      <c r="B1134" s="22" t="s">
        <v>3280</v>
      </c>
      <c r="C1134" s="22" t="s">
        <v>3287</v>
      </c>
      <c r="D1134" t="str">
        <f>+IF(OR(IFERROR(FIND(".IO",Table2[[#This Row],[Sheet Location]],1)&gt;0,FALSE),B1134="DI"),"IO","no")</f>
        <v>no</v>
      </c>
    </row>
    <row r="1135" spans="2:4" x14ac:dyDescent="0.25">
      <c r="B1135" s="22" t="s">
        <v>3280</v>
      </c>
      <c r="C1135" s="22" t="s">
        <v>3288</v>
      </c>
      <c r="D1135" t="str">
        <f>+IF(OR(IFERROR(FIND(".IO",Table2[[#This Row],[Sheet Location]],1)&gt;0,FALSE),B1135="DI"),"IO","no")</f>
        <v>no</v>
      </c>
    </row>
    <row r="1136" spans="2:4" x14ac:dyDescent="0.25">
      <c r="B1136" s="22" t="s">
        <v>3280</v>
      </c>
      <c r="C1136" s="22" t="s">
        <v>3289</v>
      </c>
      <c r="D1136" t="str">
        <f>+IF(OR(IFERROR(FIND(".IO",Table2[[#This Row],[Sheet Location]],1)&gt;0,FALSE),B1136="DI"),"IO","no")</f>
        <v>no</v>
      </c>
    </row>
    <row r="1137" spans="2:4" x14ac:dyDescent="0.25">
      <c r="B1137" s="22" t="s">
        <v>3280</v>
      </c>
      <c r="C1137" s="22" t="s">
        <v>3290</v>
      </c>
      <c r="D1137" t="str">
        <f>+IF(OR(IFERROR(FIND(".IO",Table2[[#This Row],[Sheet Location]],1)&gt;0,FALSE),B1137="DI"),"IO","no")</f>
        <v>no</v>
      </c>
    </row>
    <row r="1138" spans="2:4" x14ac:dyDescent="0.25">
      <c r="B1138" s="22" t="s">
        <v>3280</v>
      </c>
      <c r="C1138" s="22" t="s">
        <v>3291</v>
      </c>
      <c r="D1138" t="str">
        <f>+IF(OR(IFERROR(FIND(".IO",Table2[[#This Row],[Sheet Location]],1)&gt;0,FALSE),B1138="DI"),"IO","no")</f>
        <v>no</v>
      </c>
    </row>
    <row r="1139" spans="2:4" x14ac:dyDescent="0.25">
      <c r="B1139" s="22" t="s">
        <v>3280</v>
      </c>
      <c r="C1139" s="22" t="s">
        <v>3292</v>
      </c>
      <c r="D1139" t="str">
        <f>+IF(OR(IFERROR(FIND(".IO",Table2[[#This Row],[Sheet Location]],1)&gt;0,FALSE),B1139="DI"),"IO","no")</f>
        <v>no</v>
      </c>
    </row>
    <row r="1140" spans="2:4" x14ac:dyDescent="0.25">
      <c r="B1140" s="22" t="s">
        <v>3293</v>
      </c>
      <c r="C1140" s="22" t="s">
        <v>3294</v>
      </c>
      <c r="D1140" t="str">
        <f>+IF(OR(IFERROR(FIND(".IO",Table2[[#This Row],[Sheet Location]],1)&gt;0,FALSE),B1140="DI"),"IO","no")</f>
        <v>no</v>
      </c>
    </row>
    <row r="1141" spans="2:4" x14ac:dyDescent="0.25">
      <c r="B1141" s="22" t="s">
        <v>3293</v>
      </c>
      <c r="C1141" s="22" t="s">
        <v>3295</v>
      </c>
      <c r="D1141" t="str">
        <f>+IF(OR(IFERROR(FIND(".IO",Table2[[#This Row],[Sheet Location]],1)&gt;0,FALSE),B1141="DI"),"IO","no")</f>
        <v>no</v>
      </c>
    </row>
    <row r="1142" spans="2:4" x14ac:dyDescent="0.25">
      <c r="B1142" s="22" t="s">
        <v>3293</v>
      </c>
      <c r="C1142" s="22" t="s">
        <v>3296</v>
      </c>
      <c r="D1142" t="str">
        <f>+IF(OR(IFERROR(FIND(".IO",Table2[[#This Row],[Sheet Location]],1)&gt;0,FALSE),B1142="DI"),"IO","no")</f>
        <v>no</v>
      </c>
    </row>
    <row r="1143" spans="2:4" x14ac:dyDescent="0.25">
      <c r="B1143" s="22" t="s">
        <v>3293</v>
      </c>
      <c r="C1143" s="22" t="s">
        <v>3297</v>
      </c>
      <c r="D1143" t="str">
        <f>+IF(OR(IFERROR(FIND(".IO",Table2[[#This Row],[Sheet Location]],1)&gt;0,FALSE),B1143="DI"),"IO","no")</f>
        <v>no</v>
      </c>
    </row>
    <row r="1144" spans="2:4" x14ac:dyDescent="0.25">
      <c r="B1144" s="22" t="s">
        <v>3293</v>
      </c>
      <c r="C1144" s="22" t="s">
        <v>3298</v>
      </c>
      <c r="D1144" t="str">
        <f>+IF(OR(IFERROR(FIND(".IO",Table2[[#This Row],[Sheet Location]],1)&gt;0,FALSE),B1144="DI"),"IO","no")</f>
        <v>no</v>
      </c>
    </row>
    <row r="1145" spans="2:4" x14ac:dyDescent="0.25">
      <c r="B1145" s="22" t="s">
        <v>3293</v>
      </c>
      <c r="C1145" s="22" t="s">
        <v>3299</v>
      </c>
      <c r="D1145" t="str">
        <f>+IF(OR(IFERROR(FIND(".IO",Table2[[#This Row],[Sheet Location]],1)&gt;0,FALSE),B1145="DI"),"IO","no")</f>
        <v>no</v>
      </c>
    </row>
    <row r="1146" spans="2:4" x14ac:dyDescent="0.25">
      <c r="B1146" s="22" t="s">
        <v>3293</v>
      </c>
      <c r="C1146" s="22" t="s">
        <v>3300</v>
      </c>
      <c r="D1146" t="str">
        <f>+IF(OR(IFERROR(FIND(".IO",Table2[[#This Row],[Sheet Location]],1)&gt;0,FALSE),B1146="DI"),"IO","no")</f>
        <v>no</v>
      </c>
    </row>
    <row r="1147" spans="2:4" x14ac:dyDescent="0.25">
      <c r="B1147" s="22" t="s">
        <v>3293</v>
      </c>
      <c r="C1147" s="22" t="s">
        <v>3301</v>
      </c>
      <c r="D1147" t="str">
        <f>+IF(OR(IFERROR(FIND(".IO",Table2[[#This Row],[Sheet Location]],1)&gt;0,FALSE),B1147="DI"),"IO","no")</f>
        <v>no</v>
      </c>
    </row>
    <row r="1148" spans="2:4" x14ac:dyDescent="0.25">
      <c r="B1148" s="22" t="s">
        <v>3293</v>
      </c>
      <c r="C1148" s="22" t="s">
        <v>3302</v>
      </c>
      <c r="D1148" t="str">
        <f>+IF(OR(IFERROR(FIND(".IO",Table2[[#This Row],[Sheet Location]],1)&gt;0,FALSE),B1148="DI"),"IO","no")</f>
        <v>no</v>
      </c>
    </row>
    <row r="1149" spans="2:4" x14ac:dyDescent="0.25">
      <c r="B1149" s="22" t="s">
        <v>3293</v>
      </c>
      <c r="C1149" s="22" t="s">
        <v>3303</v>
      </c>
      <c r="D1149" t="str">
        <f>+IF(OR(IFERROR(FIND(".IO",Table2[[#This Row],[Sheet Location]],1)&gt;0,FALSE),B1149="DI"),"IO","no")</f>
        <v>no</v>
      </c>
    </row>
    <row r="1150" spans="2:4" x14ac:dyDescent="0.25">
      <c r="B1150" s="22" t="s">
        <v>3293</v>
      </c>
      <c r="C1150" s="22" t="s">
        <v>3304</v>
      </c>
      <c r="D1150" t="str">
        <f>+IF(OR(IFERROR(FIND(".IO",Table2[[#This Row],[Sheet Location]],1)&gt;0,FALSE),B1150="DI"),"IO","no")</f>
        <v>no</v>
      </c>
    </row>
    <row r="1151" spans="2:4" x14ac:dyDescent="0.25">
      <c r="B1151" s="22" t="s">
        <v>2077</v>
      </c>
      <c r="C1151" s="22" t="s">
        <v>3305</v>
      </c>
      <c r="D1151" t="str">
        <f>+IF(OR(IFERROR(FIND(".IO",Table2[[#This Row],[Sheet Location]],1)&gt;0,FALSE),B1151="DI"),"IO","no")</f>
        <v>no</v>
      </c>
    </row>
    <row r="1152" spans="2:4" x14ac:dyDescent="0.25">
      <c r="B1152" s="22" t="s">
        <v>2077</v>
      </c>
      <c r="C1152" s="22" t="s">
        <v>3306</v>
      </c>
      <c r="D1152" t="str">
        <f>+IF(OR(IFERROR(FIND(".IO",Table2[[#This Row],[Sheet Location]],1)&gt;0,FALSE),B1152="DI"),"IO","no")</f>
        <v>no</v>
      </c>
    </row>
    <row r="1153" spans="2:4" x14ac:dyDescent="0.25">
      <c r="B1153" s="22" t="s">
        <v>2077</v>
      </c>
      <c r="C1153" s="22" t="s">
        <v>3307</v>
      </c>
      <c r="D1153" t="str">
        <f>+IF(OR(IFERROR(FIND(".IO",Table2[[#This Row],[Sheet Location]],1)&gt;0,FALSE),B1153="DI"),"IO","no")</f>
        <v>no</v>
      </c>
    </row>
    <row r="1154" spans="2:4" x14ac:dyDescent="0.25">
      <c r="B1154" s="22" t="s">
        <v>2077</v>
      </c>
      <c r="C1154" s="22" t="s">
        <v>3308</v>
      </c>
      <c r="D1154" t="str">
        <f>+IF(OR(IFERROR(FIND(".IO",Table2[[#This Row],[Sheet Location]],1)&gt;0,FALSE),B1154="DI"),"IO","no")</f>
        <v>no</v>
      </c>
    </row>
    <row r="1155" spans="2:4" x14ac:dyDescent="0.25">
      <c r="B1155" s="22" t="s">
        <v>2077</v>
      </c>
      <c r="C1155" s="22" t="s">
        <v>3309</v>
      </c>
      <c r="D1155" t="str">
        <f>+IF(OR(IFERROR(FIND(".IO",Table2[[#This Row],[Sheet Location]],1)&gt;0,FALSE),B1155="DI"),"IO","no")</f>
        <v>no</v>
      </c>
    </row>
    <row r="1156" spans="2:4" x14ac:dyDescent="0.25">
      <c r="B1156" s="22" t="s">
        <v>2077</v>
      </c>
      <c r="C1156" s="22" t="s">
        <v>3310</v>
      </c>
      <c r="D1156" t="str">
        <f>+IF(OR(IFERROR(FIND(".IO",Table2[[#This Row],[Sheet Location]],1)&gt;0,FALSE),B1156="DI"),"IO","no")</f>
        <v>no</v>
      </c>
    </row>
    <row r="1157" spans="2:4" x14ac:dyDescent="0.25">
      <c r="B1157" s="22" t="s">
        <v>2077</v>
      </c>
      <c r="C1157" s="22" t="s">
        <v>3311</v>
      </c>
      <c r="D1157" t="str">
        <f>+IF(OR(IFERROR(FIND(".IO",Table2[[#This Row],[Sheet Location]],1)&gt;0,FALSE),B1157="DI"),"IO","no")</f>
        <v>no</v>
      </c>
    </row>
    <row r="1158" spans="2:4" x14ac:dyDescent="0.25">
      <c r="B1158" s="22" t="s">
        <v>2077</v>
      </c>
      <c r="C1158" s="22" t="s">
        <v>3312</v>
      </c>
      <c r="D1158" t="str">
        <f>+IF(OR(IFERROR(FIND(".IO",Table2[[#This Row],[Sheet Location]],1)&gt;0,FALSE),B1158="DI"),"IO","no")</f>
        <v>no</v>
      </c>
    </row>
    <row r="1159" spans="2:4" x14ac:dyDescent="0.25">
      <c r="B1159" s="22" t="s">
        <v>2077</v>
      </c>
      <c r="C1159" s="22" t="s">
        <v>3313</v>
      </c>
      <c r="D1159" t="str">
        <f>+IF(OR(IFERROR(FIND(".IO",Table2[[#This Row],[Sheet Location]],1)&gt;0,FALSE),B1159="DI"),"IO","no")</f>
        <v>no</v>
      </c>
    </row>
    <row r="1160" spans="2:4" x14ac:dyDescent="0.25">
      <c r="B1160" s="22" t="s">
        <v>2077</v>
      </c>
      <c r="C1160" s="22" t="s">
        <v>3314</v>
      </c>
      <c r="D1160" t="str">
        <f>+IF(OR(IFERROR(FIND(".IO",Table2[[#This Row],[Sheet Location]],1)&gt;0,FALSE),B1160="DI"),"IO","no")</f>
        <v>no</v>
      </c>
    </row>
    <row r="1161" spans="2:4" x14ac:dyDescent="0.25">
      <c r="B1161" s="22" t="s">
        <v>2077</v>
      </c>
      <c r="C1161" s="22" t="s">
        <v>3315</v>
      </c>
      <c r="D1161" t="str">
        <f>+IF(OR(IFERROR(FIND(".IO",Table2[[#This Row],[Sheet Location]],1)&gt;0,FALSE),B1161="DI"),"IO","no")</f>
        <v>no</v>
      </c>
    </row>
    <row r="1162" spans="2:4" x14ac:dyDescent="0.25">
      <c r="B1162" s="22" t="s">
        <v>2077</v>
      </c>
      <c r="C1162" s="22" t="s">
        <v>3316</v>
      </c>
      <c r="D1162" t="str">
        <f>+IF(OR(IFERROR(FIND(".IO",Table2[[#This Row],[Sheet Location]],1)&gt;0,FALSE),B1162="DI"),"IO","no")</f>
        <v>no</v>
      </c>
    </row>
    <row r="1163" spans="2:4" x14ac:dyDescent="0.25">
      <c r="B1163" s="22" t="s">
        <v>2077</v>
      </c>
      <c r="C1163" s="22" t="s">
        <v>3317</v>
      </c>
      <c r="D1163" t="str">
        <f>+IF(OR(IFERROR(FIND(".IO",Table2[[#This Row],[Sheet Location]],1)&gt;0,FALSE),B1163="DI"),"IO","no")</f>
        <v>no</v>
      </c>
    </row>
    <row r="1164" spans="2:4" x14ac:dyDescent="0.25">
      <c r="B1164" s="22" t="s">
        <v>2077</v>
      </c>
      <c r="C1164" s="22" t="s">
        <v>3318</v>
      </c>
      <c r="D1164" t="str">
        <f>+IF(OR(IFERROR(FIND(".IO",Table2[[#This Row],[Sheet Location]],1)&gt;0,FALSE),B1164="DI"),"IO","no")</f>
        <v>no</v>
      </c>
    </row>
    <row r="1165" spans="2:4" x14ac:dyDescent="0.25">
      <c r="B1165" s="22" t="s">
        <v>3319</v>
      </c>
      <c r="C1165" s="22" t="s">
        <v>3320</v>
      </c>
      <c r="D1165" t="str">
        <f>+IF(OR(IFERROR(FIND(".IO",Table2[[#This Row],[Sheet Location]],1)&gt;0,FALSE),B1165="DI"),"IO","no")</f>
        <v>no</v>
      </c>
    </row>
    <row r="1166" spans="2:4" x14ac:dyDescent="0.25">
      <c r="B1166" s="22" t="s">
        <v>2090</v>
      </c>
      <c r="C1166" s="22" t="s">
        <v>3321</v>
      </c>
      <c r="D1166" t="str">
        <f>+IF(OR(IFERROR(FIND(".IO",Table2[[#This Row],[Sheet Location]],1)&gt;0,FALSE),B1166="DI"),"IO","no")</f>
        <v>no</v>
      </c>
    </row>
    <row r="1167" spans="2:4" x14ac:dyDescent="0.25">
      <c r="B1167" s="22" t="s">
        <v>2090</v>
      </c>
      <c r="C1167" s="22" t="s">
        <v>3322</v>
      </c>
      <c r="D1167" t="str">
        <f>+IF(OR(IFERROR(FIND(".IO",Table2[[#This Row],[Sheet Location]],1)&gt;0,FALSE),B1167="DI"),"IO","no")</f>
        <v>no</v>
      </c>
    </row>
    <row r="1168" spans="2:4" x14ac:dyDescent="0.25">
      <c r="B1168" s="22" t="s">
        <v>2090</v>
      </c>
      <c r="C1168" s="22" t="s">
        <v>3323</v>
      </c>
      <c r="D1168" t="str">
        <f>+IF(OR(IFERROR(FIND(".IO",Table2[[#This Row],[Sheet Location]],1)&gt;0,FALSE),B1168="DI"),"IO","no")</f>
        <v>no</v>
      </c>
    </row>
    <row r="1169" spans="2:4" x14ac:dyDescent="0.25">
      <c r="B1169" s="22" t="s">
        <v>2090</v>
      </c>
      <c r="C1169" s="22" t="s">
        <v>3324</v>
      </c>
      <c r="D1169" t="str">
        <f>+IF(OR(IFERROR(FIND(".IO",Table2[[#This Row],[Sheet Location]],1)&gt;0,FALSE),B1169="DI"),"IO","no")</f>
        <v>no</v>
      </c>
    </row>
    <row r="1170" spans="2:4" x14ac:dyDescent="0.25">
      <c r="B1170" s="22" t="s">
        <v>2090</v>
      </c>
      <c r="C1170" s="22" t="s">
        <v>3325</v>
      </c>
      <c r="D1170" t="str">
        <f>+IF(OR(IFERROR(FIND(".IO",Table2[[#This Row],[Sheet Location]],1)&gt;0,FALSE),B1170="DI"),"IO","no")</f>
        <v>no</v>
      </c>
    </row>
    <row r="1171" spans="2:4" x14ac:dyDescent="0.25">
      <c r="B1171" s="22" t="s">
        <v>2090</v>
      </c>
      <c r="C1171" s="22" t="s">
        <v>3326</v>
      </c>
      <c r="D1171" t="str">
        <f>+IF(OR(IFERROR(FIND(".IO",Table2[[#This Row],[Sheet Location]],1)&gt;0,FALSE),B1171="DI"),"IO","no")</f>
        <v>no</v>
      </c>
    </row>
    <row r="1172" spans="2:4" x14ac:dyDescent="0.25">
      <c r="B1172" s="22" t="s">
        <v>2090</v>
      </c>
      <c r="C1172" s="22" t="s">
        <v>3327</v>
      </c>
      <c r="D1172" t="str">
        <f>+IF(OR(IFERROR(FIND(".IO",Table2[[#This Row],[Sheet Location]],1)&gt;0,FALSE),B1172="DI"),"IO","no")</f>
        <v>no</v>
      </c>
    </row>
    <row r="1173" spans="2:4" x14ac:dyDescent="0.25">
      <c r="B1173" s="22" t="s">
        <v>3328</v>
      </c>
      <c r="C1173" s="22" t="s">
        <v>3329</v>
      </c>
      <c r="D1173" t="str">
        <f>+IF(OR(IFERROR(FIND(".IO",Table2[[#This Row],[Sheet Location]],1)&gt;0,FALSE),B1173="DI"),"IO","no")</f>
        <v>no</v>
      </c>
    </row>
    <row r="1174" spans="2:4" x14ac:dyDescent="0.25">
      <c r="B1174" s="22" t="s">
        <v>3328</v>
      </c>
      <c r="C1174" s="22" t="s">
        <v>3330</v>
      </c>
      <c r="D1174" t="str">
        <f>+IF(OR(IFERROR(FIND(".IO",Table2[[#This Row],[Sheet Location]],1)&gt;0,FALSE),B1174="DI"),"IO","no")</f>
        <v>no</v>
      </c>
    </row>
    <row r="1175" spans="2:4" x14ac:dyDescent="0.25">
      <c r="B1175" s="22" t="s">
        <v>3328</v>
      </c>
      <c r="C1175" s="22" t="s">
        <v>3331</v>
      </c>
      <c r="D1175" t="str">
        <f>+IF(OR(IFERROR(FIND(".IO",Table2[[#This Row],[Sheet Location]],1)&gt;0,FALSE),B1175="DI"),"IO","no")</f>
        <v>no</v>
      </c>
    </row>
    <row r="1176" spans="2:4" x14ac:dyDescent="0.25">
      <c r="B1176" s="22" t="s">
        <v>3328</v>
      </c>
      <c r="C1176" s="22" t="s">
        <v>3332</v>
      </c>
      <c r="D1176" t="str">
        <f>+IF(OR(IFERROR(FIND(".IO",Table2[[#This Row],[Sheet Location]],1)&gt;0,FALSE),B1176="DI"),"IO","no")</f>
        <v>no</v>
      </c>
    </row>
    <row r="1177" spans="2:4" x14ac:dyDescent="0.25">
      <c r="B1177" s="22" t="s">
        <v>3328</v>
      </c>
      <c r="C1177" s="22" t="s">
        <v>3333</v>
      </c>
      <c r="D1177" t="str">
        <f>+IF(OR(IFERROR(FIND(".IO",Table2[[#This Row],[Sheet Location]],1)&gt;0,FALSE),B1177="DI"),"IO","no")</f>
        <v>no</v>
      </c>
    </row>
    <row r="1178" spans="2:4" x14ac:dyDescent="0.25">
      <c r="B1178" s="22" t="s">
        <v>3328</v>
      </c>
      <c r="C1178" s="22" t="s">
        <v>3334</v>
      </c>
      <c r="D1178" t="str">
        <f>+IF(OR(IFERROR(FIND(".IO",Table2[[#This Row],[Sheet Location]],1)&gt;0,FALSE),B1178="DI"),"IO","no")</f>
        <v>no</v>
      </c>
    </row>
    <row r="1179" spans="2:4" x14ac:dyDescent="0.25">
      <c r="B1179" s="22" t="s">
        <v>3328</v>
      </c>
      <c r="C1179" s="22" t="s">
        <v>3335</v>
      </c>
      <c r="D1179" t="str">
        <f>+IF(OR(IFERROR(FIND(".IO",Table2[[#This Row],[Sheet Location]],1)&gt;0,FALSE),B1179="DI"),"IO","no")</f>
        <v>no</v>
      </c>
    </row>
    <row r="1180" spans="2:4" x14ac:dyDescent="0.25">
      <c r="B1180" s="22" t="s">
        <v>3328</v>
      </c>
      <c r="C1180" s="22" t="s">
        <v>3336</v>
      </c>
      <c r="D1180" t="str">
        <f>+IF(OR(IFERROR(FIND(".IO",Table2[[#This Row],[Sheet Location]],1)&gt;0,FALSE),B1180="DI"),"IO","no")</f>
        <v>no</v>
      </c>
    </row>
    <row r="1181" spans="2:4" x14ac:dyDescent="0.25">
      <c r="B1181" s="22" t="s">
        <v>3328</v>
      </c>
      <c r="C1181" s="22" t="s">
        <v>3337</v>
      </c>
      <c r="D1181" t="str">
        <f>+IF(OR(IFERROR(FIND(".IO",Table2[[#This Row],[Sheet Location]],1)&gt;0,FALSE),B1181="DI"),"IO","no")</f>
        <v>no</v>
      </c>
    </row>
    <row r="1182" spans="2:4" x14ac:dyDescent="0.25">
      <c r="B1182" s="22" t="s">
        <v>2092</v>
      </c>
      <c r="C1182" s="22" t="s">
        <v>3338</v>
      </c>
      <c r="D1182" t="str">
        <f>+IF(OR(IFERROR(FIND(".IO",Table2[[#This Row],[Sheet Location]],1)&gt;0,FALSE),B1182="DI"),"IO","no")</f>
        <v>no</v>
      </c>
    </row>
    <row r="1183" spans="2:4" x14ac:dyDescent="0.25">
      <c r="B1183" s="22" t="s">
        <v>2092</v>
      </c>
      <c r="C1183" s="22" t="s">
        <v>3339</v>
      </c>
      <c r="D1183" t="str">
        <f>+IF(OR(IFERROR(FIND(".IO",Table2[[#This Row],[Sheet Location]],1)&gt;0,FALSE),B1183="DI"),"IO","no")</f>
        <v>no</v>
      </c>
    </row>
    <row r="1184" spans="2:4" x14ac:dyDescent="0.25">
      <c r="B1184" s="22" t="s">
        <v>2092</v>
      </c>
      <c r="C1184" s="22" t="s">
        <v>3340</v>
      </c>
      <c r="D1184" t="str">
        <f>+IF(OR(IFERROR(FIND(".IO",Table2[[#This Row],[Sheet Location]],1)&gt;0,FALSE),B1184="DI"),"IO","no")</f>
        <v>no</v>
      </c>
    </row>
    <row r="1185" spans="2:4" x14ac:dyDescent="0.25">
      <c r="B1185" s="22" t="s">
        <v>2092</v>
      </c>
      <c r="C1185" s="22" t="s">
        <v>3341</v>
      </c>
      <c r="D1185" t="str">
        <f>+IF(OR(IFERROR(FIND(".IO",Table2[[#This Row],[Sheet Location]],1)&gt;0,FALSE),B1185="DI"),"IO","no")</f>
        <v>no</v>
      </c>
    </row>
    <row r="1186" spans="2:4" x14ac:dyDescent="0.25">
      <c r="B1186" s="22" t="s">
        <v>2092</v>
      </c>
      <c r="C1186" s="22" t="s">
        <v>3342</v>
      </c>
      <c r="D1186" t="str">
        <f>+IF(OR(IFERROR(FIND(".IO",Table2[[#This Row],[Sheet Location]],1)&gt;0,FALSE),B1186="DI"),"IO","no")</f>
        <v>no</v>
      </c>
    </row>
    <row r="1187" spans="2:4" x14ac:dyDescent="0.25">
      <c r="B1187" s="22" t="s">
        <v>2092</v>
      </c>
      <c r="C1187" s="22" t="s">
        <v>3343</v>
      </c>
      <c r="D1187" t="str">
        <f>+IF(OR(IFERROR(FIND(".IO",Table2[[#This Row],[Sheet Location]],1)&gt;0,FALSE),B1187="DI"),"IO","no")</f>
        <v>no</v>
      </c>
    </row>
    <row r="1188" spans="2:4" x14ac:dyDescent="0.25">
      <c r="B1188" s="22" t="s">
        <v>2092</v>
      </c>
      <c r="C1188" s="22" t="s">
        <v>3344</v>
      </c>
      <c r="D1188" t="str">
        <f>+IF(OR(IFERROR(FIND(".IO",Table2[[#This Row],[Sheet Location]],1)&gt;0,FALSE),B1188="DI"),"IO","no")</f>
        <v>no</v>
      </c>
    </row>
    <row r="1189" spans="2:4" x14ac:dyDescent="0.25">
      <c r="B1189" s="22" t="s">
        <v>2107</v>
      </c>
      <c r="C1189" s="22" t="s">
        <v>3345</v>
      </c>
      <c r="D1189" t="str">
        <f>+IF(OR(IFERROR(FIND(".IO",Table2[[#This Row],[Sheet Location]],1)&gt;0,FALSE),B1189="DI"),"IO","no")</f>
        <v>no</v>
      </c>
    </row>
    <row r="1190" spans="2:4" x14ac:dyDescent="0.25">
      <c r="B1190" s="22" t="s">
        <v>2107</v>
      </c>
      <c r="C1190" s="22" t="s">
        <v>3346</v>
      </c>
      <c r="D1190" t="str">
        <f>+IF(OR(IFERROR(FIND(".IO",Table2[[#This Row],[Sheet Location]],1)&gt;0,FALSE),B1190="DI"),"IO","no")</f>
        <v>no</v>
      </c>
    </row>
    <row r="1191" spans="2:4" x14ac:dyDescent="0.25">
      <c r="B1191" s="22" t="s">
        <v>2107</v>
      </c>
      <c r="C1191" s="22" t="s">
        <v>3347</v>
      </c>
      <c r="D1191" t="str">
        <f>+IF(OR(IFERROR(FIND(".IO",Table2[[#This Row],[Sheet Location]],1)&gt;0,FALSE),B1191="DI"),"IO","no")</f>
        <v>no</v>
      </c>
    </row>
    <row r="1192" spans="2:4" x14ac:dyDescent="0.25">
      <c r="B1192" s="22" t="s">
        <v>2107</v>
      </c>
      <c r="C1192" s="22" t="s">
        <v>3348</v>
      </c>
      <c r="D1192" t="str">
        <f>+IF(OR(IFERROR(FIND(".IO",Table2[[#This Row],[Sheet Location]],1)&gt;0,FALSE),B1192="DI"),"IO","no")</f>
        <v>no</v>
      </c>
    </row>
    <row r="1193" spans="2:4" x14ac:dyDescent="0.25">
      <c r="B1193" s="22" t="s">
        <v>2107</v>
      </c>
      <c r="C1193" s="22" t="s">
        <v>3349</v>
      </c>
      <c r="D1193" t="str">
        <f>+IF(OR(IFERROR(FIND(".IO",Table2[[#This Row],[Sheet Location]],1)&gt;0,FALSE),B1193="DI"),"IO","no")</f>
        <v>no</v>
      </c>
    </row>
    <row r="1194" spans="2:4" x14ac:dyDescent="0.25">
      <c r="B1194" s="22" t="s">
        <v>2107</v>
      </c>
      <c r="C1194" s="22" t="s">
        <v>3350</v>
      </c>
      <c r="D1194" t="str">
        <f>+IF(OR(IFERROR(FIND(".IO",Table2[[#This Row],[Sheet Location]],1)&gt;0,FALSE),B1194="DI"),"IO","no")</f>
        <v>no</v>
      </c>
    </row>
    <row r="1195" spans="2:4" x14ac:dyDescent="0.25">
      <c r="B1195" s="22" t="s">
        <v>3351</v>
      </c>
      <c r="C1195" s="22" t="s">
        <v>3352</v>
      </c>
      <c r="D1195" t="str">
        <f>+IF(OR(IFERROR(FIND(".IO",Table2[[#This Row],[Sheet Location]],1)&gt;0,FALSE),B1195="DI"),"IO","no")</f>
        <v>no</v>
      </c>
    </row>
    <row r="1196" spans="2:4" x14ac:dyDescent="0.25">
      <c r="B1196" s="22" t="s">
        <v>3351</v>
      </c>
      <c r="C1196" s="22" t="s">
        <v>3353</v>
      </c>
      <c r="D1196" t="str">
        <f>+IF(OR(IFERROR(FIND(".IO",Table2[[#This Row],[Sheet Location]],1)&gt;0,FALSE),B1196="DI"),"IO","no")</f>
        <v>no</v>
      </c>
    </row>
    <row r="1197" spans="2:4" x14ac:dyDescent="0.25">
      <c r="B1197" s="22" t="s">
        <v>3351</v>
      </c>
      <c r="C1197" s="22" t="s">
        <v>3354</v>
      </c>
      <c r="D1197" t="str">
        <f>+IF(OR(IFERROR(FIND(".IO",Table2[[#This Row],[Sheet Location]],1)&gt;0,FALSE),B1197="DI"),"IO","no")</f>
        <v>no</v>
      </c>
    </row>
    <row r="1198" spans="2:4" x14ac:dyDescent="0.25">
      <c r="B1198" s="22" t="s">
        <v>3351</v>
      </c>
      <c r="C1198" s="22" t="s">
        <v>3355</v>
      </c>
      <c r="D1198" t="str">
        <f>+IF(OR(IFERROR(FIND(".IO",Table2[[#This Row],[Sheet Location]],1)&gt;0,FALSE),B1198="DI"),"IO","no")</f>
        <v>no</v>
      </c>
    </row>
    <row r="1199" spans="2:4" x14ac:dyDescent="0.25">
      <c r="B1199" s="22" t="s">
        <v>3351</v>
      </c>
      <c r="C1199" s="22" t="s">
        <v>3356</v>
      </c>
      <c r="D1199" t="str">
        <f>+IF(OR(IFERROR(FIND(".IO",Table2[[#This Row],[Sheet Location]],1)&gt;0,FALSE),B1199="DI"),"IO","no")</f>
        <v>no</v>
      </c>
    </row>
    <row r="1200" spans="2:4" x14ac:dyDescent="0.25">
      <c r="B1200" s="22" t="s">
        <v>3351</v>
      </c>
      <c r="C1200" s="22" t="s">
        <v>3357</v>
      </c>
      <c r="D1200" t="str">
        <f>+IF(OR(IFERROR(FIND(".IO",Table2[[#This Row],[Sheet Location]],1)&gt;0,FALSE),B1200="DI"),"IO","no")</f>
        <v>no</v>
      </c>
    </row>
    <row r="1201" spans="2:4" x14ac:dyDescent="0.25">
      <c r="B1201" s="22" t="s">
        <v>3351</v>
      </c>
      <c r="C1201" s="22" t="s">
        <v>3358</v>
      </c>
      <c r="D1201" t="str">
        <f>+IF(OR(IFERROR(FIND(".IO",Table2[[#This Row],[Sheet Location]],1)&gt;0,FALSE),B1201="DI"),"IO","no")</f>
        <v>no</v>
      </c>
    </row>
    <row r="1202" spans="2:4" x14ac:dyDescent="0.25">
      <c r="B1202" s="22" t="s">
        <v>3351</v>
      </c>
      <c r="C1202" s="22" t="s">
        <v>3359</v>
      </c>
      <c r="D1202" t="str">
        <f>+IF(OR(IFERROR(FIND(".IO",Table2[[#This Row],[Sheet Location]],1)&gt;0,FALSE),B1202="DI"),"IO","no")</f>
        <v>no</v>
      </c>
    </row>
    <row r="1203" spans="2:4" x14ac:dyDescent="0.25">
      <c r="B1203" s="22" t="s">
        <v>3351</v>
      </c>
      <c r="C1203" s="22" t="s">
        <v>3360</v>
      </c>
      <c r="D1203" t="str">
        <f>+IF(OR(IFERROR(FIND(".IO",Table2[[#This Row],[Sheet Location]],1)&gt;0,FALSE),B1203="DI"),"IO","no")</f>
        <v>no</v>
      </c>
    </row>
    <row r="1204" spans="2:4" x14ac:dyDescent="0.25">
      <c r="B1204" s="22" t="s">
        <v>2109</v>
      </c>
      <c r="C1204" s="22" t="s">
        <v>3361</v>
      </c>
      <c r="D1204" t="str">
        <f>+IF(OR(IFERROR(FIND(".IO",Table2[[#This Row],[Sheet Location]],1)&gt;0,FALSE),B1204="DI"),"IO","no")</f>
        <v>no</v>
      </c>
    </row>
    <row r="1205" spans="2:4" x14ac:dyDescent="0.25">
      <c r="B1205" s="22" t="s">
        <v>2109</v>
      </c>
      <c r="C1205" s="22" t="s">
        <v>3362</v>
      </c>
      <c r="D1205" t="str">
        <f>+IF(OR(IFERROR(FIND(".IO",Table2[[#This Row],[Sheet Location]],1)&gt;0,FALSE),B1205="DI"),"IO","no")</f>
        <v>no</v>
      </c>
    </row>
    <row r="1206" spans="2:4" x14ac:dyDescent="0.25">
      <c r="B1206" s="22" t="s">
        <v>2109</v>
      </c>
      <c r="C1206" s="22" t="s">
        <v>3363</v>
      </c>
      <c r="D1206" t="str">
        <f>+IF(OR(IFERROR(FIND(".IO",Table2[[#This Row],[Sheet Location]],1)&gt;0,FALSE),B1206="DI"),"IO","no")</f>
        <v>no</v>
      </c>
    </row>
    <row r="1207" spans="2:4" x14ac:dyDescent="0.25">
      <c r="B1207" s="22" t="s">
        <v>2109</v>
      </c>
      <c r="C1207" s="22" t="s">
        <v>3364</v>
      </c>
      <c r="D1207" t="str">
        <f>+IF(OR(IFERROR(FIND(".IO",Table2[[#This Row],[Sheet Location]],1)&gt;0,FALSE),B1207="DI"),"IO","no")</f>
        <v>no</v>
      </c>
    </row>
    <row r="1208" spans="2:4" x14ac:dyDescent="0.25">
      <c r="B1208" s="22" t="s">
        <v>2109</v>
      </c>
      <c r="C1208" s="22" t="s">
        <v>3365</v>
      </c>
      <c r="D1208" t="str">
        <f>+IF(OR(IFERROR(FIND(".IO",Table2[[#This Row],[Sheet Location]],1)&gt;0,FALSE),B1208="DI"),"IO","no")</f>
        <v>no</v>
      </c>
    </row>
    <row r="1209" spans="2:4" x14ac:dyDescent="0.25">
      <c r="B1209" s="22" t="s">
        <v>2109</v>
      </c>
      <c r="C1209" s="22" t="s">
        <v>3366</v>
      </c>
      <c r="D1209" t="str">
        <f>+IF(OR(IFERROR(FIND(".IO",Table2[[#This Row],[Sheet Location]],1)&gt;0,FALSE),B1209="DI"),"IO","no")</f>
        <v>no</v>
      </c>
    </row>
    <row r="1210" spans="2:4" x14ac:dyDescent="0.25">
      <c r="B1210" s="22" t="s">
        <v>2111</v>
      </c>
      <c r="C1210" s="22" t="s">
        <v>3367</v>
      </c>
      <c r="D1210" t="str">
        <f>+IF(OR(IFERROR(FIND(".IO",Table2[[#This Row],[Sheet Location]],1)&gt;0,FALSE),B1210="DI"),"IO","no")</f>
        <v>no</v>
      </c>
    </row>
    <row r="1211" spans="2:4" x14ac:dyDescent="0.25">
      <c r="B1211" s="22" t="s">
        <v>2111</v>
      </c>
      <c r="C1211" s="22" t="s">
        <v>3368</v>
      </c>
      <c r="D1211" t="str">
        <f>+IF(OR(IFERROR(FIND(".IO",Table2[[#This Row],[Sheet Location]],1)&gt;0,FALSE),B1211="DI"),"IO","no")</f>
        <v>no</v>
      </c>
    </row>
    <row r="1212" spans="2:4" x14ac:dyDescent="0.25">
      <c r="B1212" s="22" t="s">
        <v>2111</v>
      </c>
      <c r="C1212" s="22" t="s">
        <v>3369</v>
      </c>
      <c r="D1212" t="str">
        <f>+IF(OR(IFERROR(FIND(".IO",Table2[[#This Row],[Sheet Location]],1)&gt;0,FALSE),B1212="DI"),"IO","no")</f>
        <v>no</v>
      </c>
    </row>
    <row r="1213" spans="2:4" x14ac:dyDescent="0.25">
      <c r="B1213" s="22" t="s">
        <v>2111</v>
      </c>
      <c r="C1213" s="22" t="s">
        <v>3370</v>
      </c>
      <c r="D1213" t="str">
        <f>+IF(OR(IFERROR(FIND(".IO",Table2[[#This Row],[Sheet Location]],1)&gt;0,FALSE),B1213="DI"),"IO","no")</f>
        <v>no</v>
      </c>
    </row>
    <row r="1214" spans="2:4" x14ac:dyDescent="0.25">
      <c r="B1214" s="22" t="s">
        <v>2111</v>
      </c>
      <c r="C1214" s="22" t="s">
        <v>3371</v>
      </c>
      <c r="D1214" t="str">
        <f>+IF(OR(IFERROR(FIND(".IO",Table2[[#This Row],[Sheet Location]],1)&gt;0,FALSE),B1214="DI"),"IO","no")</f>
        <v>no</v>
      </c>
    </row>
    <row r="1215" spans="2:4" x14ac:dyDescent="0.25">
      <c r="B1215" s="22" t="s">
        <v>2111</v>
      </c>
      <c r="C1215" s="22" t="s">
        <v>3372</v>
      </c>
      <c r="D1215" t="str">
        <f>+IF(OR(IFERROR(FIND(".IO",Table2[[#This Row],[Sheet Location]],1)&gt;0,FALSE),B1215="DI"),"IO","no")</f>
        <v>no</v>
      </c>
    </row>
    <row r="1216" spans="2:4" x14ac:dyDescent="0.25">
      <c r="B1216" s="22" t="s">
        <v>2113</v>
      </c>
      <c r="C1216" s="22" t="s">
        <v>3373</v>
      </c>
      <c r="D1216" t="str">
        <f>+IF(OR(IFERROR(FIND(".IO",Table2[[#This Row],[Sheet Location]],1)&gt;0,FALSE),B1216="DI"),"IO","no")</f>
        <v>no</v>
      </c>
    </row>
    <row r="1217" spans="2:4" x14ac:dyDescent="0.25">
      <c r="B1217" s="22" t="s">
        <v>2113</v>
      </c>
      <c r="C1217" s="22" t="s">
        <v>3374</v>
      </c>
      <c r="D1217" t="str">
        <f>+IF(OR(IFERROR(FIND(".IO",Table2[[#This Row],[Sheet Location]],1)&gt;0,FALSE),B1217="DI"),"IO","no")</f>
        <v>no</v>
      </c>
    </row>
    <row r="1218" spans="2:4" x14ac:dyDescent="0.25">
      <c r="B1218" s="22" t="s">
        <v>2113</v>
      </c>
      <c r="C1218" s="22" t="s">
        <v>3375</v>
      </c>
      <c r="D1218" t="str">
        <f>+IF(OR(IFERROR(FIND(".IO",Table2[[#This Row],[Sheet Location]],1)&gt;0,FALSE),B1218="DI"),"IO","no")</f>
        <v>no</v>
      </c>
    </row>
    <row r="1219" spans="2:4" x14ac:dyDescent="0.25">
      <c r="B1219" s="22" t="s">
        <v>2113</v>
      </c>
      <c r="C1219" s="22" t="s">
        <v>3376</v>
      </c>
      <c r="D1219" t="str">
        <f>+IF(OR(IFERROR(FIND(".IO",Table2[[#This Row],[Sheet Location]],1)&gt;0,FALSE),B1219="DI"),"IO","no")</f>
        <v>no</v>
      </c>
    </row>
    <row r="1220" spans="2:4" x14ac:dyDescent="0.25">
      <c r="B1220" s="22" t="s">
        <v>2113</v>
      </c>
      <c r="C1220" s="22" t="s">
        <v>3377</v>
      </c>
      <c r="D1220" t="str">
        <f>+IF(OR(IFERROR(FIND(".IO",Table2[[#This Row],[Sheet Location]],1)&gt;0,FALSE),B1220="DI"),"IO","no")</f>
        <v>no</v>
      </c>
    </row>
    <row r="1221" spans="2:4" x14ac:dyDescent="0.25">
      <c r="B1221" s="22" t="s">
        <v>2113</v>
      </c>
      <c r="C1221" s="22" t="s">
        <v>3378</v>
      </c>
      <c r="D1221" t="str">
        <f>+IF(OR(IFERROR(FIND(".IO",Table2[[#This Row],[Sheet Location]],1)&gt;0,FALSE),B1221="DI"),"IO","no")</f>
        <v>no</v>
      </c>
    </row>
    <row r="1222" spans="2:4" x14ac:dyDescent="0.25">
      <c r="B1222" s="22" t="s">
        <v>2113</v>
      </c>
      <c r="C1222" s="22" t="s">
        <v>3379</v>
      </c>
      <c r="D1222" t="str">
        <f>+IF(OR(IFERROR(FIND(".IO",Table2[[#This Row],[Sheet Location]],1)&gt;0,FALSE),B1222="DI"),"IO","no")</f>
        <v>no</v>
      </c>
    </row>
    <row r="1223" spans="2:4" x14ac:dyDescent="0.25">
      <c r="B1223" s="22" t="s">
        <v>2128</v>
      </c>
      <c r="C1223" s="22" t="s">
        <v>3380</v>
      </c>
      <c r="D1223" t="str">
        <f>+IF(OR(IFERROR(FIND(".IO",Table2[[#This Row],[Sheet Location]],1)&gt;0,FALSE),B1223="DI"),"IO","no")</f>
        <v>no</v>
      </c>
    </row>
    <row r="1224" spans="2:4" x14ac:dyDescent="0.25">
      <c r="B1224" s="22" t="s">
        <v>2128</v>
      </c>
      <c r="C1224" s="22" t="s">
        <v>3381</v>
      </c>
      <c r="D1224" t="str">
        <f>+IF(OR(IFERROR(FIND(".IO",Table2[[#This Row],[Sheet Location]],1)&gt;0,FALSE),B1224="DI"),"IO","no")</f>
        <v>no</v>
      </c>
    </row>
    <row r="1225" spans="2:4" x14ac:dyDescent="0.25">
      <c r="B1225" s="22" t="s">
        <v>2128</v>
      </c>
      <c r="C1225" s="22" t="s">
        <v>3382</v>
      </c>
      <c r="D1225" t="str">
        <f>+IF(OR(IFERROR(FIND(".IO",Table2[[#This Row],[Sheet Location]],1)&gt;0,FALSE),B1225="DI"),"IO","no")</f>
        <v>no</v>
      </c>
    </row>
    <row r="1226" spans="2:4" x14ac:dyDescent="0.25">
      <c r="B1226" s="22" t="s">
        <v>2128</v>
      </c>
      <c r="C1226" s="22" t="s">
        <v>3383</v>
      </c>
      <c r="D1226" t="str">
        <f>+IF(OR(IFERROR(FIND(".IO",Table2[[#This Row],[Sheet Location]],1)&gt;0,FALSE),B1226="DI"),"IO","no")</f>
        <v>no</v>
      </c>
    </row>
    <row r="1227" spans="2:4" x14ac:dyDescent="0.25">
      <c r="B1227" s="22" t="s">
        <v>2128</v>
      </c>
      <c r="C1227" s="22" t="s">
        <v>3384</v>
      </c>
      <c r="D1227" t="str">
        <f>+IF(OR(IFERROR(FIND(".IO",Table2[[#This Row],[Sheet Location]],1)&gt;0,FALSE),B1227="DI"),"IO","no")</f>
        <v>no</v>
      </c>
    </row>
    <row r="1228" spans="2:4" x14ac:dyDescent="0.25">
      <c r="B1228" s="22" t="s">
        <v>2128</v>
      </c>
      <c r="C1228" s="22" t="s">
        <v>3385</v>
      </c>
      <c r="D1228" t="str">
        <f>+IF(OR(IFERROR(FIND(".IO",Table2[[#This Row],[Sheet Location]],1)&gt;0,FALSE),B1228="DI"),"IO","no")</f>
        <v>no</v>
      </c>
    </row>
    <row r="1229" spans="2:4" x14ac:dyDescent="0.25">
      <c r="B1229" s="22" t="s">
        <v>2130</v>
      </c>
      <c r="C1229" s="22" t="s">
        <v>3386</v>
      </c>
      <c r="D1229" t="str">
        <f>+IF(OR(IFERROR(FIND(".IO",Table2[[#This Row],[Sheet Location]],1)&gt;0,FALSE),B1229="DI"),"IO","no")</f>
        <v>no</v>
      </c>
    </row>
    <row r="1230" spans="2:4" x14ac:dyDescent="0.25">
      <c r="B1230" s="22" t="s">
        <v>2130</v>
      </c>
      <c r="C1230" s="22" t="s">
        <v>3387</v>
      </c>
      <c r="D1230" t="str">
        <f>+IF(OR(IFERROR(FIND(".IO",Table2[[#This Row],[Sheet Location]],1)&gt;0,FALSE),B1230="DI"),"IO","no")</f>
        <v>no</v>
      </c>
    </row>
    <row r="1231" spans="2:4" x14ac:dyDescent="0.25">
      <c r="B1231" s="22" t="s">
        <v>2130</v>
      </c>
      <c r="C1231" s="22" t="s">
        <v>3388</v>
      </c>
      <c r="D1231" t="str">
        <f>+IF(OR(IFERROR(FIND(".IO",Table2[[#This Row],[Sheet Location]],1)&gt;0,FALSE),B1231="DI"),"IO","no")</f>
        <v>no</v>
      </c>
    </row>
    <row r="1232" spans="2:4" x14ac:dyDescent="0.25">
      <c r="B1232" s="22" t="s">
        <v>2130</v>
      </c>
      <c r="C1232" s="22" t="s">
        <v>3389</v>
      </c>
      <c r="D1232" t="str">
        <f>+IF(OR(IFERROR(FIND(".IO",Table2[[#This Row],[Sheet Location]],1)&gt;0,FALSE),B1232="DI"),"IO","no")</f>
        <v>no</v>
      </c>
    </row>
    <row r="1233" spans="2:4" x14ac:dyDescent="0.25">
      <c r="B1233" s="22" t="s">
        <v>2130</v>
      </c>
      <c r="C1233" s="22" t="s">
        <v>3390</v>
      </c>
      <c r="D1233" t="str">
        <f>+IF(OR(IFERROR(FIND(".IO",Table2[[#This Row],[Sheet Location]],1)&gt;0,FALSE),B1233="DI"),"IO","no")</f>
        <v>no</v>
      </c>
    </row>
    <row r="1234" spans="2:4" x14ac:dyDescent="0.25">
      <c r="B1234" s="22" t="s">
        <v>2130</v>
      </c>
      <c r="C1234" s="22" t="s">
        <v>3391</v>
      </c>
      <c r="D1234" t="str">
        <f>+IF(OR(IFERROR(FIND(".IO",Table2[[#This Row],[Sheet Location]],1)&gt;0,FALSE),B1234="DI"),"IO","no")</f>
        <v>no</v>
      </c>
    </row>
    <row r="1235" spans="2:4" x14ac:dyDescent="0.25">
      <c r="B1235" s="22" t="s">
        <v>3392</v>
      </c>
      <c r="C1235" s="22" t="s">
        <v>3393</v>
      </c>
      <c r="D1235" t="str">
        <f>+IF(OR(IFERROR(FIND(".IO",Table2[[#This Row],[Sheet Location]],1)&gt;0,FALSE),B1235="DI"),"IO","no")</f>
        <v>no</v>
      </c>
    </row>
    <row r="1236" spans="2:4" x14ac:dyDescent="0.25">
      <c r="B1236" s="22" t="s">
        <v>3392</v>
      </c>
      <c r="C1236" s="22" t="s">
        <v>3394</v>
      </c>
      <c r="D1236" t="str">
        <f>+IF(OR(IFERROR(FIND(".IO",Table2[[#This Row],[Sheet Location]],1)&gt;0,FALSE),B1236="DI"),"IO","no")</f>
        <v>no</v>
      </c>
    </row>
    <row r="1237" spans="2:4" x14ac:dyDescent="0.25">
      <c r="B1237" s="22" t="s">
        <v>3392</v>
      </c>
      <c r="C1237" s="22" t="s">
        <v>3395</v>
      </c>
      <c r="D1237" t="str">
        <f>+IF(OR(IFERROR(FIND(".IO",Table2[[#This Row],[Sheet Location]],1)&gt;0,FALSE),B1237="DI"),"IO","no")</f>
        <v>no</v>
      </c>
    </row>
    <row r="1238" spans="2:4" x14ac:dyDescent="0.25">
      <c r="B1238" s="22" t="s">
        <v>3392</v>
      </c>
      <c r="C1238" s="22" t="s">
        <v>3396</v>
      </c>
      <c r="D1238" t="str">
        <f>+IF(OR(IFERROR(FIND(".IO",Table2[[#This Row],[Sheet Location]],1)&gt;0,FALSE),B1238="DI"),"IO","no")</f>
        <v>no</v>
      </c>
    </row>
    <row r="1239" spans="2:4" x14ac:dyDescent="0.25">
      <c r="B1239" s="22" t="s">
        <v>3392</v>
      </c>
      <c r="C1239" s="22" t="s">
        <v>3397</v>
      </c>
      <c r="D1239" t="str">
        <f>+IF(OR(IFERROR(FIND(".IO",Table2[[#This Row],[Sheet Location]],1)&gt;0,FALSE),B1239="DI"),"IO","no")</f>
        <v>no</v>
      </c>
    </row>
    <row r="1240" spans="2:4" x14ac:dyDescent="0.25">
      <c r="B1240" s="22" t="s">
        <v>3392</v>
      </c>
      <c r="C1240" s="22" t="s">
        <v>3398</v>
      </c>
      <c r="D1240" t="str">
        <f>+IF(OR(IFERROR(FIND(".IO",Table2[[#This Row],[Sheet Location]],1)&gt;0,FALSE),B1240="DI"),"IO","no")</f>
        <v>no</v>
      </c>
    </row>
    <row r="1241" spans="2:4" x14ac:dyDescent="0.25">
      <c r="B1241" s="22" t="s">
        <v>3392</v>
      </c>
      <c r="C1241" s="22" t="s">
        <v>3399</v>
      </c>
      <c r="D1241" t="str">
        <f>+IF(OR(IFERROR(FIND(".IO",Table2[[#This Row],[Sheet Location]],1)&gt;0,FALSE),B1241="DI"),"IO","no")</f>
        <v>no</v>
      </c>
    </row>
    <row r="1242" spans="2:4" x14ac:dyDescent="0.25">
      <c r="B1242" s="22" t="s">
        <v>3392</v>
      </c>
      <c r="C1242" s="22" t="s">
        <v>3400</v>
      </c>
      <c r="D1242" t="str">
        <f>+IF(OR(IFERROR(FIND(".IO",Table2[[#This Row],[Sheet Location]],1)&gt;0,FALSE),B1242="DI"),"IO","no")</f>
        <v>no</v>
      </c>
    </row>
    <row r="1243" spans="2:4" x14ac:dyDescent="0.25">
      <c r="B1243" s="22" t="s">
        <v>2132</v>
      </c>
      <c r="C1243" s="22" t="s">
        <v>3401</v>
      </c>
      <c r="D1243" t="str">
        <f>+IF(OR(IFERROR(FIND(".IO",Table2[[#This Row],[Sheet Location]],1)&gt;0,FALSE),B1243="DI"),"IO","no")</f>
        <v>no</v>
      </c>
    </row>
    <row r="1244" spans="2:4" x14ac:dyDescent="0.25">
      <c r="B1244" s="22" t="s">
        <v>2132</v>
      </c>
      <c r="C1244" s="22" t="s">
        <v>3402</v>
      </c>
      <c r="D1244" t="str">
        <f>+IF(OR(IFERROR(FIND(".IO",Table2[[#This Row],[Sheet Location]],1)&gt;0,FALSE),B1244="DI"),"IO","no")</f>
        <v>no</v>
      </c>
    </row>
    <row r="1245" spans="2:4" x14ac:dyDescent="0.25">
      <c r="B1245" s="22" t="s">
        <v>2132</v>
      </c>
      <c r="C1245" s="22" t="s">
        <v>3403</v>
      </c>
      <c r="D1245" t="str">
        <f>+IF(OR(IFERROR(FIND(".IO",Table2[[#This Row],[Sheet Location]],1)&gt;0,FALSE),B1245="DI"),"IO","no")</f>
        <v>no</v>
      </c>
    </row>
    <row r="1246" spans="2:4" x14ac:dyDescent="0.25">
      <c r="B1246" s="22" t="s">
        <v>2132</v>
      </c>
      <c r="C1246" s="22" t="s">
        <v>3404</v>
      </c>
      <c r="D1246" t="str">
        <f>+IF(OR(IFERROR(FIND(".IO",Table2[[#This Row],[Sheet Location]],1)&gt;0,FALSE),B1246="DI"),"IO","no")</f>
        <v>no</v>
      </c>
    </row>
    <row r="1247" spans="2:4" x14ac:dyDescent="0.25">
      <c r="B1247" s="22" t="s">
        <v>2132</v>
      </c>
      <c r="C1247" s="22" t="s">
        <v>3405</v>
      </c>
      <c r="D1247" t="str">
        <f>+IF(OR(IFERROR(FIND(".IO",Table2[[#This Row],[Sheet Location]],1)&gt;0,FALSE),B1247="DI"),"IO","no")</f>
        <v>no</v>
      </c>
    </row>
    <row r="1248" spans="2:4" x14ac:dyDescent="0.25">
      <c r="B1248" s="22" t="s">
        <v>2132</v>
      </c>
      <c r="C1248" s="22" t="s">
        <v>3406</v>
      </c>
      <c r="D1248" t="str">
        <f>+IF(OR(IFERROR(FIND(".IO",Table2[[#This Row],[Sheet Location]],1)&gt;0,FALSE),B1248="DI"),"IO","no")</f>
        <v>no</v>
      </c>
    </row>
    <row r="1249" spans="2:4" x14ac:dyDescent="0.25">
      <c r="B1249" s="22" t="s">
        <v>2132</v>
      </c>
      <c r="C1249" s="22" t="s">
        <v>3407</v>
      </c>
      <c r="D1249" t="str">
        <f>+IF(OR(IFERROR(FIND(".IO",Table2[[#This Row],[Sheet Location]],1)&gt;0,FALSE),B1249="DI"),"IO","no")</f>
        <v>no</v>
      </c>
    </row>
    <row r="1250" spans="2:4" x14ac:dyDescent="0.25">
      <c r="B1250" s="22" t="s">
        <v>2134</v>
      </c>
      <c r="C1250" s="22" t="s">
        <v>3408</v>
      </c>
      <c r="D1250" t="str">
        <f>+IF(OR(IFERROR(FIND(".IO",Table2[[#This Row],[Sheet Location]],1)&gt;0,FALSE),B1250="DI"),"IO","no")</f>
        <v>no</v>
      </c>
    </row>
    <row r="1251" spans="2:4" x14ac:dyDescent="0.25">
      <c r="B1251" s="22" t="s">
        <v>2134</v>
      </c>
      <c r="C1251" s="22" t="s">
        <v>3409</v>
      </c>
      <c r="D1251" t="str">
        <f>+IF(OR(IFERROR(FIND(".IO",Table2[[#This Row],[Sheet Location]],1)&gt;0,FALSE),B1251="DI"),"IO","no")</f>
        <v>no</v>
      </c>
    </row>
    <row r="1252" spans="2:4" x14ac:dyDescent="0.25">
      <c r="B1252" s="22" t="s">
        <v>2134</v>
      </c>
      <c r="C1252" s="22" t="s">
        <v>3410</v>
      </c>
      <c r="D1252" t="str">
        <f>+IF(OR(IFERROR(FIND(".IO",Table2[[#This Row],[Sheet Location]],1)&gt;0,FALSE),B1252="DI"),"IO","no")</f>
        <v>no</v>
      </c>
    </row>
    <row r="1253" spans="2:4" x14ac:dyDescent="0.25">
      <c r="B1253" s="22" t="s">
        <v>2134</v>
      </c>
      <c r="C1253" s="22" t="s">
        <v>3411</v>
      </c>
      <c r="D1253" t="str">
        <f>+IF(OR(IFERROR(FIND(".IO",Table2[[#This Row],[Sheet Location]],1)&gt;0,FALSE),B1253="DI"),"IO","no")</f>
        <v>no</v>
      </c>
    </row>
    <row r="1254" spans="2:4" x14ac:dyDescent="0.25">
      <c r="B1254" s="22" t="s">
        <v>2134</v>
      </c>
      <c r="C1254" s="22" t="s">
        <v>3412</v>
      </c>
      <c r="D1254" t="str">
        <f>+IF(OR(IFERROR(FIND(".IO",Table2[[#This Row],[Sheet Location]],1)&gt;0,FALSE),B1254="DI"),"IO","no")</f>
        <v>no</v>
      </c>
    </row>
    <row r="1255" spans="2:4" x14ac:dyDescent="0.25">
      <c r="B1255" s="22" t="s">
        <v>2134</v>
      </c>
      <c r="C1255" s="22" t="s">
        <v>3413</v>
      </c>
      <c r="D1255" t="str">
        <f>+IF(OR(IFERROR(FIND(".IO",Table2[[#This Row],[Sheet Location]],1)&gt;0,FALSE),B1255="DI"),"IO","no")</f>
        <v>no</v>
      </c>
    </row>
    <row r="1256" spans="2:4" x14ac:dyDescent="0.25">
      <c r="B1256" s="22" t="s">
        <v>2134</v>
      </c>
      <c r="C1256" s="22" t="s">
        <v>3414</v>
      </c>
      <c r="D1256" t="str">
        <f>+IF(OR(IFERROR(FIND(".IO",Table2[[#This Row],[Sheet Location]],1)&gt;0,FALSE),B1256="DI"),"IO","no")</f>
        <v>no</v>
      </c>
    </row>
    <row r="1257" spans="2:4" x14ac:dyDescent="0.25">
      <c r="B1257" s="22" t="s">
        <v>2134</v>
      </c>
      <c r="C1257" s="22" t="s">
        <v>3415</v>
      </c>
      <c r="D1257" t="str">
        <f>+IF(OR(IFERROR(FIND(".IO",Table2[[#This Row],[Sheet Location]],1)&gt;0,FALSE),B1257="DI"),"IO","no")</f>
        <v>no</v>
      </c>
    </row>
    <row r="1258" spans="2:4" x14ac:dyDescent="0.25">
      <c r="B1258" s="22" t="s">
        <v>2134</v>
      </c>
      <c r="C1258" s="22" t="s">
        <v>3416</v>
      </c>
      <c r="D1258" t="str">
        <f>+IF(OR(IFERROR(FIND(".IO",Table2[[#This Row],[Sheet Location]],1)&gt;0,FALSE),B1258="DI"),"IO","no")</f>
        <v>no</v>
      </c>
    </row>
    <row r="1259" spans="2:4" x14ac:dyDescent="0.25">
      <c r="B1259" s="22" t="s">
        <v>2134</v>
      </c>
      <c r="C1259" s="22" t="s">
        <v>3417</v>
      </c>
      <c r="D1259" t="str">
        <f>+IF(OR(IFERROR(FIND(".IO",Table2[[#This Row],[Sheet Location]],1)&gt;0,FALSE),B1259="DI"),"IO","no")</f>
        <v>no</v>
      </c>
    </row>
    <row r="1260" spans="2:4" x14ac:dyDescent="0.25">
      <c r="B1260" s="22" t="s">
        <v>2134</v>
      </c>
      <c r="C1260" s="22" t="s">
        <v>3418</v>
      </c>
      <c r="D1260" t="str">
        <f>+IF(OR(IFERROR(FIND(".IO",Table2[[#This Row],[Sheet Location]],1)&gt;0,FALSE),B1260="DI"),"IO","no")</f>
        <v>no</v>
      </c>
    </row>
    <row r="1261" spans="2:4" x14ac:dyDescent="0.25">
      <c r="B1261" s="22" t="s">
        <v>2134</v>
      </c>
      <c r="C1261" s="22" t="s">
        <v>3419</v>
      </c>
      <c r="D1261" t="str">
        <f>+IF(OR(IFERROR(FIND(".IO",Table2[[#This Row],[Sheet Location]],1)&gt;0,FALSE),B1261="DI"),"IO","no")</f>
        <v>no</v>
      </c>
    </row>
    <row r="1262" spans="2:4" x14ac:dyDescent="0.25">
      <c r="B1262" s="22" t="s">
        <v>2134</v>
      </c>
      <c r="C1262" s="22" t="s">
        <v>3420</v>
      </c>
      <c r="D1262" t="str">
        <f>+IF(OR(IFERROR(FIND(".IO",Table2[[#This Row],[Sheet Location]],1)&gt;0,FALSE),B1262="DI"),"IO","no")</f>
        <v>no</v>
      </c>
    </row>
    <row r="1263" spans="2:4" x14ac:dyDescent="0.25">
      <c r="B1263" s="22" t="s">
        <v>3421</v>
      </c>
      <c r="C1263" s="22" t="s">
        <v>3422</v>
      </c>
      <c r="D1263" t="str">
        <f>+IF(OR(IFERROR(FIND(".IO",Table2[[#This Row],[Sheet Location]],1)&gt;0,FALSE),B1263="DI"),"IO","no")</f>
        <v>no</v>
      </c>
    </row>
    <row r="1264" spans="2:4" x14ac:dyDescent="0.25">
      <c r="B1264" s="22" t="s">
        <v>3421</v>
      </c>
      <c r="C1264" s="22" t="s">
        <v>3423</v>
      </c>
      <c r="D1264" t="str">
        <f>+IF(OR(IFERROR(FIND(".IO",Table2[[#This Row],[Sheet Location]],1)&gt;0,FALSE),B1264="DI"),"IO","no")</f>
        <v>no</v>
      </c>
    </row>
    <row r="1265" spans="2:4" x14ac:dyDescent="0.25">
      <c r="B1265" s="22" t="s">
        <v>3421</v>
      </c>
      <c r="C1265" s="22" t="s">
        <v>3424</v>
      </c>
      <c r="D1265" t="str">
        <f>+IF(OR(IFERROR(FIND(".IO",Table2[[#This Row],[Sheet Location]],1)&gt;0,FALSE),B1265="DI"),"IO","no")</f>
        <v>no</v>
      </c>
    </row>
    <row r="1266" spans="2:4" x14ac:dyDescent="0.25">
      <c r="B1266" s="22" t="s">
        <v>3421</v>
      </c>
      <c r="C1266" s="22" t="s">
        <v>3425</v>
      </c>
      <c r="D1266" t="str">
        <f>+IF(OR(IFERROR(FIND(".IO",Table2[[#This Row],[Sheet Location]],1)&gt;0,FALSE),B1266="DI"),"IO","no")</f>
        <v>no</v>
      </c>
    </row>
    <row r="1267" spans="2:4" x14ac:dyDescent="0.25">
      <c r="B1267" s="22" t="s">
        <v>3421</v>
      </c>
      <c r="C1267" s="22" t="s">
        <v>3426</v>
      </c>
      <c r="D1267" t="str">
        <f>+IF(OR(IFERROR(FIND(".IO",Table2[[#This Row],[Sheet Location]],1)&gt;0,FALSE),B1267="DI"),"IO","no")</f>
        <v>no</v>
      </c>
    </row>
    <row r="1268" spans="2:4" x14ac:dyDescent="0.25">
      <c r="B1268" s="22" t="s">
        <v>3421</v>
      </c>
      <c r="C1268" s="22" t="s">
        <v>3427</v>
      </c>
      <c r="D1268" t="str">
        <f>+IF(OR(IFERROR(FIND(".IO",Table2[[#This Row],[Sheet Location]],1)&gt;0,FALSE),B1268="DI"),"IO","no")</f>
        <v>no</v>
      </c>
    </row>
    <row r="1269" spans="2:4" x14ac:dyDescent="0.25">
      <c r="B1269" s="22" t="s">
        <v>3421</v>
      </c>
      <c r="C1269" s="22" t="s">
        <v>3428</v>
      </c>
      <c r="D1269" t="str">
        <f>+IF(OR(IFERROR(FIND(".IO",Table2[[#This Row],[Sheet Location]],1)&gt;0,FALSE),B1269="DI"),"IO","no")</f>
        <v>no</v>
      </c>
    </row>
    <row r="1270" spans="2:4" x14ac:dyDescent="0.25">
      <c r="B1270" s="22" t="s">
        <v>3421</v>
      </c>
      <c r="C1270" s="22" t="s">
        <v>3429</v>
      </c>
      <c r="D1270" t="str">
        <f>+IF(OR(IFERROR(FIND(".IO",Table2[[#This Row],[Sheet Location]],1)&gt;0,FALSE),B1270="DI"),"IO","no")</f>
        <v>no</v>
      </c>
    </row>
    <row r="1271" spans="2:4" x14ac:dyDescent="0.25">
      <c r="B1271" s="22" t="s">
        <v>3421</v>
      </c>
      <c r="C1271" s="22" t="s">
        <v>3430</v>
      </c>
      <c r="D1271" t="str">
        <f>+IF(OR(IFERROR(FIND(".IO",Table2[[#This Row],[Sheet Location]],1)&gt;0,FALSE),B1271="DI"),"IO","no")</f>
        <v>no</v>
      </c>
    </row>
    <row r="1272" spans="2:4" x14ac:dyDescent="0.25">
      <c r="B1272" s="22" t="s">
        <v>3431</v>
      </c>
      <c r="C1272" s="22" t="s">
        <v>3432</v>
      </c>
      <c r="D1272" t="str">
        <f>+IF(OR(IFERROR(FIND(".IO",Table2[[#This Row],[Sheet Location]],1)&gt;0,FALSE),B1272="DI"),"IO","no")</f>
        <v>no</v>
      </c>
    </row>
    <row r="1273" spans="2:4" x14ac:dyDescent="0.25">
      <c r="B1273" s="22" t="s">
        <v>3431</v>
      </c>
      <c r="C1273" s="22" t="s">
        <v>3433</v>
      </c>
      <c r="D1273" t="str">
        <f>+IF(OR(IFERROR(FIND(".IO",Table2[[#This Row],[Sheet Location]],1)&gt;0,FALSE),B1273="DI"),"IO","no")</f>
        <v>no</v>
      </c>
    </row>
    <row r="1274" spans="2:4" x14ac:dyDescent="0.25">
      <c r="B1274" s="22" t="s">
        <v>3431</v>
      </c>
      <c r="C1274" s="22" t="s">
        <v>3434</v>
      </c>
      <c r="D1274" t="str">
        <f>+IF(OR(IFERROR(FIND(".IO",Table2[[#This Row],[Sheet Location]],1)&gt;0,FALSE),B1274="DI"),"IO","no")</f>
        <v>no</v>
      </c>
    </row>
    <row r="1275" spans="2:4" x14ac:dyDescent="0.25">
      <c r="B1275" s="22" t="s">
        <v>3431</v>
      </c>
      <c r="C1275" s="22" t="s">
        <v>3435</v>
      </c>
      <c r="D1275" t="str">
        <f>+IF(OR(IFERROR(FIND(".IO",Table2[[#This Row],[Sheet Location]],1)&gt;0,FALSE),B1275="DI"),"IO","no")</f>
        <v>no</v>
      </c>
    </row>
    <row r="1276" spans="2:4" x14ac:dyDescent="0.25">
      <c r="B1276" s="22" t="s">
        <v>3431</v>
      </c>
      <c r="C1276" s="22" t="s">
        <v>3436</v>
      </c>
      <c r="D1276" t="str">
        <f>+IF(OR(IFERROR(FIND(".IO",Table2[[#This Row],[Sheet Location]],1)&gt;0,FALSE),B1276="DI"),"IO","no")</f>
        <v>no</v>
      </c>
    </row>
    <row r="1277" spans="2:4" x14ac:dyDescent="0.25">
      <c r="B1277" s="22" t="s">
        <v>3431</v>
      </c>
      <c r="C1277" s="22" t="s">
        <v>3437</v>
      </c>
      <c r="D1277" t="str">
        <f>+IF(OR(IFERROR(FIND(".IO",Table2[[#This Row],[Sheet Location]],1)&gt;0,FALSE),B1277="DI"),"IO","no")</f>
        <v>no</v>
      </c>
    </row>
    <row r="1278" spans="2:4" x14ac:dyDescent="0.25">
      <c r="B1278" s="22" t="s">
        <v>3438</v>
      </c>
      <c r="C1278" s="22" t="s">
        <v>3439</v>
      </c>
      <c r="D1278" t="str">
        <f>+IF(OR(IFERROR(FIND(".IO",Table2[[#This Row],[Sheet Location]],1)&gt;0,FALSE),B1278="DI"),"IO","no")</f>
        <v>no</v>
      </c>
    </row>
    <row r="1279" spans="2:4" x14ac:dyDescent="0.25">
      <c r="B1279" s="22" t="s">
        <v>3438</v>
      </c>
      <c r="C1279" s="22" t="s">
        <v>3440</v>
      </c>
      <c r="D1279" t="str">
        <f>+IF(OR(IFERROR(FIND(".IO",Table2[[#This Row],[Sheet Location]],1)&gt;0,FALSE),B1279="DI"),"IO","no")</f>
        <v>no</v>
      </c>
    </row>
    <row r="1280" spans="2:4" x14ac:dyDescent="0.25">
      <c r="B1280" s="22" t="s">
        <v>3438</v>
      </c>
      <c r="C1280" s="22" t="s">
        <v>3441</v>
      </c>
      <c r="D1280" t="str">
        <f>+IF(OR(IFERROR(FIND(".IO",Table2[[#This Row],[Sheet Location]],1)&gt;0,FALSE),B1280="DI"),"IO","no")</f>
        <v>no</v>
      </c>
    </row>
    <row r="1281" spans="2:4" x14ac:dyDescent="0.25">
      <c r="B1281" s="22" t="s">
        <v>3438</v>
      </c>
      <c r="C1281" s="22" t="s">
        <v>3442</v>
      </c>
      <c r="D1281" t="str">
        <f>+IF(OR(IFERROR(FIND(".IO",Table2[[#This Row],[Sheet Location]],1)&gt;0,FALSE),B1281="DI"),"IO","no")</f>
        <v>no</v>
      </c>
    </row>
    <row r="1282" spans="2:4" x14ac:dyDescent="0.25">
      <c r="B1282" s="22" t="s">
        <v>3438</v>
      </c>
      <c r="C1282" s="22" t="s">
        <v>3443</v>
      </c>
      <c r="D1282" t="str">
        <f>+IF(OR(IFERROR(FIND(".IO",Table2[[#This Row],[Sheet Location]],1)&gt;0,FALSE),B1282="DI"),"IO","no")</f>
        <v>no</v>
      </c>
    </row>
    <row r="1283" spans="2:4" x14ac:dyDescent="0.25">
      <c r="B1283" s="22" t="s">
        <v>3438</v>
      </c>
      <c r="C1283" s="22" t="s">
        <v>3444</v>
      </c>
      <c r="D1283" t="str">
        <f>+IF(OR(IFERROR(FIND(".IO",Table2[[#This Row],[Sheet Location]],1)&gt;0,FALSE),B1283="DI"),"IO","no")</f>
        <v>no</v>
      </c>
    </row>
    <row r="1284" spans="2:4" x14ac:dyDescent="0.25">
      <c r="B1284" s="22" t="s">
        <v>3438</v>
      </c>
      <c r="C1284" s="22" t="s">
        <v>3445</v>
      </c>
      <c r="D1284" t="str">
        <f>+IF(OR(IFERROR(FIND(".IO",Table2[[#This Row],[Sheet Location]],1)&gt;0,FALSE),B1284="DI"),"IO","no")</f>
        <v>no</v>
      </c>
    </row>
    <row r="1285" spans="2:4" x14ac:dyDescent="0.25">
      <c r="B1285" s="22" t="s">
        <v>3438</v>
      </c>
      <c r="C1285" s="22" t="s">
        <v>3446</v>
      </c>
      <c r="D1285" t="str">
        <f>+IF(OR(IFERROR(FIND(".IO",Table2[[#This Row],[Sheet Location]],1)&gt;0,FALSE),B1285="DI"),"IO","no")</f>
        <v>no</v>
      </c>
    </row>
    <row r="1286" spans="2:4" x14ac:dyDescent="0.25">
      <c r="B1286" s="22" t="s">
        <v>3438</v>
      </c>
      <c r="C1286" s="22" t="s">
        <v>3447</v>
      </c>
      <c r="D1286" t="str">
        <f>+IF(OR(IFERROR(FIND(".IO",Table2[[#This Row],[Sheet Location]],1)&gt;0,FALSE),B1286="DI"),"IO","no")</f>
        <v>no</v>
      </c>
    </row>
    <row r="1287" spans="2:4" x14ac:dyDescent="0.25">
      <c r="B1287" s="22" t="s">
        <v>3438</v>
      </c>
      <c r="C1287" s="22" t="s">
        <v>3448</v>
      </c>
      <c r="D1287" t="str">
        <f>+IF(OR(IFERROR(FIND(".IO",Table2[[#This Row],[Sheet Location]],1)&gt;0,FALSE),B1287="DI"),"IO","no")</f>
        <v>no</v>
      </c>
    </row>
    <row r="1288" spans="2:4" x14ac:dyDescent="0.25">
      <c r="B1288" s="22" t="s">
        <v>3438</v>
      </c>
      <c r="C1288" s="22" t="s">
        <v>3449</v>
      </c>
      <c r="D1288" t="str">
        <f>+IF(OR(IFERROR(FIND(".IO",Table2[[#This Row],[Sheet Location]],1)&gt;0,FALSE),B1288="DI"),"IO","no")</f>
        <v>no</v>
      </c>
    </row>
    <row r="1289" spans="2:4" x14ac:dyDescent="0.25">
      <c r="B1289" s="22" t="s">
        <v>2058</v>
      </c>
      <c r="C1289" s="22" t="s">
        <v>3450</v>
      </c>
      <c r="D1289" t="str">
        <f>+IF(OR(IFERROR(FIND(".IO",Table2[[#This Row],[Sheet Location]],1)&gt;0,FALSE),B1289="DI"),"IO","no")</f>
        <v>no</v>
      </c>
    </row>
    <row r="1290" spans="2:4" x14ac:dyDescent="0.25">
      <c r="B1290" s="22" t="s">
        <v>2058</v>
      </c>
      <c r="C1290" s="22" t="s">
        <v>3451</v>
      </c>
      <c r="D1290" t="str">
        <f>+IF(OR(IFERROR(FIND(".IO",Table2[[#This Row],[Sheet Location]],1)&gt;0,FALSE),B1290="DI"),"IO","no")</f>
        <v>no</v>
      </c>
    </row>
    <row r="1291" spans="2:4" x14ac:dyDescent="0.25">
      <c r="B1291" s="22" t="s">
        <v>2058</v>
      </c>
      <c r="C1291" s="22" t="s">
        <v>3452</v>
      </c>
      <c r="D1291" t="str">
        <f>+IF(OR(IFERROR(FIND(".IO",Table2[[#This Row],[Sheet Location]],1)&gt;0,FALSE),B1291="DI"),"IO","no")</f>
        <v>no</v>
      </c>
    </row>
    <row r="1292" spans="2:4" x14ac:dyDescent="0.25">
      <c r="B1292" s="22" t="s">
        <v>2058</v>
      </c>
      <c r="C1292" s="22" t="s">
        <v>3453</v>
      </c>
      <c r="D1292" t="str">
        <f>+IF(OR(IFERROR(FIND(".IO",Table2[[#This Row],[Sheet Location]],1)&gt;0,FALSE),B1292="DI"),"IO","no")</f>
        <v>no</v>
      </c>
    </row>
    <row r="1293" spans="2:4" x14ac:dyDescent="0.25">
      <c r="B1293" s="22" t="s">
        <v>2058</v>
      </c>
      <c r="C1293" s="22" t="s">
        <v>3454</v>
      </c>
      <c r="D1293" t="str">
        <f>+IF(OR(IFERROR(FIND(".IO",Table2[[#This Row],[Sheet Location]],1)&gt;0,FALSE),B1293="DI"),"IO","no")</f>
        <v>no</v>
      </c>
    </row>
    <row r="1294" spans="2:4" x14ac:dyDescent="0.25">
      <c r="B1294" s="22" t="s">
        <v>2058</v>
      </c>
      <c r="C1294" s="22" t="s">
        <v>3455</v>
      </c>
      <c r="D1294" t="str">
        <f>+IF(OR(IFERROR(FIND(".IO",Table2[[#This Row],[Sheet Location]],1)&gt;0,FALSE),B1294="DI"),"IO","no")</f>
        <v>no</v>
      </c>
    </row>
    <row r="1295" spans="2:4" x14ac:dyDescent="0.25">
      <c r="B1295" s="22" t="s">
        <v>2058</v>
      </c>
      <c r="C1295" s="22" t="s">
        <v>3456</v>
      </c>
      <c r="D1295" t="str">
        <f>+IF(OR(IFERROR(FIND(".IO",Table2[[#This Row],[Sheet Location]],1)&gt;0,FALSE),B1295="DI"),"IO","no")</f>
        <v>no</v>
      </c>
    </row>
    <row r="1296" spans="2:4" x14ac:dyDescent="0.25">
      <c r="B1296" s="22" t="s">
        <v>2058</v>
      </c>
      <c r="C1296" s="22" t="s">
        <v>3457</v>
      </c>
      <c r="D1296" t="str">
        <f>+IF(OR(IFERROR(FIND(".IO",Table2[[#This Row],[Sheet Location]],1)&gt;0,FALSE),B1296="DI"),"IO","no")</f>
        <v>no</v>
      </c>
    </row>
    <row r="1297" spans="2:4" x14ac:dyDescent="0.25">
      <c r="B1297" s="22" t="s">
        <v>2058</v>
      </c>
      <c r="C1297" s="22" t="s">
        <v>3458</v>
      </c>
      <c r="D1297" t="str">
        <f>+IF(OR(IFERROR(FIND(".IO",Table2[[#This Row],[Sheet Location]],1)&gt;0,FALSE),B1297="DI"),"IO","no")</f>
        <v>no</v>
      </c>
    </row>
    <row r="1298" spans="2:4" x14ac:dyDescent="0.25">
      <c r="B1298" s="22" t="s">
        <v>2058</v>
      </c>
      <c r="C1298" s="22" t="s">
        <v>3459</v>
      </c>
      <c r="D1298" t="str">
        <f>+IF(OR(IFERROR(FIND(".IO",Table2[[#This Row],[Sheet Location]],1)&gt;0,FALSE),B1298="DI"),"IO","no")</f>
        <v>no</v>
      </c>
    </row>
    <row r="1299" spans="2:4" x14ac:dyDescent="0.25">
      <c r="B1299" s="22" t="s">
        <v>2058</v>
      </c>
      <c r="C1299" s="22" t="s">
        <v>3460</v>
      </c>
      <c r="D1299" t="str">
        <f>+IF(OR(IFERROR(FIND(".IO",Table2[[#This Row],[Sheet Location]],1)&gt;0,FALSE),B1299="DI"),"IO","no")</f>
        <v>no</v>
      </c>
    </row>
    <row r="1300" spans="2:4" x14ac:dyDescent="0.25">
      <c r="B1300" s="22" t="s">
        <v>2058</v>
      </c>
      <c r="C1300" s="22" t="s">
        <v>3461</v>
      </c>
      <c r="D1300" t="str">
        <f>+IF(OR(IFERROR(FIND(".IO",Table2[[#This Row],[Sheet Location]],1)&gt;0,FALSE),B1300="DI"),"IO","no")</f>
        <v>no</v>
      </c>
    </row>
    <row r="1301" spans="2:4" x14ac:dyDescent="0.25">
      <c r="B1301" s="22" t="s">
        <v>2058</v>
      </c>
      <c r="C1301" s="22" t="s">
        <v>3462</v>
      </c>
      <c r="D1301" t="str">
        <f>+IF(OR(IFERROR(FIND(".IO",Table2[[#This Row],[Sheet Location]],1)&gt;0,FALSE),B1301="DI"),"IO","no")</f>
        <v>no</v>
      </c>
    </row>
    <row r="1302" spans="2:4" x14ac:dyDescent="0.25">
      <c r="B1302" s="22" t="s">
        <v>2058</v>
      </c>
      <c r="C1302" s="22" t="s">
        <v>3463</v>
      </c>
      <c r="D1302" t="str">
        <f>+IF(OR(IFERROR(FIND(".IO",Table2[[#This Row],[Sheet Location]],1)&gt;0,FALSE),B1302="DI"),"IO","no")</f>
        <v>no</v>
      </c>
    </row>
    <row r="1303" spans="2:4" x14ac:dyDescent="0.25">
      <c r="B1303" s="22" t="s">
        <v>2058</v>
      </c>
      <c r="C1303" s="22" t="s">
        <v>3464</v>
      </c>
      <c r="D1303" t="str">
        <f>+IF(OR(IFERROR(FIND(".IO",Table2[[#This Row],[Sheet Location]],1)&gt;0,FALSE),B1303="DI"),"IO","no")</f>
        <v>no</v>
      </c>
    </row>
    <row r="1304" spans="2:4" x14ac:dyDescent="0.25">
      <c r="B1304" s="22" t="s">
        <v>2058</v>
      </c>
      <c r="C1304" s="22" t="s">
        <v>3465</v>
      </c>
      <c r="D1304" t="str">
        <f>+IF(OR(IFERROR(FIND(".IO",Table2[[#This Row],[Sheet Location]],1)&gt;0,FALSE),B1304="DI"),"IO","no")</f>
        <v>no</v>
      </c>
    </row>
    <row r="1305" spans="2:4" x14ac:dyDescent="0.25">
      <c r="B1305" s="22" t="s">
        <v>2058</v>
      </c>
      <c r="C1305" s="22" t="s">
        <v>3466</v>
      </c>
      <c r="D1305" t="str">
        <f>+IF(OR(IFERROR(FIND(".IO",Table2[[#This Row],[Sheet Location]],1)&gt;0,FALSE),B1305="DI"),"IO","no")</f>
        <v>no</v>
      </c>
    </row>
    <row r="1306" spans="2:4" x14ac:dyDescent="0.25">
      <c r="B1306" s="22" t="s">
        <v>2058</v>
      </c>
      <c r="C1306" s="22" t="s">
        <v>3467</v>
      </c>
      <c r="D1306" t="str">
        <f>+IF(OR(IFERROR(FIND(".IO",Table2[[#This Row],[Sheet Location]],1)&gt;0,FALSE),B1306="DI"),"IO","no")</f>
        <v>no</v>
      </c>
    </row>
    <row r="1307" spans="2:4" x14ac:dyDescent="0.25">
      <c r="B1307" s="22" t="s">
        <v>2058</v>
      </c>
      <c r="C1307" s="22" t="s">
        <v>3468</v>
      </c>
      <c r="D1307" t="str">
        <f>+IF(OR(IFERROR(FIND(".IO",Table2[[#This Row],[Sheet Location]],1)&gt;0,FALSE),B1307="DI"),"IO","no")</f>
        <v>no</v>
      </c>
    </row>
    <row r="1308" spans="2:4" x14ac:dyDescent="0.25">
      <c r="B1308" s="22" t="s">
        <v>2119</v>
      </c>
      <c r="C1308" s="22" t="s">
        <v>3469</v>
      </c>
      <c r="D1308" t="str">
        <f>+IF(OR(IFERROR(FIND(".IO",Table2[[#This Row],[Sheet Location]],1)&gt;0,FALSE),B1308="DI"),"IO","no")</f>
        <v>no</v>
      </c>
    </row>
    <row r="1309" spans="2:4" x14ac:dyDescent="0.25">
      <c r="B1309" s="22" t="s">
        <v>2119</v>
      </c>
      <c r="C1309" s="22" t="s">
        <v>3470</v>
      </c>
      <c r="D1309" t="str">
        <f>+IF(OR(IFERROR(FIND(".IO",Table2[[#This Row],[Sheet Location]],1)&gt;0,FALSE),B1309="DI"),"IO","no")</f>
        <v>no</v>
      </c>
    </row>
    <row r="1310" spans="2:4" x14ac:dyDescent="0.25">
      <c r="B1310" s="22" t="s">
        <v>2119</v>
      </c>
      <c r="C1310" s="22" t="s">
        <v>3471</v>
      </c>
      <c r="D1310" t="str">
        <f>+IF(OR(IFERROR(FIND(".IO",Table2[[#This Row],[Sheet Location]],1)&gt;0,FALSE),B1310="DI"),"IO","no")</f>
        <v>no</v>
      </c>
    </row>
    <row r="1311" spans="2:4" x14ac:dyDescent="0.25">
      <c r="B1311" s="22" t="s">
        <v>2119</v>
      </c>
      <c r="C1311" s="22" t="s">
        <v>3472</v>
      </c>
      <c r="D1311" t="str">
        <f>+IF(OR(IFERROR(FIND(".IO",Table2[[#This Row],[Sheet Location]],1)&gt;0,FALSE),B1311="DI"),"IO","no")</f>
        <v>no</v>
      </c>
    </row>
    <row r="1312" spans="2:4" x14ac:dyDescent="0.25">
      <c r="B1312" s="22" t="s">
        <v>2119</v>
      </c>
      <c r="C1312" s="22" t="s">
        <v>3473</v>
      </c>
      <c r="D1312" t="str">
        <f>+IF(OR(IFERROR(FIND(".IO",Table2[[#This Row],[Sheet Location]],1)&gt;0,FALSE),B1312="DI"),"IO","no")</f>
        <v>no</v>
      </c>
    </row>
    <row r="1313" spans="2:4" x14ac:dyDescent="0.25">
      <c r="B1313" s="22" t="s">
        <v>2119</v>
      </c>
      <c r="C1313" s="22" t="s">
        <v>3474</v>
      </c>
      <c r="D1313" t="str">
        <f>+IF(OR(IFERROR(FIND(".IO",Table2[[#This Row],[Sheet Location]],1)&gt;0,FALSE),B1313="DI"),"IO","no")</f>
        <v>no</v>
      </c>
    </row>
    <row r="1314" spans="2:4" x14ac:dyDescent="0.25">
      <c r="B1314" s="22" t="s">
        <v>2119</v>
      </c>
      <c r="C1314" s="22" t="s">
        <v>3475</v>
      </c>
      <c r="D1314" t="str">
        <f>+IF(OR(IFERROR(FIND(".IO",Table2[[#This Row],[Sheet Location]],1)&gt;0,FALSE),B1314="DI"),"IO","no")</f>
        <v>no</v>
      </c>
    </row>
    <row r="1315" spans="2:4" x14ac:dyDescent="0.25">
      <c r="B1315" s="22" t="s">
        <v>2119</v>
      </c>
      <c r="C1315" s="22" t="s">
        <v>3476</v>
      </c>
      <c r="D1315" t="str">
        <f>+IF(OR(IFERROR(FIND(".IO",Table2[[#This Row],[Sheet Location]],1)&gt;0,FALSE),B1315="DI"),"IO","no")</f>
        <v>no</v>
      </c>
    </row>
    <row r="1316" spans="2:4" x14ac:dyDescent="0.25">
      <c r="B1316" s="22" t="s">
        <v>2119</v>
      </c>
      <c r="C1316" s="22" t="s">
        <v>3477</v>
      </c>
      <c r="D1316" t="str">
        <f>+IF(OR(IFERROR(FIND(".IO",Table2[[#This Row],[Sheet Location]],1)&gt;0,FALSE),B1316="DI"),"IO","no")</f>
        <v>no</v>
      </c>
    </row>
    <row r="1317" spans="2:4" x14ac:dyDescent="0.25">
      <c r="B1317" s="22" t="s">
        <v>2119</v>
      </c>
      <c r="C1317" s="22" t="s">
        <v>3478</v>
      </c>
      <c r="D1317" t="str">
        <f>+IF(OR(IFERROR(FIND(".IO",Table2[[#This Row],[Sheet Location]],1)&gt;0,FALSE),B1317="DI"),"IO","no")</f>
        <v>no</v>
      </c>
    </row>
    <row r="1318" spans="2:4" x14ac:dyDescent="0.25">
      <c r="B1318" s="22" t="s">
        <v>2119</v>
      </c>
      <c r="C1318" s="22" t="s">
        <v>3479</v>
      </c>
      <c r="D1318" t="str">
        <f>+IF(OR(IFERROR(FIND(".IO",Table2[[#This Row],[Sheet Location]],1)&gt;0,FALSE),B1318="DI"),"IO","no")</f>
        <v>no</v>
      </c>
    </row>
    <row r="1319" spans="2:4" x14ac:dyDescent="0.25">
      <c r="B1319" s="22" t="s">
        <v>2119</v>
      </c>
      <c r="C1319" s="22" t="s">
        <v>3480</v>
      </c>
      <c r="D1319" t="str">
        <f>+IF(OR(IFERROR(FIND(".IO",Table2[[#This Row],[Sheet Location]],1)&gt;0,FALSE),B1319="DI"),"IO","no")</f>
        <v>no</v>
      </c>
    </row>
    <row r="1320" spans="2:4" x14ac:dyDescent="0.25">
      <c r="B1320" s="22" t="s">
        <v>3481</v>
      </c>
      <c r="C1320" s="22" t="s">
        <v>3482</v>
      </c>
      <c r="D1320" t="str">
        <f>+IF(OR(IFERROR(FIND(".IO",Table2[[#This Row],[Sheet Location]],1)&gt;0,FALSE),B1320="DI"),"IO","no")</f>
        <v>no</v>
      </c>
    </row>
    <row r="1321" spans="2:4" x14ac:dyDescent="0.25">
      <c r="B1321" s="22" t="s">
        <v>3481</v>
      </c>
      <c r="C1321" s="22" t="s">
        <v>3483</v>
      </c>
      <c r="D1321" t="str">
        <f>+IF(OR(IFERROR(FIND(".IO",Table2[[#This Row],[Sheet Location]],1)&gt;0,FALSE),B1321="DI"),"IO","no")</f>
        <v>no</v>
      </c>
    </row>
    <row r="1322" spans="2:4" x14ac:dyDescent="0.25">
      <c r="B1322" s="22" t="s">
        <v>3481</v>
      </c>
      <c r="C1322" s="22" t="s">
        <v>3484</v>
      </c>
      <c r="D1322" t="str">
        <f>+IF(OR(IFERROR(FIND(".IO",Table2[[#This Row],[Sheet Location]],1)&gt;0,FALSE),B1322="DI"),"IO","no")</f>
        <v>no</v>
      </c>
    </row>
    <row r="1323" spans="2:4" x14ac:dyDescent="0.25">
      <c r="B1323" s="22" t="s">
        <v>3485</v>
      </c>
      <c r="C1323" s="22" t="s">
        <v>3486</v>
      </c>
      <c r="D1323" t="str">
        <f>+IF(OR(IFERROR(FIND(".IO",Table2[[#This Row],[Sheet Location]],1)&gt;0,FALSE),B1323="DI"),"IO","no")</f>
        <v>no</v>
      </c>
    </row>
    <row r="1324" spans="2:4" x14ac:dyDescent="0.25">
      <c r="B1324" s="22" t="s">
        <v>3485</v>
      </c>
      <c r="C1324" s="22" t="s">
        <v>3487</v>
      </c>
      <c r="D1324" t="str">
        <f>+IF(OR(IFERROR(FIND(".IO",Table2[[#This Row],[Sheet Location]],1)&gt;0,FALSE),B1324="DI"),"IO","no")</f>
        <v>no</v>
      </c>
    </row>
    <row r="1325" spans="2:4" x14ac:dyDescent="0.25">
      <c r="B1325" s="22" t="s">
        <v>3485</v>
      </c>
      <c r="C1325" s="22" t="s">
        <v>3488</v>
      </c>
      <c r="D1325" t="str">
        <f>+IF(OR(IFERROR(FIND(".IO",Table2[[#This Row],[Sheet Location]],1)&gt;0,FALSE),B1325="DI"),"IO","no")</f>
        <v>no</v>
      </c>
    </row>
    <row r="1326" spans="2:4" x14ac:dyDescent="0.25">
      <c r="B1326" s="22" t="s">
        <v>3485</v>
      </c>
      <c r="C1326" s="22" t="s">
        <v>3489</v>
      </c>
      <c r="D1326" t="str">
        <f>+IF(OR(IFERROR(FIND(".IO",Table2[[#This Row],[Sheet Location]],1)&gt;0,FALSE),B1326="DI"),"IO","no")</f>
        <v>no</v>
      </c>
    </row>
    <row r="1327" spans="2:4" x14ac:dyDescent="0.25">
      <c r="B1327" s="22" t="s">
        <v>3485</v>
      </c>
      <c r="C1327" s="22" t="s">
        <v>3490</v>
      </c>
      <c r="D1327" t="str">
        <f>+IF(OR(IFERROR(FIND(".IO",Table2[[#This Row],[Sheet Location]],1)&gt;0,FALSE),B1327="DI"),"IO","no")</f>
        <v>no</v>
      </c>
    </row>
    <row r="1328" spans="2:4" x14ac:dyDescent="0.25">
      <c r="B1328" s="22" t="s">
        <v>2122</v>
      </c>
      <c r="C1328" s="22" t="s">
        <v>3491</v>
      </c>
      <c r="D1328" t="str">
        <f>+IF(OR(IFERROR(FIND(".IO",Table2[[#This Row],[Sheet Location]],1)&gt;0,FALSE),B1328="DI"),"IO","no")</f>
        <v>no</v>
      </c>
    </row>
    <row r="1329" spans="2:4" x14ac:dyDescent="0.25">
      <c r="B1329" s="22" t="s">
        <v>2122</v>
      </c>
      <c r="C1329" s="22" t="s">
        <v>3492</v>
      </c>
      <c r="D1329" t="str">
        <f>+IF(OR(IFERROR(FIND(".IO",Table2[[#This Row],[Sheet Location]],1)&gt;0,FALSE),B1329="DI"),"IO","no")</f>
        <v>no</v>
      </c>
    </row>
    <row r="1330" spans="2:4" x14ac:dyDescent="0.25">
      <c r="B1330" s="22" t="s">
        <v>2122</v>
      </c>
      <c r="C1330" s="22" t="s">
        <v>3493</v>
      </c>
      <c r="D1330" t="str">
        <f>+IF(OR(IFERROR(FIND(".IO",Table2[[#This Row],[Sheet Location]],1)&gt;0,FALSE),B1330="DI"),"IO","no")</f>
        <v>no</v>
      </c>
    </row>
    <row r="1331" spans="2:4" x14ac:dyDescent="0.25">
      <c r="B1331" s="22" t="s">
        <v>2122</v>
      </c>
      <c r="C1331" s="22" t="s">
        <v>3494</v>
      </c>
      <c r="D1331" t="str">
        <f>+IF(OR(IFERROR(FIND(".IO",Table2[[#This Row],[Sheet Location]],1)&gt;0,FALSE),B1331="DI"),"IO","no")</f>
        <v>no</v>
      </c>
    </row>
    <row r="1332" spans="2:4" x14ac:dyDescent="0.25">
      <c r="B1332" s="22" t="s">
        <v>2122</v>
      </c>
      <c r="C1332" s="22" t="s">
        <v>3495</v>
      </c>
      <c r="D1332" t="str">
        <f>+IF(OR(IFERROR(FIND(".IO",Table2[[#This Row],[Sheet Location]],1)&gt;0,FALSE),B1332="DI"),"IO","no")</f>
        <v>no</v>
      </c>
    </row>
    <row r="1333" spans="2:4" x14ac:dyDescent="0.25">
      <c r="B1333" s="22" t="s">
        <v>2122</v>
      </c>
      <c r="C1333" s="22" t="s">
        <v>3496</v>
      </c>
      <c r="D1333" t="str">
        <f>+IF(OR(IFERROR(FIND(".IO",Table2[[#This Row],[Sheet Location]],1)&gt;0,FALSE),B1333="DI"),"IO","no")</f>
        <v>no</v>
      </c>
    </row>
    <row r="1334" spans="2:4" x14ac:dyDescent="0.25">
      <c r="B1334" s="22" t="s">
        <v>2122</v>
      </c>
      <c r="C1334" s="22" t="s">
        <v>3497</v>
      </c>
      <c r="D1334" t="str">
        <f>+IF(OR(IFERROR(FIND(".IO",Table2[[#This Row],[Sheet Location]],1)&gt;0,FALSE),B1334="DI"),"IO","no")</f>
        <v>no</v>
      </c>
    </row>
    <row r="1335" spans="2:4" x14ac:dyDescent="0.25">
      <c r="B1335" s="22" t="s">
        <v>2122</v>
      </c>
      <c r="C1335" s="22" t="s">
        <v>3498</v>
      </c>
      <c r="D1335" t="str">
        <f>+IF(OR(IFERROR(FIND(".IO",Table2[[#This Row],[Sheet Location]],1)&gt;0,FALSE),B1335="DI"),"IO","no")</f>
        <v>no</v>
      </c>
    </row>
    <row r="1336" spans="2:4" x14ac:dyDescent="0.25">
      <c r="B1336" s="22" t="s">
        <v>2122</v>
      </c>
      <c r="C1336" s="22" t="s">
        <v>3499</v>
      </c>
      <c r="D1336" t="str">
        <f>+IF(OR(IFERROR(FIND(".IO",Table2[[#This Row],[Sheet Location]],1)&gt;0,FALSE),B1336="DI"),"IO","no")</f>
        <v>no</v>
      </c>
    </row>
    <row r="1337" spans="2:4" x14ac:dyDescent="0.25">
      <c r="B1337" s="22" t="s">
        <v>2122</v>
      </c>
      <c r="C1337" s="22" t="s">
        <v>3500</v>
      </c>
      <c r="D1337" t="str">
        <f>+IF(OR(IFERROR(FIND(".IO",Table2[[#This Row],[Sheet Location]],1)&gt;0,FALSE),B1337="DI"),"IO","no")</f>
        <v>no</v>
      </c>
    </row>
    <row r="1338" spans="2:4" x14ac:dyDescent="0.25">
      <c r="B1338" s="22" t="s">
        <v>2122</v>
      </c>
      <c r="C1338" s="22" t="s">
        <v>3501</v>
      </c>
      <c r="D1338" t="str">
        <f>+IF(OR(IFERROR(FIND(".IO",Table2[[#This Row],[Sheet Location]],1)&gt;0,FALSE),B1338="DI"),"IO","no")</f>
        <v>no</v>
      </c>
    </row>
    <row r="1339" spans="2:4" x14ac:dyDescent="0.25">
      <c r="B1339" s="22" t="s">
        <v>2122</v>
      </c>
      <c r="C1339" s="22" t="s">
        <v>3502</v>
      </c>
      <c r="D1339" t="str">
        <f>+IF(OR(IFERROR(FIND(".IO",Table2[[#This Row],[Sheet Location]],1)&gt;0,FALSE),B1339="DI"),"IO","no")</f>
        <v>no</v>
      </c>
    </row>
    <row r="1340" spans="2:4" x14ac:dyDescent="0.25">
      <c r="B1340" s="22" t="s">
        <v>3503</v>
      </c>
      <c r="C1340" s="22" t="s">
        <v>3504</v>
      </c>
      <c r="D1340" t="str">
        <f>+IF(OR(IFERROR(FIND(".IO",Table2[[#This Row],[Sheet Location]],1)&gt;0,FALSE),B1340="DI"),"IO","no")</f>
        <v>no</v>
      </c>
    </row>
    <row r="1341" spans="2:4" x14ac:dyDescent="0.25">
      <c r="B1341" s="22" t="s">
        <v>3503</v>
      </c>
      <c r="C1341" s="22" t="s">
        <v>3505</v>
      </c>
      <c r="D1341" t="str">
        <f>+IF(OR(IFERROR(FIND(".IO",Table2[[#This Row],[Sheet Location]],1)&gt;0,FALSE),B1341="DI"),"IO","no")</f>
        <v>no</v>
      </c>
    </row>
    <row r="1342" spans="2:4" x14ac:dyDescent="0.25">
      <c r="B1342" s="22" t="s">
        <v>3503</v>
      </c>
      <c r="C1342" s="22" t="s">
        <v>3506</v>
      </c>
      <c r="D1342" t="str">
        <f>+IF(OR(IFERROR(FIND(".IO",Table2[[#This Row],[Sheet Location]],1)&gt;0,FALSE),B1342="DI"),"IO","no")</f>
        <v>no</v>
      </c>
    </row>
    <row r="1343" spans="2:4" x14ac:dyDescent="0.25">
      <c r="B1343" s="22" t="s">
        <v>3503</v>
      </c>
      <c r="C1343" s="22" t="s">
        <v>3507</v>
      </c>
      <c r="D1343" t="str">
        <f>+IF(OR(IFERROR(FIND(".IO",Table2[[#This Row],[Sheet Location]],1)&gt;0,FALSE),B1343="DI"),"IO","no")</f>
        <v>no</v>
      </c>
    </row>
    <row r="1344" spans="2:4" x14ac:dyDescent="0.25">
      <c r="B1344" s="22" t="s">
        <v>3503</v>
      </c>
      <c r="C1344" s="22" t="s">
        <v>3508</v>
      </c>
      <c r="D1344" t="str">
        <f>+IF(OR(IFERROR(FIND(".IO",Table2[[#This Row],[Sheet Location]],1)&gt;0,FALSE),B1344="DI"),"IO","no")</f>
        <v>no</v>
      </c>
    </row>
    <row r="1345" spans="2:4" x14ac:dyDescent="0.25">
      <c r="B1345" s="22" t="s">
        <v>3503</v>
      </c>
      <c r="C1345" s="22" t="s">
        <v>3509</v>
      </c>
      <c r="D1345" t="str">
        <f>+IF(OR(IFERROR(FIND(".IO",Table2[[#This Row],[Sheet Location]],1)&gt;0,FALSE),B1345="DI"),"IO","no")</f>
        <v>no</v>
      </c>
    </row>
    <row r="1346" spans="2:4" x14ac:dyDescent="0.25">
      <c r="B1346" s="22" t="s">
        <v>3503</v>
      </c>
      <c r="C1346" s="22" t="s">
        <v>3510</v>
      </c>
      <c r="D1346" t="str">
        <f>+IF(OR(IFERROR(FIND(".IO",Table2[[#This Row],[Sheet Location]],1)&gt;0,FALSE),B1346="DI"),"IO","no")</f>
        <v>no</v>
      </c>
    </row>
    <row r="1347" spans="2:4" x14ac:dyDescent="0.25">
      <c r="B1347" s="22" t="s">
        <v>2081</v>
      </c>
      <c r="C1347" s="22" t="s">
        <v>3511</v>
      </c>
      <c r="D1347" t="str">
        <f>+IF(OR(IFERROR(FIND(".IO",Table2[[#This Row],[Sheet Location]],1)&gt;0,FALSE),B1347="DI"),"IO","no")</f>
        <v>no</v>
      </c>
    </row>
    <row r="1348" spans="2:4" x14ac:dyDescent="0.25">
      <c r="B1348" s="22" t="s">
        <v>2081</v>
      </c>
      <c r="C1348" s="22" t="s">
        <v>3512</v>
      </c>
      <c r="D1348" t="str">
        <f>+IF(OR(IFERROR(FIND(".IO",Table2[[#This Row],[Sheet Location]],1)&gt;0,FALSE),B1348="DI"),"IO","no")</f>
        <v>no</v>
      </c>
    </row>
    <row r="1349" spans="2:4" x14ac:dyDescent="0.25">
      <c r="B1349" s="22" t="s">
        <v>2081</v>
      </c>
      <c r="C1349" s="22" t="s">
        <v>3513</v>
      </c>
      <c r="D1349" t="str">
        <f>+IF(OR(IFERROR(FIND(".IO",Table2[[#This Row],[Sheet Location]],1)&gt;0,FALSE),B1349="DI"),"IO","no")</f>
        <v>no</v>
      </c>
    </row>
    <row r="1350" spans="2:4" x14ac:dyDescent="0.25">
      <c r="B1350" s="22" t="s">
        <v>2081</v>
      </c>
      <c r="C1350" s="22" t="s">
        <v>3514</v>
      </c>
      <c r="D1350" t="str">
        <f>+IF(OR(IFERROR(FIND(".IO",Table2[[#This Row],[Sheet Location]],1)&gt;0,FALSE),B1350="DI"),"IO","no")</f>
        <v>no</v>
      </c>
    </row>
    <row r="1351" spans="2:4" x14ac:dyDescent="0.25">
      <c r="B1351" s="22" t="s">
        <v>2081</v>
      </c>
      <c r="C1351" s="22" t="s">
        <v>3515</v>
      </c>
      <c r="D1351" t="str">
        <f>+IF(OR(IFERROR(FIND(".IO",Table2[[#This Row],[Sheet Location]],1)&gt;0,FALSE),B1351="DI"),"IO","no")</f>
        <v>no</v>
      </c>
    </row>
    <row r="1352" spans="2:4" x14ac:dyDescent="0.25">
      <c r="B1352" s="22" t="s">
        <v>2081</v>
      </c>
      <c r="C1352" s="22" t="s">
        <v>3516</v>
      </c>
      <c r="D1352" t="str">
        <f>+IF(OR(IFERROR(FIND(".IO",Table2[[#This Row],[Sheet Location]],1)&gt;0,FALSE),B1352="DI"),"IO","no")</f>
        <v>no</v>
      </c>
    </row>
    <row r="1353" spans="2:4" x14ac:dyDescent="0.25">
      <c r="B1353" s="22" t="s">
        <v>2081</v>
      </c>
      <c r="C1353" s="22" t="s">
        <v>3517</v>
      </c>
      <c r="D1353" t="str">
        <f>+IF(OR(IFERROR(FIND(".IO",Table2[[#This Row],[Sheet Location]],1)&gt;0,FALSE),B1353="DI"),"IO","no")</f>
        <v>no</v>
      </c>
    </row>
    <row r="1354" spans="2:4" x14ac:dyDescent="0.25">
      <c r="B1354" s="22" t="s">
        <v>2081</v>
      </c>
      <c r="C1354" s="22" t="s">
        <v>3518</v>
      </c>
      <c r="D1354" t="str">
        <f>+IF(OR(IFERROR(FIND(".IO",Table2[[#This Row],[Sheet Location]],1)&gt;0,FALSE),B1354="DI"),"IO","no")</f>
        <v>no</v>
      </c>
    </row>
    <row r="1355" spans="2:4" x14ac:dyDescent="0.25">
      <c r="B1355" s="22" t="s">
        <v>2081</v>
      </c>
      <c r="C1355" s="22" t="s">
        <v>3519</v>
      </c>
      <c r="D1355" t="str">
        <f>+IF(OR(IFERROR(FIND(".IO",Table2[[#This Row],[Sheet Location]],1)&gt;0,FALSE),B1355="DI"),"IO","no")</f>
        <v>no</v>
      </c>
    </row>
    <row r="1356" spans="2:4" x14ac:dyDescent="0.25">
      <c r="B1356" s="22" t="s">
        <v>2085</v>
      </c>
      <c r="C1356" s="22" t="s">
        <v>3520</v>
      </c>
      <c r="D1356" t="str">
        <f>+IF(OR(IFERROR(FIND(".IO",Table2[[#This Row],[Sheet Location]],1)&gt;0,FALSE),B1356="DI"),"IO","no")</f>
        <v>no</v>
      </c>
    </row>
    <row r="1357" spans="2:4" x14ac:dyDescent="0.25">
      <c r="B1357" s="22" t="s">
        <v>2085</v>
      </c>
      <c r="C1357" s="22" t="s">
        <v>3521</v>
      </c>
      <c r="D1357" t="str">
        <f>+IF(OR(IFERROR(FIND(".IO",Table2[[#This Row],[Sheet Location]],1)&gt;0,FALSE),B1357="DI"),"IO","no")</f>
        <v>no</v>
      </c>
    </row>
    <row r="1358" spans="2:4" x14ac:dyDescent="0.25">
      <c r="B1358" s="22" t="s">
        <v>2085</v>
      </c>
      <c r="C1358" s="22" t="s">
        <v>3522</v>
      </c>
      <c r="D1358" t="str">
        <f>+IF(OR(IFERROR(FIND(".IO",Table2[[#This Row],[Sheet Location]],1)&gt;0,FALSE),B1358="DI"),"IO","no")</f>
        <v>no</v>
      </c>
    </row>
    <row r="1359" spans="2:4" x14ac:dyDescent="0.25">
      <c r="B1359" s="22" t="s">
        <v>2085</v>
      </c>
      <c r="C1359" s="22" t="s">
        <v>3523</v>
      </c>
      <c r="D1359" t="str">
        <f>+IF(OR(IFERROR(FIND(".IO",Table2[[#This Row],[Sheet Location]],1)&gt;0,FALSE),B1359="DI"),"IO","no")</f>
        <v>no</v>
      </c>
    </row>
    <row r="1360" spans="2:4" x14ac:dyDescent="0.25">
      <c r="B1360" s="22" t="s">
        <v>2085</v>
      </c>
      <c r="C1360" s="22" t="s">
        <v>3524</v>
      </c>
      <c r="D1360" t="str">
        <f>+IF(OR(IFERROR(FIND(".IO",Table2[[#This Row],[Sheet Location]],1)&gt;0,FALSE),B1360="DI"),"IO","no")</f>
        <v>no</v>
      </c>
    </row>
    <row r="1361" spans="2:4" x14ac:dyDescent="0.25">
      <c r="B1361" s="22" t="s">
        <v>2085</v>
      </c>
      <c r="C1361" s="22" t="s">
        <v>3525</v>
      </c>
      <c r="D1361" t="str">
        <f>+IF(OR(IFERROR(FIND(".IO",Table2[[#This Row],[Sheet Location]],1)&gt;0,FALSE),B1361="DI"),"IO","no")</f>
        <v>no</v>
      </c>
    </row>
    <row r="1362" spans="2:4" x14ac:dyDescent="0.25">
      <c r="B1362" s="22" t="s">
        <v>2085</v>
      </c>
      <c r="C1362" s="22" t="s">
        <v>3526</v>
      </c>
      <c r="D1362" t="str">
        <f>+IF(OR(IFERROR(FIND(".IO",Table2[[#This Row],[Sheet Location]],1)&gt;0,FALSE),B1362="DI"),"IO","no")</f>
        <v>no</v>
      </c>
    </row>
    <row r="1363" spans="2:4" x14ac:dyDescent="0.25">
      <c r="B1363" s="22" t="s">
        <v>2085</v>
      </c>
      <c r="C1363" s="22" t="s">
        <v>3527</v>
      </c>
      <c r="D1363" t="str">
        <f>+IF(OR(IFERROR(FIND(".IO",Table2[[#This Row],[Sheet Location]],1)&gt;0,FALSE),B1363="DI"),"IO","no")</f>
        <v>no</v>
      </c>
    </row>
    <row r="1364" spans="2:4" x14ac:dyDescent="0.25">
      <c r="B1364" s="22" t="s">
        <v>2085</v>
      </c>
      <c r="C1364" s="22" t="s">
        <v>3528</v>
      </c>
      <c r="D1364" t="str">
        <f>+IF(OR(IFERROR(FIND(".IO",Table2[[#This Row],[Sheet Location]],1)&gt;0,FALSE),B1364="DI"),"IO","no")</f>
        <v>no</v>
      </c>
    </row>
    <row r="1365" spans="2:4" x14ac:dyDescent="0.25">
      <c r="B1365" s="22" t="s">
        <v>3529</v>
      </c>
      <c r="C1365" s="22" t="s">
        <v>3530</v>
      </c>
      <c r="D1365" t="str">
        <f>+IF(OR(IFERROR(FIND(".IO",Table2[[#This Row],[Sheet Location]],1)&gt;0,FALSE),B1365="DI"),"IO","no")</f>
        <v>no</v>
      </c>
    </row>
    <row r="1366" spans="2:4" x14ac:dyDescent="0.25">
      <c r="B1366" s="22" t="s">
        <v>3529</v>
      </c>
      <c r="C1366" s="22" t="s">
        <v>3531</v>
      </c>
      <c r="D1366" t="str">
        <f>+IF(OR(IFERROR(FIND(".IO",Table2[[#This Row],[Sheet Location]],1)&gt;0,FALSE),B1366="DI"),"IO","no")</f>
        <v>no</v>
      </c>
    </row>
    <row r="1367" spans="2:4" x14ac:dyDescent="0.25">
      <c r="B1367" s="22" t="s">
        <v>3529</v>
      </c>
      <c r="C1367" s="22" t="s">
        <v>3532</v>
      </c>
      <c r="D1367" t="str">
        <f>+IF(OR(IFERROR(FIND(".IO",Table2[[#This Row],[Sheet Location]],1)&gt;0,FALSE),B1367="DI"),"IO","no")</f>
        <v>no</v>
      </c>
    </row>
    <row r="1368" spans="2:4" x14ac:dyDescent="0.25">
      <c r="B1368" s="22" t="s">
        <v>3529</v>
      </c>
      <c r="C1368" s="22" t="s">
        <v>3533</v>
      </c>
      <c r="D1368" t="str">
        <f>+IF(OR(IFERROR(FIND(".IO",Table2[[#This Row],[Sheet Location]],1)&gt;0,FALSE),B1368="DI"),"IO","no")</f>
        <v>no</v>
      </c>
    </row>
    <row r="1369" spans="2:4" x14ac:dyDescent="0.25">
      <c r="B1369" s="22" t="s">
        <v>3529</v>
      </c>
      <c r="C1369" s="22" t="s">
        <v>3534</v>
      </c>
      <c r="D1369" t="str">
        <f>+IF(OR(IFERROR(FIND(".IO",Table2[[#This Row],[Sheet Location]],1)&gt;0,FALSE),B1369="DI"),"IO","no")</f>
        <v>no</v>
      </c>
    </row>
    <row r="1370" spans="2:4" x14ac:dyDescent="0.25">
      <c r="B1370" s="22" t="s">
        <v>3529</v>
      </c>
      <c r="C1370" s="22" t="s">
        <v>3535</v>
      </c>
      <c r="D1370" t="str">
        <f>+IF(OR(IFERROR(FIND(".IO",Table2[[#This Row],[Sheet Location]],1)&gt;0,FALSE),B1370="DI"),"IO","no")</f>
        <v>no</v>
      </c>
    </row>
    <row r="1371" spans="2:4" x14ac:dyDescent="0.25">
      <c r="B1371" s="22" t="s">
        <v>3529</v>
      </c>
      <c r="C1371" s="22" t="s">
        <v>3536</v>
      </c>
      <c r="D1371" t="str">
        <f>+IF(OR(IFERROR(FIND(".IO",Table2[[#This Row],[Sheet Location]],1)&gt;0,FALSE),B1371="DI"),"IO","no")</f>
        <v>no</v>
      </c>
    </row>
    <row r="1372" spans="2:4" x14ac:dyDescent="0.25">
      <c r="B1372" s="22" t="s">
        <v>3529</v>
      </c>
      <c r="C1372" s="22" t="s">
        <v>3537</v>
      </c>
      <c r="D1372" t="str">
        <f>+IF(OR(IFERROR(FIND(".IO",Table2[[#This Row],[Sheet Location]],1)&gt;0,FALSE),B1372="DI"),"IO","no")</f>
        <v>no</v>
      </c>
    </row>
    <row r="1373" spans="2:4" x14ac:dyDescent="0.25">
      <c r="B1373" s="22" t="s">
        <v>3529</v>
      </c>
      <c r="C1373" s="22" t="s">
        <v>3538</v>
      </c>
      <c r="D1373" t="str">
        <f>+IF(OR(IFERROR(FIND(".IO",Table2[[#This Row],[Sheet Location]],1)&gt;0,FALSE),B1373="DI"),"IO","no")</f>
        <v>no</v>
      </c>
    </row>
    <row r="1374" spans="2:4" x14ac:dyDescent="0.25">
      <c r="B1374" s="22" t="s">
        <v>3529</v>
      </c>
      <c r="C1374" s="22" t="s">
        <v>3539</v>
      </c>
      <c r="D1374" t="str">
        <f>+IF(OR(IFERROR(FIND(".IO",Table2[[#This Row],[Sheet Location]],1)&gt;0,FALSE),B1374="DI"),"IO","no")</f>
        <v>no</v>
      </c>
    </row>
    <row r="1375" spans="2:4" x14ac:dyDescent="0.25">
      <c r="B1375" s="22" t="s">
        <v>3529</v>
      </c>
      <c r="C1375" s="22" t="s">
        <v>3540</v>
      </c>
      <c r="D1375" t="str">
        <f>+IF(OR(IFERROR(FIND(".IO",Table2[[#This Row],[Sheet Location]],1)&gt;0,FALSE),B1375="DI"),"IO","no")</f>
        <v>no</v>
      </c>
    </row>
    <row r="1376" spans="2:4" x14ac:dyDescent="0.25">
      <c r="B1376" s="22" t="s">
        <v>3529</v>
      </c>
      <c r="C1376" s="22" t="s">
        <v>3541</v>
      </c>
      <c r="D1376" t="str">
        <f>+IF(OR(IFERROR(FIND(".IO",Table2[[#This Row],[Sheet Location]],1)&gt;0,FALSE),B1376="DI"),"IO","no")</f>
        <v>no</v>
      </c>
    </row>
    <row r="1377" spans="2:4" x14ac:dyDescent="0.25">
      <c r="B1377" s="22" t="s">
        <v>3529</v>
      </c>
      <c r="C1377" s="22" t="s">
        <v>3542</v>
      </c>
      <c r="D1377" t="str">
        <f>+IF(OR(IFERROR(FIND(".IO",Table2[[#This Row],[Sheet Location]],1)&gt;0,FALSE),B1377="DI"),"IO","no")</f>
        <v>no</v>
      </c>
    </row>
    <row r="1378" spans="2:4" x14ac:dyDescent="0.25">
      <c r="B1378" s="22" t="s">
        <v>3529</v>
      </c>
      <c r="C1378" s="22" t="s">
        <v>3543</v>
      </c>
      <c r="D1378" t="str">
        <f>+IF(OR(IFERROR(FIND(".IO",Table2[[#This Row],[Sheet Location]],1)&gt;0,FALSE),B1378="DI"),"IO","no")</f>
        <v>no</v>
      </c>
    </row>
    <row r="1379" spans="2:4" x14ac:dyDescent="0.25">
      <c r="B1379" s="22" t="s">
        <v>3529</v>
      </c>
      <c r="C1379" s="22" t="s">
        <v>3544</v>
      </c>
      <c r="D1379" t="str">
        <f>+IF(OR(IFERROR(FIND(".IO",Table2[[#This Row],[Sheet Location]],1)&gt;0,FALSE),B1379="DI"),"IO","no")</f>
        <v>no</v>
      </c>
    </row>
    <row r="1380" spans="2:4" x14ac:dyDescent="0.25">
      <c r="B1380" s="22" t="s">
        <v>3529</v>
      </c>
      <c r="C1380" s="22" t="s">
        <v>3545</v>
      </c>
      <c r="D1380" t="str">
        <f>+IF(OR(IFERROR(FIND(".IO",Table2[[#This Row],[Sheet Location]],1)&gt;0,FALSE),B1380="DI"),"IO","no")</f>
        <v>no</v>
      </c>
    </row>
    <row r="1381" spans="2:4" x14ac:dyDescent="0.25">
      <c r="B1381" s="22" t="s">
        <v>3529</v>
      </c>
      <c r="C1381" s="22" t="s">
        <v>3546</v>
      </c>
      <c r="D1381" t="str">
        <f>+IF(OR(IFERROR(FIND(".IO",Table2[[#This Row],[Sheet Location]],1)&gt;0,FALSE),B1381="DI"),"IO","no")</f>
        <v>no</v>
      </c>
    </row>
    <row r="1382" spans="2:4" x14ac:dyDescent="0.25">
      <c r="B1382" s="22" t="s">
        <v>3529</v>
      </c>
      <c r="C1382" s="22" t="s">
        <v>3547</v>
      </c>
      <c r="D1382" t="str">
        <f>+IF(OR(IFERROR(FIND(".IO",Table2[[#This Row],[Sheet Location]],1)&gt;0,FALSE),B1382="DI"),"IO","no")</f>
        <v>no</v>
      </c>
    </row>
    <row r="1383" spans="2:4" x14ac:dyDescent="0.25">
      <c r="B1383" s="22" t="s">
        <v>3548</v>
      </c>
      <c r="C1383" s="22" t="s">
        <v>3549</v>
      </c>
      <c r="D1383" t="str">
        <f>+IF(OR(IFERROR(FIND(".IO",Table2[[#This Row],[Sheet Location]],1)&gt;0,FALSE),B1383="DI"),"IO","no")</f>
        <v>no</v>
      </c>
    </row>
    <row r="1384" spans="2:4" x14ac:dyDescent="0.25">
      <c r="B1384" s="22" t="s">
        <v>3548</v>
      </c>
      <c r="C1384" s="22" t="s">
        <v>3550</v>
      </c>
      <c r="D1384" t="str">
        <f>+IF(OR(IFERROR(FIND(".IO",Table2[[#This Row],[Sheet Location]],1)&gt;0,FALSE),B1384="DI"),"IO","no")</f>
        <v>no</v>
      </c>
    </row>
    <row r="1385" spans="2:4" x14ac:dyDescent="0.25">
      <c r="B1385" s="22" t="s">
        <v>3548</v>
      </c>
      <c r="C1385" s="22" t="s">
        <v>3551</v>
      </c>
      <c r="D1385" t="str">
        <f>+IF(OR(IFERROR(FIND(".IO",Table2[[#This Row],[Sheet Location]],1)&gt;0,FALSE),B1385="DI"),"IO","no")</f>
        <v>no</v>
      </c>
    </row>
    <row r="1386" spans="2:4" x14ac:dyDescent="0.25">
      <c r="B1386" s="22" t="s">
        <v>3548</v>
      </c>
      <c r="C1386" s="22" t="s">
        <v>3552</v>
      </c>
      <c r="D1386" t="str">
        <f>+IF(OR(IFERROR(FIND(".IO",Table2[[#This Row],[Sheet Location]],1)&gt;0,FALSE),B1386="DI"),"IO","no")</f>
        <v>no</v>
      </c>
    </row>
    <row r="1387" spans="2:4" x14ac:dyDescent="0.25">
      <c r="B1387" s="22" t="s">
        <v>3548</v>
      </c>
      <c r="C1387" s="22" t="s">
        <v>3553</v>
      </c>
      <c r="D1387" t="str">
        <f>+IF(OR(IFERROR(FIND(".IO",Table2[[#This Row],[Sheet Location]],1)&gt;0,FALSE),B1387="DI"),"IO","no")</f>
        <v>no</v>
      </c>
    </row>
    <row r="1388" spans="2:4" x14ac:dyDescent="0.25">
      <c r="B1388" s="22" t="s">
        <v>3548</v>
      </c>
      <c r="C1388" s="22" t="s">
        <v>3554</v>
      </c>
      <c r="D1388" t="str">
        <f>+IF(OR(IFERROR(FIND(".IO",Table2[[#This Row],[Sheet Location]],1)&gt;0,FALSE),B1388="DI"),"IO","no")</f>
        <v>no</v>
      </c>
    </row>
    <row r="1389" spans="2:4" x14ac:dyDescent="0.25">
      <c r="B1389" s="22" t="s">
        <v>3555</v>
      </c>
      <c r="C1389" s="22" t="s">
        <v>3556</v>
      </c>
      <c r="D1389" t="str">
        <f>+IF(OR(IFERROR(FIND(".IO",Table2[[#This Row],[Sheet Location]],1)&gt;0,FALSE),B1389="DI"),"IO","no")</f>
        <v>no</v>
      </c>
    </row>
    <row r="1390" spans="2:4" x14ac:dyDescent="0.25">
      <c r="B1390" s="22" t="s">
        <v>3555</v>
      </c>
      <c r="C1390" s="22" t="s">
        <v>3557</v>
      </c>
      <c r="D1390" t="str">
        <f>+IF(OR(IFERROR(FIND(".IO",Table2[[#This Row],[Sheet Location]],1)&gt;0,FALSE),B1390="DI"),"IO","no")</f>
        <v>no</v>
      </c>
    </row>
    <row r="1391" spans="2:4" x14ac:dyDescent="0.25">
      <c r="B1391" s="22" t="s">
        <v>3558</v>
      </c>
      <c r="C1391" s="22" t="s">
        <v>3559</v>
      </c>
      <c r="D1391" t="str">
        <f>+IF(OR(IFERROR(FIND(".IO",Table2[[#This Row],[Sheet Location]],1)&gt;0,FALSE),B1391="DI"),"IO","no")</f>
        <v>no</v>
      </c>
    </row>
    <row r="1392" spans="2:4" x14ac:dyDescent="0.25">
      <c r="B1392" s="22" t="s">
        <v>3558</v>
      </c>
      <c r="C1392" s="22" t="s">
        <v>3560</v>
      </c>
      <c r="D1392" t="str">
        <f>+IF(OR(IFERROR(FIND(".IO",Table2[[#This Row],[Sheet Location]],1)&gt;0,FALSE),B1392="DI"),"IO","no")</f>
        <v>no</v>
      </c>
    </row>
    <row r="1393" spans="2:4" x14ac:dyDescent="0.25">
      <c r="B1393" s="22" t="s">
        <v>3558</v>
      </c>
      <c r="C1393" s="22" t="s">
        <v>3561</v>
      </c>
      <c r="D1393" t="str">
        <f>+IF(OR(IFERROR(FIND(".IO",Table2[[#This Row],[Sheet Location]],1)&gt;0,FALSE),B1393="DI"),"IO","no")</f>
        <v>no</v>
      </c>
    </row>
    <row r="1394" spans="2:4" x14ac:dyDescent="0.25">
      <c r="B1394" s="22" t="s">
        <v>3558</v>
      </c>
      <c r="C1394" s="22" t="s">
        <v>3562</v>
      </c>
      <c r="D1394" t="str">
        <f>+IF(OR(IFERROR(FIND(".IO",Table2[[#This Row],[Sheet Location]],1)&gt;0,FALSE),B1394="DI"),"IO","no")</f>
        <v>no</v>
      </c>
    </row>
    <row r="1395" spans="2:4" x14ac:dyDescent="0.25">
      <c r="B1395" s="22" t="s">
        <v>3558</v>
      </c>
      <c r="C1395" s="22" t="s">
        <v>3563</v>
      </c>
      <c r="D1395" t="str">
        <f>+IF(OR(IFERROR(FIND(".IO",Table2[[#This Row],[Sheet Location]],1)&gt;0,FALSE),B1395="DI"),"IO","no")</f>
        <v>no</v>
      </c>
    </row>
    <row r="1396" spans="2:4" x14ac:dyDescent="0.25">
      <c r="B1396" s="22" t="s">
        <v>3558</v>
      </c>
      <c r="C1396" s="22" t="s">
        <v>3564</v>
      </c>
      <c r="D1396" t="str">
        <f>+IF(OR(IFERROR(FIND(".IO",Table2[[#This Row],[Sheet Location]],1)&gt;0,FALSE),B1396="DI"),"IO","no")</f>
        <v>no</v>
      </c>
    </row>
    <row r="1397" spans="2:4" x14ac:dyDescent="0.25">
      <c r="B1397" s="22" t="s">
        <v>3558</v>
      </c>
      <c r="C1397" s="22" t="s">
        <v>3565</v>
      </c>
      <c r="D1397" t="str">
        <f>+IF(OR(IFERROR(FIND(".IO",Table2[[#This Row],[Sheet Location]],1)&gt;0,FALSE),B1397="DI"),"IO","no")</f>
        <v>no</v>
      </c>
    </row>
    <row r="1398" spans="2:4" x14ac:dyDescent="0.25">
      <c r="B1398" s="22" t="s">
        <v>3558</v>
      </c>
      <c r="C1398" s="22" t="s">
        <v>3566</v>
      </c>
      <c r="D1398" t="str">
        <f>+IF(OR(IFERROR(FIND(".IO",Table2[[#This Row],[Sheet Location]],1)&gt;0,FALSE),B1398="DI"),"IO","no")</f>
        <v>no</v>
      </c>
    </row>
    <row r="1399" spans="2:4" x14ac:dyDescent="0.25">
      <c r="B1399" s="22" t="s">
        <v>3558</v>
      </c>
      <c r="C1399" s="22" t="s">
        <v>3567</v>
      </c>
      <c r="D1399" t="str">
        <f>+IF(OR(IFERROR(FIND(".IO",Table2[[#This Row],[Sheet Location]],1)&gt;0,FALSE),B1399="DI"),"IO","no")</f>
        <v>no</v>
      </c>
    </row>
    <row r="1400" spans="2:4" x14ac:dyDescent="0.25">
      <c r="B1400" s="22" t="s">
        <v>3568</v>
      </c>
      <c r="C1400" s="22" t="s">
        <v>3569</v>
      </c>
      <c r="D1400" t="str">
        <f>+IF(OR(IFERROR(FIND(".IO",Table2[[#This Row],[Sheet Location]],1)&gt;0,FALSE),B1400="DI"),"IO","no")</f>
        <v>no</v>
      </c>
    </row>
    <row r="1401" spans="2:4" x14ac:dyDescent="0.25">
      <c r="B1401" s="22" t="s">
        <v>3568</v>
      </c>
      <c r="C1401" s="22" t="s">
        <v>3570</v>
      </c>
      <c r="D1401" t="str">
        <f>+IF(OR(IFERROR(FIND(".IO",Table2[[#This Row],[Sheet Location]],1)&gt;0,FALSE),B1401="DI"),"IO","no")</f>
        <v>no</v>
      </c>
    </row>
    <row r="1402" spans="2:4" x14ac:dyDescent="0.25">
      <c r="B1402" s="22" t="s">
        <v>3568</v>
      </c>
      <c r="C1402" s="22" t="s">
        <v>3571</v>
      </c>
      <c r="D1402" t="str">
        <f>+IF(OR(IFERROR(FIND(".IO",Table2[[#This Row],[Sheet Location]],1)&gt;0,FALSE),B1402="DI"),"IO","no")</f>
        <v>no</v>
      </c>
    </row>
    <row r="1403" spans="2:4" x14ac:dyDescent="0.25">
      <c r="B1403" s="22" t="s">
        <v>3568</v>
      </c>
      <c r="C1403" s="22" t="s">
        <v>3572</v>
      </c>
      <c r="D1403" t="str">
        <f>+IF(OR(IFERROR(FIND(".IO",Table2[[#This Row],[Sheet Location]],1)&gt;0,FALSE),B1403="DI"),"IO","no")</f>
        <v>no</v>
      </c>
    </row>
    <row r="1404" spans="2:4" x14ac:dyDescent="0.25">
      <c r="B1404" s="22" t="s">
        <v>3568</v>
      </c>
      <c r="C1404" s="22" t="s">
        <v>3573</v>
      </c>
      <c r="D1404" t="str">
        <f>+IF(OR(IFERROR(FIND(".IO",Table2[[#This Row],[Sheet Location]],1)&gt;0,FALSE),B1404="DI"),"IO","no")</f>
        <v>no</v>
      </c>
    </row>
    <row r="1405" spans="2:4" x14ac:dyDescent="0.25">
      <c r="B1405" s="22" t="s">
        <v>3568</v>
      </c>
      <c r="C1405" s="22" t="s">
        <v>3574</v>
      </c>
      <c r="D1405" t="str">
        <f>+IF(OR(IFERROR(FIND(".IO",Table2[[#This Row],[Sheet Location]],1)&gt;0,FALSE),B1405="DI"),"IO","no")</f>
        <v>no</v>
      </c>
    </row>
    <row r="1406" spans="2:4" x14ac:dyDescent="0.25">
      <c r="B1406" s="22" t="s">
        <v>3568</v>
      </c>
      <c r="C1406" s="22" t="s">
        <v>3575</v>
      </c>
      <c r="D1406" t="str">
        <f>+IF(OR(IFERROR(FIND(".IO",Table2[[#This Row],[Sheet Location]],1)&gt;0,FALSE),B1406="DI"),"IO","no")</f>
        <v>no</v>
      </c>
    </row>
    <row r="1407" spans="2:4" x14ac:dyDescent="0.25">
      <c r="B1407" s="22" t="s">
        <v>3568</v>
      </c>
      <c r="C1407" s="22" t="s">
        <v>3576</v>
      </c>
      <c r="D1407" t="str">
        <f>+IF(OR(IFERROR(FIND(".IO",Table2[[#This Row],[Sheet Location]],1)&gt;0,FALSE),B1407="DI"),"IO","no")</f>
        <v>no</v>
      </c>
    </row>
    <row r="1408" spans="2:4" x14ac:dyDescent="0.25">
      <c r="B1408" s="22" t="s">
        <v>3568</v>
      </c>
      <c r="C1408" s="22" t="s">
        <v>3577</v>
      </c>
      <c r="D1408" t="str">
        <f>+IF(OR(IFERROR(FIND(".IO",Table2[[#This Row],[Sheet Location]],1)&gt;0,FALSE),B1408="DI"),"IO","no")</f>
        <v>no</v>
      </c>
    </row>
    <row r="1409" spans="2:4" x14ac:dyDescent="0.25">
      <c r="B1409" s="22" t="s">
        <v>3568</v>
      </c>
      <c r="C1409" s="22" t="s">
        <v>3578</v>
      </c>
      <c r="D1409" t="str">
        <f>+IF(OR(IFERROR(FIND(".IO",Table2[[#This Row],[Sheet Location]],1)&gt;0,FALSE),B1409="DI"),"IO","no")</f>
        <v>no</v>
      </c>
    </row>
    <row r="1410" spans="2:4" x14ac:dyDescent="0.25">
      <c r="B1410" s="22" t="s">
        <v>3568</v>
      </c>
      <c r="C1410" s="22" t="s">
        <v>3579</v>
      </c>
      <c r="D1410" t="str">
        <f>+IF(OR(IFERROR(FIND(".IO",Table2[[#This Row],[Sheet Location]],1)&gt;0,FALSE),B1410="DI"),"IO","no")</f>
        <v>no</v>
      </c>
    </row>
    <row r="1411" spans="2:4" x14ac:dyDescent="0.25">
      <c r="B1411" s="22" t="s">
        <v>3580</v>
      </c>
      <c r="C1411" s="22" t="s">
        <v>3581</v>
      </c>
      <c r="D1411" t="str">
        <f>+IF(OR(IFERROR(FIND(".IO",Table2[[#This Row],[Sheet Location]],1)&gt;0,FALSE),B1411="DI"),"IO","no")</f>
        <v>no</v>
      </c>
    </row>
    <row r="1412" spans="2:4" x14ac:dyDescent="0.25">
      <c r="B1412" s="22" t="s">
        <v>3580</v>
      </c>
      <c r="C1412" s="22" t="s">
        <v>3582</v>
      </c>
      <c r="D1412" t="str">
        <f>+IF(OR(IFERROR(FIND(".IO",Table2[[#This Row],[Sheet Location]],1)&gt;0,FALSE),B1412="DI"),"IO","no")</f>
        <v>no</v>
      </c>
    </row>
    <row r="1413" spans="2:4" x14ac:dyDescent="0.25">
      <c r="B1413" s="22" t="s">
        <v>3580</v>
      </c>
      <c r="C1413" s="22" t="s">
        <v>3583</v>
      </c>
      <c r="D1413" t="str">
        <f>+IF(OR(IFERROR(FIND(".IO",Table2[[#This Row],[Sheet Location]],1)&gt;0,FALSE),B1413="DI"),"IO","no")</f>
        <v>no</v>
      </c>
    </row>
    <row r="1414" spans="2:4" x14ac:dyDescent="0.25">
      <c r="B1414" s="22" t="s">
        <v>3580</v>
      </c>
      <c r="C1414" s="22" t="s">
        <v>3584</v>
      </c>
      <c r="D1414" t="str">
        <f>+IF(OR(IFERROR(FIND(".IO",Table2[[#This Row],[Sheet Location]],1)&gt;0,FALSE),B1414="DI"),"IO","no")</f>
        <v>no</v>
      </c>
    </row>
    <row r="1415" spans="2:4" x14ac:dyDescent="0.25">
      <c r="B1415" s="22" t="s">
        <v>3580</v>
      </c>
      <c r="C1415" s="22" t="s">
        <v>3585</v>
      </c>
      <c r="D1415" t="str">
        <f>+IF(OR(IFERROR(FIND(".IO",Table2[[#This Row],[Sheet Location]],1)&gt;0,FALSE),B1415="DI"),"IO","no")</f>
        <v>no</v>
      </c>
    </row>
    <row r="1416" spans="2:4" x14ac:dyDescent="0.25">
      <c r="B1416" s="22" t="s">
        <v>3580</v>
      </c>
      <c r="C1416" s="22" t="s">
        <v>3586</v>
      </c>
      <c r="D1416" t="str">
        <f>+IF(OR(IFERROR(FIND(".IO",Table2[[#This Row],[Sheet Location]],1)&gt;0,FALSE),B1416="DI"),"IO","no")</f>
        <v>no</v>
      </c>
    </row>
    <row r="1417" spans="2:4" x14ac:dyDescent="0.25">
      <c r="B1417" s="22" t="s">
        <v>3580</v>
      </c>
      <c r="C1417" s="22" t="s">
        <v>3587</v>
      </c>
      <c r="D1417" t="str">
        <f>+IF(OR(IFERROR(FIND(".IO",Table2[[#This Row],[Sheet Location]],1)&gt;0,FALSE),B1417="DI"),"IO","no")</f>
        <v>no</v>
      </c>
    </row>
    <row r="1418" spans="2:4" x14ac:dyDescent="0.25">
      <c r="B1418" s="22" t="s">
        <v>3588</v>
      </c>
      <c r="C1418" s="22" t="s">
        <v>3589</v>
      </c>
      <c r="D1418" t="str">
        <f>+IF(OR(IFERROR(FIND(".IO",Table2[[#This Row],[Sheet Location]],1)&gt;0,FALSE),B1418="DI"),"IO","no")</f>
        <v>no</v>
      </c>
    </row>
    <row r="1419" spans="2:4" x14ac:dyDescent="0.25">
      <c r="B1419" s="22" t="s">
        <v>3588</v>
      </c>
      <c r="C1419" s="22" t="s">
        <v>3590</v>
      </c>
      <c r="D1419" t="str">
        <f>+IF(OR(IFERROR(FIND(".IO",Table2[[#This Row],[Sheet Location]],1)&gt;0,FALSE),B1419="DI"),"IO","no")</f>
        <v>no</v>
      </c>
    </row>
    <row r="1420" spans="2:4" x14ac:dyDescent="0.25">
      <c r="B1420" s="22" t="s">
        <v>3588</v>
      </c>
      <c r="C1420" s="22" t="s">
        <v>3591</v>
      </c>
      <c r="D1420" t="str">
        <f>+IF(OR(IFERROR(FIND(".IO",Table2[[#This Row],[Sheet Location]],1)&gt;0,FALSE),B1420="DI"),"IO","no")</f>
        <v>no</v>
      </c>
    </row>
    <row r="1421" spans="2:4" x14ac:dyDescent="0.25">
      <c r="B1421" s="22" t="s">
        <v>3592</v>
      </c>
      <c r="C1421" s="22" t="s">
        <v>3593</v>
      </c>
      <c r="D1421" t="str">
        <f>+IF(OR(IFERROR(FIND(".IO",Table2[[#This Row],[Sheet Location]],1)&gt;0,FALSE),B1421="DI"),"IO","no")</f>
        <v>no</v>
      </c>
    </row>
    <row r="1422" spans="2:4" x14ac:dyDescent="0.25">
      <c r="B1422" s="22" t="s">
        <v>3592</v>
      </c>
      <c r="C1422" s="22" t="s">
        <v>3594</v>
      </c>
      <c r="D1422" t="str">
        <f>+IF(OR(IFERROR(FIND(".IO",Table2[[#This Row],[Sheet Location]],1)&gt;0,FALSE),B1422="DI"),"IO","no")</f>
        <v>no</v>
      </c>
    </row>
    <row r="1423" spans="2:4" x14ac:dyDescent="0.25">
      <c r="B1423" s="22" t="s">
        <v>3592</v>
      </c>
      <c r="C1423" s="22" t="s">
        <v>3595</v>
      </c>
      <c r="D1423" t="str">
        <f>+IF(OR(IFERROR(FIND(".IO",Table2[[#This Row],[Sheet Location]],1)&gt;0,FALSE),B1423="DI"),"IO","no")</f>
        <v>no</v>
      </c>
    </row>
    <row r="1424" spans="2:4" x14ac:dyDescent="0.25">
      <c r="B1424" s="22" t="s">
        <v>3592</v>
      </c>
      <c r="C1424" s="22" t="s">
        <v>3596</v>
      </c>
      <c r="D1424" t="str">
        <f>+IF(OR(IFERROR(FIND(".IO",Table2[[#This Row],[Sheet Location]],1)&gt;0,FALSE),B1424="DI"),"IO","no")</f>
        <v>no</v>
      </c>
    </row>
    <row r="1425" spans="2:4" x14ac:dyDescent="0.25">
      <c r="B1425" s="22" t="s">
        <v>3592</v>
      </c>
      <c r="C1425" s="22" t="s">
        <v>3597</v>
      </c>
      <c r="D1425" t="str">
        <f>+IF(OR(IFERROR(FIND(".IO",Table2[[#This Row],[Sheet Location]],1)&gt;0,FALSE),B1425="DI"),"IO","no")</f>
        <v>no</v>
      </c>
    </row>
    <row r="1426" spans="2:4" x14ac:dyDescent="0.25">
      <c r="B1426" s="22" t="s">
        <v>3592</v>
      </c>
      <c r="C1426" s="22" t="s">
        <v>3598</v>
      </c>
      <c r="D1426" t="str">
        <f>+IF(OR(IFERROR(FIND(".IO",Table2[[#This Row],[Sheet Location]],1)&gt;0,FALSE),B1426="DI"),"IO","no")</f>
        <v>no</v>
      </c>
    </row>
    <row r="1427" spans="2:4" x14ac:dyDescent="0.25">
      <c r="B1427" s="22" t="s">
        <v>3592</v>
      </c>
      <c r="C1427" s="22" t="s">
        <v>3599</v>
      </c>
      <c r="D1427" t="str">
        <f>+IF(OR(IFERROR(FIND(".IO",Table2[[#This Row],[Sheet Location]],1)&gt;0,FALSE),B1427="DI"),"IO","no")</f>
        <v>no</v>
      </c>
    </row>
    <row r="1428" spans="2:4" x14ac:dyDescent="0.25">
      <c r="B1428" s="22" t="s">
        <v>3592</v>
      </c>
      <c r="C1428" s="22" t="s">
        <v>3600</v>
      </c>
      <c r="D1428" t="str">
        <f>+IF(OR(IFERROR(FIND(".IO",Table2[[#This Row],[Sheet Location]],1)&gt;0,FALSE),B1428="DI"),"IO","no")</f>
        <v>no</v>
      </c>
    </row>
    <row r="1429" spans="2:4" x14ac:dyDescent="0.25">
      <c r="B1429" s="22" t="s">
        <v>3592</v>
      </c>
      <c r="C1429" s="22" t="s">
        <v>3601</v>
      </c>
      <c r="D1429" t="str">
        <f>+IF(OR(IFERROR(FIND(".IO",Table2[[#This Row],[Sheet Location]],1)&gt;0,FALSE),B1429="DI"),"IO","no")</f>
        <v>no</v>
      </c>
    </row>
    <row r="1430" spans="2:4" x14ac:dyDescent="0.25">
      <c r="B1430" s="22" t="s">
        <v>3602</v>
      </c>
      <c r="C1430" s="22" t="s">
        <v>3603</v>
      </c>
      <c r="D1430" t="str">
        <f>+IF(OR(IFERROR(FIND(".IO",Table2[[#This Row],[Sheet Location]],1)&gt;0,FALSE),B1430="DI"),"IO","no")</f>
        <v>no</v>
      </c>
    </row>
    <row r="1431" spans="2:4" x14ac:dyDescent="0.25">
      <c r="B1431" s="22" t="s">
        <v>3602</v>
      </c>
      <c r="C1431" s="22" t="s">
        <v>3604</v>
      </c>
      <c r="D1431" t="str">
        <f>+IF(OR(IFERROR(FIND(".IO",Table2[[#This Row],[Sheet Location]],1)&gt;0,FALSE),B1431="DI"),"IO","no")</f>
        <v>no</v>
      </c>
    </row>
    <row r="1432" spans="2:4" x14ac:dyDescent="0.25">
      <c r="B1432" s="22" t="s">
        <v>3602</v>
      </c>
      <c r="C1432" s="22" t="s">
        <v>3605</v>
      </c>
      <c r="D1432" t="str">
        <f>+IF(OR(IFERROR(FIND(".IO",Table2[[#This Row],[Sheet Location]],1)&gt;0,FALSE),B1432="DI"),"IO","no")</f>
        <v>no</v>
      </c>
    </row>
    <row r="1433" spans="2:4" x14ac:dyDescent="0.25">
      <c r="B1433" s="22" t="s">
        <v>3602</v>
      </c>
      <c r="C1433" s="22" t="s">
        <v>3606</v>
      </c>
      <c r="D1433" t="str">
        <f>+IF(OR(IFERROR(FIND(".IO",Table2[[#This Row],[Sheet Location]],1)&gt;0,FALSE),B1433="DI"),"IO","no")</f>
        <v>no</v>
      </c>
    </row>
    <row r="1434" spans="2:4" x14ac:dyDescent="0.25">
      <c r="B1434" s="22" t="s">
        <v>3602</v>
      </c>
      <c r="C1434" s="22" t="s">
        <v>3607</v>
      </c>
      <c r="D1434" t="str">
        <f>+IF(OR(IFERROR(FIND(".IO",Table2[[#This Row],[Sheet Location]],1)&gt;0,FALSE),B1434="DI"),"IO","no")</f>
        <v>no</v>
      </c>
    </row>
    <row r="1435" spans="2:4" x14ac:dyDescent="0.25">
      <c r="B1435" s="22" t="s">
        <v>3602</v>
      </c>
      <c r="C1435" s="22" t="s">
        <v>3608</v>
      </c>
      <c r="D1435" t="str">
        <f>+IF(OR(IFERROR(FIND(".IO",Table2[[#This Row],[Sheet Location]],1)&gt;0,FALSE),B1435="DI"),"IO","no")</f>
        <v>no</v>
      </c>
    </row>
    <row r="1436" spans="2:4" x14ac:dyDescent="0.25">
      <c r="B1436" s="22" t="s">
        <v>3602</v>
      </c>
      <c r="C1436" s="22" t="s">
        <v>3609</v>
      </c>
      <c r="D1436" t="str">
        <f>+IF(OR(IFERROR(FIND(".IO",Table2[[#This Row],[Sheet Location]],1)&gt;0,FALSE),B1436="DI"),"IO","no")</f>
        <v>no</v>
      </c>
    </row>
    <row r="1437" spans="2:4" x14ac:dyDescent="0.25">
      <c r="B1437" s="22" t="s">
        <v>3602</v>
      </c>
      <c r="C1437" s="22" t="s">
        <v>3610</v>
      </c>
      <c r="D1437" t="str">
        <f>+IF(OR(IFERROR(FIND(".IO",Table2[[#This Row],[Sheet Location]],1)&gt;0,FALSE),B1437="DI"),"IO","no")</f>
        <v>no</v>
      </c>
    </row>
    <row r="1438" spans="2:4" x14ac:dyDescent="0.25">
      <c r="B1438" s="22" t="s">
        <v>3602</v>
      </c>
      <c r="C1438" s="22" t="s">
        <v>3611</v>
      </c>
      <c r="D1438" t="str">
        <f>+IF(OR(IFERROR(FIND(".IO",Table2[[#This Row],[Sheet Location]],1)&gt;0,FALSE),B1438="DI"),"IO","no")</f>
        <v>no</v>
      </c>
    </row>
    <row r="1439" spans="2:4" x14ac:dyDescent="0.25">
      <c r="B1439" s="22" t="s">
        <v>3612</v>
      </c>
      <c r="C1439" s="22" t="s">
        <v>3613</v>
      </c>
      <c r="D1439" t="str">
        <f>+IF(OR(IFERROR(FIND(".IO",Table2[[#This Row],[Sheet Location]],1)&gt;0,FALSE),B1439="DI"),"IO","no")</f>
        <v>no</v>
      </c>
    </row>
    <row r="1440" spans="2:4" x14ac:dyDescent="0.25">
      <c r="B1440" s="22" t="s">
        <v>3612</v>
      </c>
      <c r="C1440" s="22" t="s">
        <v>3614</v>
      </c>
      <c r="D1440" t="str">
        <f>+IF(OR(IFERROR(FIND(".IO",Table2[[#This Row],[Sheet Location]],1)&gt;0,FALSE),B1440="DI"),"IO","no")</f>
        <v>no</v>
      </c>
    </row>
    <row r="1441" spans="2:4" x14ac:dyDescent="0.25">
      <c r="B1441" s="22" t="s">
        <v>3612</v>
      </c>
      <c r="C1441" s="22" t="s">
        <v>3615</v>
      </c>
      <c r="D1441" t="str">
        <f>+IF(OR(IFERROR(FIND(".IO",Table2[[#This Row],[Sheet Location]],1)&gt;0,FALSE),B1441="DI"),"IO","no")</f>
        <v>no</v>
      </c>
    </row>
    <row r="1442" spans="2:4" x14ac:dyDescent="0.25">
      <c r="B1442" s="22" t="s">
        <v>3612</v>
      </c>
      <c r="C1442" s="22" t="s">
        <v>3616</v>
      </c>
      <c r="D1442" t="str">
        <f>+IF(OR(IFERROR(FIND(".IO",Table2[[#This Row],[Sheet Location]],1)&gt;0,FALSE),B1442="DI"),"IO","no")</f>
        <v>no</v>
      </c>
    </row>
    <row r="1443" spans="2:4" x14ac:dyDescent="0.25">
      <c r="B1443" s="22" t="s">
        <v>3612</v>
      </c>
      <c r="C1443" s="22" t="s">
        <v>3617</v>
      </c>
      <c r="D1443" t="str">
        <f>+IF(OR(IFERROR(FIND(".IO",Table2[[#This Row],[Sheet Location]],1)&gt;0,FALSE),B1443="DI"),"IO","no")</f>
        <v>no</v>
      </c>
    </row>
    <row r="1444" spans="2:4" x14ac:dyDescent="0.25">
      <c r="B1444" s="22" t="s">
        <v>2124</v>
      </c>
      <c r="C1444" s="22" t="s">
        <v>3618</v>
      </c>
      <c r="D1444" t="str">
        <f>+IF(OR(IFERROR(FIND(".IO",Table2[[#This Row],[Sheet Location]],1)&gt;0,FALSE),B1444="DI"),"IO","no")</f>
        <v>no</v>
      </c>
    </row>
    <row r="1445" spans="2:4" x14ac:dyDescent="0.25">
      <c r="B1445" s="22" t="s">
        <v>2124</v>
      </c>
      <c r="C1445" s="22" t="s">
        <v>3619</v>
      </c>
      <c r="D1445" t="str">
        <f>+IF(OR(IFERROR(FIND(".IO",Table2[[#This Row],[Sheet Location]],1)&gt;0,FALSE),B1445="DI"),"IO","no")</f>
        <v>no</v>
      </c>
    </row>
    <row r="1446" spans="2:4" x14ac:dyDescent="0.25">
      <c r="B1446" s="22" t="s">
        <v>2124</v>
      </c>
      <c r="C1446" s="22" t="s">
        <v>3620</v>
      </c>
      <c r="D1446" t="str">
        <f>+IF(OR(IFERROR(FIND(".IO",Table2[[#This Row],[Sheet Location]],1)&gt;0,FALSE),B1446="DI"),"IO","no")</f>
        <v>no</v>
      </c>
    </row>
    <row r="1447" spans="2:4" x14ac:dyDescent="0.25">
      <c r="B1447" s="22" t="s">
        <v>2124</v>
      </c>
      <c r="C1447" s="22" t="s">
        <v>3621</v>
      </c>
      <c r="D1447" t="str">
        <f>+IF(OR(IFERROR(FIND(".IO",Table2[[#This Row],[Sheet Location]],1)&gt;0,FALSE),B1447="DI"),"IO","no")</f>
        <v>no</v>
      </c>
    </row>
    <row r="1448" spans="2:4" x14ac:dyDescent="0.25">
      <c r="B1448" s="22" t="s">
        <v>2124</v>
      </c>
      <c r="C1448" s="22" t="s">
        <v>3622</v>
      </c>
      <c r="D1448" t="str">
        <f>+IF(OR(IFERROR(FIND(".IO",Table2[[#This Row],[Sheet Location]],1)&gt;0,FALSE),B1448="DI"),"IO","no")</f>
        <v>no</v>
      </c>
    </row>
    <row r="1449" spans="2:4" x14ac:dyDescent="0.25">
      <c r="B1449" s="22" t="s">
        <v>2124</v>
      </c>
      <c r="C1449" s="22" t="s">
        <v>3623</v>
      </c>
      <c r="D1449" t="str">
        <f>+IF(OR(IFERROR(FIND(".IO",Table2[[#This Row],[Sheet Location]],1)&gt;0,FALSE),B1449="DI"),"IO","no")</f>
        <v>no</v>
      </c>
    </row>
    <row r="1450" spans="2:4" x14ac:dyDescent="0.25">
      <c r="B1450" s="22" t="s">
        <v>3624</v>
      </c>
      <c r="C1450" s="22" t="s">
        <v>3625</v>
      </c>
      <c r="D1450" t="str">
        <f>+IF(OR(IFERROR(FIND(".IO",Table2[[#This Row],[Sheet Location]],1)&gt;0,FALSE),B1450="DI"),"IO","no")</f>
        <v>no</v>
      </c>
    </row>
    <row r="1451" spans="2:4" x14ac:dyDescent="0.25">
      <c r="B1451" s="22" t="s">
        <v>3624</v>
      </c>
      <c r="C1451" s="22" t="s">
        <v>3626</v>
      </c>
      <c r="D1451" t="str">
        <f>+IF(OR(IFERROR(FIND(".IO",Table2[[#This Row],[Sheet Location]],1)&gt;0,FALSE),B1451="DI"),"IO","no")</f>
        <v>no</v>
      </c>
    </row>
    <row r="1452" spans="2:4" x14ac:dyDescent="0.25">
      <c r="B1452" s="22" t="s">
        <v>3624</v>
      </c>
      <c r="C1452" s="22" t="s">
        <v>3627</v>
      </c>
      <c r="D1452" t="str">
        <f>+IF(OR(IFERROR(FIND(".IO",Table2[[#This Row],[Sheet Location]],1)&gt;0,FALSE),B1452="DI"),"IO","no")</f>
        <v>no</v>
      </c>
    </row>
    <row r="1453" spans="2:4" x14ac:dyDescent="0.25">
      <c r="B1453" s="22" t="s">
        <v>3624</v>
      </c>
      <c r="C1453" s="22" t="s">
        <v>3628</v>
      </c>
      <c r="D1453" t="str">
        <f>+IF(OR(IFERROR(FIND(".IO",Table2[[#This Row],[Sheet Location]],1)&gt;0,FALSE),B1453="DI"),"IO","no")</f>
        <v>no</v>
      </c>
    </row>
    <row r="1454" spans="2:4" x14ac:dyDescent="0.25">
      <c r="B1454" s="22" t="s">
        <v>3624</v>
      </c>
      <c r="C1454" s="22" t="s">
        <v>3629</v>
      </c>
      <c r="D1454" t="str">
        <f>+IF(OR(IFERROR(FIND(".IO",Table2[[#This Row],[Sheet Location]],1)&gt;0,FALSE),B1454="DI"),"IO","no")</f>
        <v>no</v>
      </c>
    </row>
    <row r="1455" spans="2:4" x14ac:dyDescent="0.25">
      <c r="B1455" s="22" t="s">
        <v>2126</v>
      </c>
      <c r="C1455" s="22" t="s">
        <v>3630</v>
      </c>
      <c r="D1455" t="str">
        <f>+IF(OR(IFERROR(FIND(".IO",Table2[[#This Row],[Sheet Location]],1)&gt;0,FALSE),B1455="DI"),"IO","no")</f>
        <v>no</v>
      </c>
    </row>
    <row r="1456" spans="2:4" x14ac:dyDescent="0.25">
      <c r="B1456" s="22" t="s">
        <v>2126</v>
      </c>
      <c r="C1456" s="22" t="s">
        <v>3631</v>
      </c>
      <c r="D1456" t="str">
        <f>+IF(OR(IFERROR(FIND(".IO",Table2[[#This Row],[Sheet Location]],1)&gt;0,FALSE),B1456="DI"),"IO","no")</f>
        <v>no</v>
      </c>
    </row>
    <row r="1457" spans="2:4" x14ac:dyDescent="0.25">
      <c r="B1457" s="22" t="s">
        <v>2126</v>
      </c>
      <c r="C1457" s="22" t="s">
        <v>3632</v>
      </c>
      <c r="D1457" t="str">
        <f>+IF(OR(IFERROR(FIND(".IO",Table2[[#This Row],[Sheet Location]],1)&gt;0,FALSE),B1457="DI"),"IO","no")</f>
        <v>no</v>
      </c>
    </row>
    <row r="1458" spans="2:4" x14ac:dyDescent="0.25">
      <c r="B1458" s="22" t="s">
        <v>2126</v>
      </c>
      <c r="C1458" s="22" t="s">
        <v>3633</v>
      </c>
      <c r="D1458" t="str">
        <f>+IF(OR(IFERROR(FIND(".IO",Table2[[#This Row],[Sheet Location]],1)&gt;0,FALSE),B1458="DI"),"IO","no")</f>
        <v>no</v>
      </c>
    </row>
    <row r="1459" spans="2:4" x14ac:dyDescent="0.25">
      <c r="B1459" s="22" t="s">
        <v>2126</v>
      </c>
      <c r="C1459" s="22" t="s">
        <v>3634</v>
      </c>
      <c r="D1459" t="str">
        <f>+IF(OR(IFERROR(FIND(".IO",Table2[[#This Row],[Sheet Location]],1)&gt;0,FALSE),B1459="DI"),"IO","no")</f>
        <v>no</v>
      </c>
    </row>
    <row r="1460" spans="2:4" x14ac:dyDescent="0.25">
      <c r="B1460" s="22" t="s">
        <v>2126</v>
      </c>
      <c r="C1460" s="22" t="s">
        <v>3635</v>
      </c>
      <c r="D1460" t="str">
        <f>+IF(OR(IFERROR(FIND(".IO",Table2[[#This Row],[Sheet Location]],1)&gt;0,FALSE),B1460="DI"),"IO","no")</f>
        <v>no</v>
      </c>
    </row>
    <row r="1461" spans="2:4" x14ac:dyDescent="0.25">
      <c r="B1461" s="22" t="s">
        <v>2126</v>
      </c>
      <c r="C1461" s="22" t="s">
        <v>3636</v>
      </c>
      <c r="D1461" t="str">
        <f>+IF(OR(IFERROR(FIND(".IO",Table2[[#This Row],[Sheet Location]],1)&gt;0,FALSE),B1461="DI"),"IO","no")</f>
        <v>no</v>
      </c>
    </row>
    <row r="1462" spans="2:4" x14ac:dyDescent="0.25">
      <c r="B1462" s="22" t="s">
        <v>2126</v>
      </c>
      <c r="C1462" s="22" t="s">
        <v>3637</v>
      </c>
      <c r="D1462" t="str">
        <f>+IF(OR(IFERROR(FIND(".IO",Table2[[#This Row],[Sheet Location]],1)&gt;0,FALSE),B1462="DI"),"IO","no")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M1742"/>
  <sheetViews>
    <sheetView workbookViewId="0">
      <pane xSplit="3" ySplit="1" topLeftCell="D10" activePane="bottomRight" state="frozen"/>
      <selection pane="topRight" activeCell="D1" sqref="D1"/>
      <selection pane="bottomLeft" activeCell="A2" sqref="A2"/>
      <selection pane="bottomRight" activeCell="E26" sqref="E26"/>
    </sheetView>
  </sheetViews>
  <sheetFormatPr defaultRowHeight="15" x14ac:dyDescent="0.25"/>
  <cols>
    <col min="1" max="1" width="4.85546875" customWidth="1"/>
    <col min="2" max="2" width="16.140625" customWidth="1"/>
    <col min="3" max="3" width="28.7109375" customWidth="1"/>
    <col min="5" max="5" width="24.140625" customWidth="1"/>
    <col min="6" max="6" width="17.5703125" bestFit="1" customWidth="1"/>
    <col min="7" max="7" width="17.42578125" bestFit="1" customWidth="1"/>
    <col min="8" max="8" width="29.42578125" bestFit="1" customWidth="1"/>
    <col min="9" max="9" width="11.5703125" bestFit="1" customWidth="1"/>
  </cols>
  <sheetData>
    <row r="1" spans="2:13" ht="18.75" x14ac:dyDescent="0.3">
      <c r="B1" t="s">
        <v>1644</v>
      </c>
      <c r="C1" t="s">
        <v>1639</v>
      </c>
      <c r="D1" t="s">
        <v>15</v>
      </c>
      <c r="E1" t="s">
        <v>1640</v>
      </c>
      <c r="F1" t="s">
        <v>1642</v>
      </c>
      <c r="G1" t="s">
        <v>1641</v>
      </c>
      <c r="H1" s="24" t="s">
        <v>1643</v>
      </c>
      <c r="I1" s="24" t="s">
        <v>1638</v>
      </c>
    </row>
    <row r="2" spans="2:13" hidden="1" x14ac:dyDescent="0.25">
      <c r="B2" s="25" t="s">
        <v>16</v>
      </c>
      <c r="C2" s="25" t="s">
        <v>17</v>
      </c>
      <c r="D2" s="25">
        <v>0</v>
      </c>
      <c r="E2" s="25" t="s">
        <v>18</v>
      </c>
      <c r="F2" s="26" t="str">
        <f t="shared" ref="F2:F65" si="0">+LEFT(E2,FIND(".",E2,1)-1)</f>
        <v>AT821519A</v>
      </c>
      <c r="G2" s="26">
        <f t="shared" ref="G2:G65" si="1">+IFERROR(IF(VLOOKUP(F2,DI,2,FALSE)="IO",2,0),"N/A")</f>
        <v>0</v>
      </c>
      <c r="H2" s="23" t="str">
        <f t="shared" ref="H2:H65" si="2">+CONCATENATE(C2,".Mode")</f>
        <v>AA821519AAIO.Mode</v>
      </c>
      <c r="I2" s="23">
        <f>+G2</f>
        <v>0</v>
      </c>
    </row>
    <row r="3" spans="2:13" hidden="1" x14ac:dyDescent="0.25">
      <c r="B3" s="25" t="s">
        <v>16</v>
      </c>
      <c r="C3" s="25" t="s">
        <v>19</v>
      </c>
      <c r="D3" s="25">
        <v>0</v>
      </c>
      <c r="E3" s="25" t="s">
        <v>20</v>
      </c>
      <c r="F3" s="26" t="str">
        <f t="shared" si="0"/>
        <v>AT821519B</v>
      </c>
      <c r="G3" s="26">
        <f t="shared" si="1"/>
        <v>0</v>
      </c>
      <c r="H3" s="23" t="str">
        <f t="shared" si="2"/>
        <v>AA821519BBIO.Mode</v>
      </c>
      <c r="I3" s="23">
        <f t="shared" ref="I3:I66" si="3">+G3</f>
        <v>0</v>
      </c>
    </row>
    <row r="4" spans="2:13" hidden="1" x14ac:dyDescent="0.25">
      <c r="B4" s="25" t="s">
        <v>16</v>
      </c>
      <c r="C4" s="25" t="s">
        <v>21</v>
      </c>
      <c r="D4" s="25">
        <v>0</v>
      </c>
      <c r="E4" s="25" t="s">
        <v>22</v>
      </c>
      <c r="F4" s="26" t="str">
        <f t="shared" si="0"/>
        <v>AT821519C</v>
      </c>
      <c r="G4" s="26">
        <f t="shared" si="1"/>
        <v>0</v>
      </c>
      <c r="H4" s="23" t="str">
        <f t="shared" si="2"/>
        <v>AA821519CCIO.Mode</v>
      </c>
      <c r="I4" s="23">
        <f t="shared" si="3"/>
        <v>0</v>
      </c>
      <c r="M4" s="22"/>
    </row>
    <row r="5" spans="2:13" hidden="1" x14ac:dyDescent="0.25">
      <c r="B5" s="25" t="s">
        <v>16</v>
      </c>
      <c r="C5" s="25" t="s">
        <v>1647</v>
      </c>
      <c r="D5" s="25">
        <v>0</v>
      </c>
      <c r="E5" s="25" t="s">
        <v>1648</v>
      </c>
      <c r="F5" s="26" t="str">
        <f t="shared" si="0"/>
        <v>AT830613</v>
      </c>
      <c r="G5" s="26">
        <f t="shared" si="1"/>
        <v>0</v>
      </c>
      <c r="H5" s="23" t="str">
        <f t="shared" si="2"/>
        <v>AA830613IO_COMP1.Mode</v>
      </c>
      <c r="I5" s="23">
        <f t="shared" si="3"/>
        <v>0</v>
      </c>
    </row>
    <row r="6" spans="2:13" hidden="1" x14ac:dyDescent="0.25">
      <c r="B6" s="25" t="s">
        <v>16</v>
      </c>
      <c r="C6" s="25" t="s">
        <v>1649</v>
      </c>
      <c r="D6" s="25">
        <v>0</v>
      </c>
      <c r="E6" s="25" t="s">
        <v>38</v>
      </c>
      <c r="F6" s="26" t="str">
        <f t="shared" si="0"/>
        <v>AT830613A</v>
      </c>
      <c r="G6" s="26">
        <f t="shared" si="1"/>
        <v>0</v>
      </c>
      <c r="H6" s="23" t="str">
        <f t="shared" si="2"/>
        <v>AA830613IO_COMP2.Mode</v>
      </c>
      <c r="I6" s="23">
        <f t="shared" si="3"/>
        <v>0</v>
      </c>
    </row>
    <row r="7" spans="2:13" hidden="1" x14ac:dyDescent="0.25">
      <c r="B7" s="25" t="s">
        <v>16</v>
      </c>
      <c r="C7" s="25" t="s">
        <v>1650</v>
      </c>
      <c r="D7" s="25">
        <v>0</v>
      </c>
      <c r="E7" s="25" t="s">
        <v>40</v>
      </c>
      <c r="F7" s="26" t="str">
        <f t="shared" si="0"/>
        <v>AT830613B</v>
      </c>
      <c r="G7" s="26">
        <f t="shared" si="1"/>
        <v>0</v>
      </c>
      <c r="H7" s="23" t="str">
        <f t="shared" si="2"/>
        <v>AA830613IO_COMP3.Mode</v>
      </c>
      <c r="I7" s="23">
        <f t="shared" si="3"/>
        <v>0</v>
      </c>
      <c r="M7" s="22"/>
    </row>
    <row r="8" spans="2:13" hidden="1" x14ac:dyDescent="0.25">
      <c r="B8" s="25" t="s">
        <v>16</v>
      </c>
      <c r="C8" s="25" t="s">
        <v>23</v>
      </c>
      <c r="D8" s="25">
        <v>0</v>
      </c>
      <c r="E8" s="25" t="s">
        <v>24</v>
      </c>
      <c r="F8" s="26" t="str">
        <f t="shared" si="0"/>
        <v>AX856016A</v>
      </c>
      <c r="G8" s="26">
        <f t="shared" si="1"/>
        <v>0</v>
      </c>
      <c r="H8" s="23" t="str">
        <f t="shared" si="2"/>
        <v>AC856016AIO.Mode</v>
      </c>
      <c r="I8" s="23">
        <f t="shared" si="3"/>
        <v>0</v>
      </c>
    </row>
    <row r="9" spans="2:13" hidden="1" x14ac:dyDescent="0.25">
      <c r="B9" s="25" t="s">
        <v>16</v>
      </c>
      <c r="C9" s="25" t="s">
        <v>25</v>
      </c>
      <c r="D9" s="25">
        <v>0</v>
      </c>
      <c r="E9" s="25" t="s">
        <v>24</v>
      </c>
      <c r="F9" s="26" t="str">
        <f t="shared" si="0"/>
        <v>AX856016A</v>
      </c>
      <c r="G9" s="26">
        <f t="shared" si="1"/>
        <v>0</v>
      </c>
      <c r="H9" s="23" t="str">
        <f t="shared" si="2"/>
        <v>AC856016AIO_COMP1.Mode</v>
      </c>
      <c r="I9" s="23">
        <f t="shared" si="3"/>
        <v>0</v>
      </c>
    </row>
    <row r="10" spans="2:13" x14ac:dyDescent="0.25">
      <c r="B10" s="25" t="s">
        <v>16</v>
      </c>
      <c r="C10" s="25" t="s">
        <v>1651</v>
      </c>
      <c r="D10" s="25">
        <v>0</v>
      </c>
      <c r="E10" s="25" t="s">
        <v>1652</v>
      </c>
      <c r="F10" s="26" t="str">
        <f t="shared" si="0"/>
        <v>AT800005</v>
      </c>
      <c r="G10" s="26">
        <f t="shared" si="1"/>
        <v>2</v>
      </c>
      <c r="H10" s="23" t="str">
        <f t="shared" si="2"/>
        <v>AI800005IO.Mode</v>
      </c>
      <c r="I10" s="23">
        <f t="shared" si="3"/>
        <v>2</v>
      </c>
    </row>
    <row r="11" spans="2:13" x14ac:dyDescent="0.25">
      <c r="B11" s="25" t="s">
        <v>16</v>
      </c>
      <c r="C11" s="25" t="s">
        <v>1653</v>
      </c>
      <c r="D11" s="25">
        <v>0</v>
      </c>
      <c r="E11" s="25" t="s">
        <v>1654</v>
      </c>
      <c r="F11" s="26" t="str">
        <f t="shared" si="0"/>
        <v>AT800105</v>
      </c>
      <c r="G11" s="26">
        <f t="shared" si="1"/>
        <v>2</v>
      </c>
      <c r="H11" s="23" t="str">
        <f>+CONCATENATE(C11,".Mode")</f>
        <v>AI800105IO.Mode</v>
      </c>
      <c r="I11" s="23">
        <f t="shared" si="3"/>
        <v>2</v>
      </c>
    </row>
    <row r="12" spans="2:13" hidden="1" x14ac:dyDescent="0.25">
      <c r="B12" s="25" t="s">
        <v>16</v>
      </c>
      <c r="C12" s="25" t="s">
        <v>26</v>
      </c>
      <c r="D12" s="25">
        <v>0</v>
      </c>
      <c r="E12" s="25" t="s">
        <v>27</v>
      </c>
      <c r="F12" s="26" t="str">
        <f t="shared" si="0"/>
        <v>AT808110</v>
      </c>
      <c r="G12" s="26">
        <f t="shared" si="1"/>
        <v>0</v>
      </c>
      <c r="H12" s="23" t="str">
        <f t="shared" si="2"/>
        <v>AI808110IO.Mode</v>
      </c>
      <c r="I12" s="23">
        <f t="shared" si="3"/>
        <v>0</v>
      </c>
    </row>
    <row r="13" spans="2:13" x14ac:dyDescent="0.25">
      <c r="B13" s="25" t="s">
        <v>16</v>
      </c>
      <c r="C13" s="25" t="s">
        <v>1655</v>
      </c>
      <c r="D13" s="25">
        <v>0</v>
      </c>
      <c r="E13" s="25" t="s">
        <v>1656</v>
      </c>
      <c r="F13" s="26" t="str">
        <f t="shared" si="0"/>
        <v>AT810012</v>
      </c>
      <c r="G13" s="26">
        <f t="shared" si="1"/>
        <v>2</v>
      </c>
      <c r="H13" s="23" t="str">
        <f t="shared" si="2"/>
        <v>AI810012IO.Mode</v>
      </c>
      <c r="I13" s="23">
        <f t="shared" si="3"/>
        <v>2</v>
      </c>
    </row>
    <row r="14" spans="2:13" x14ac:dyDescent="0.25">
      <c r="B14" s="25" t="s">
        <v>16</v>
      </c>
      <c r="C14" s="25" t="s">
        <v>1657</v>
      </c>
      <c r="D14" s="25">
        <v>0</v>
      </c>
      <c r="E14" s="25" t="s">
        <v>1658</v>
      </c>
      <c r="F14" s="26" t="str">
        <f t="shared" si="0"/>
        <v>AT810402</v>
      </c>
      <c r="G14" s="26">
        <f t="shared" si="1"/>
        <v>2</v>
      </c>
      <c r="H14" s="23" t="str">
        <f t="shared" si="2"/>
        <v>AI810402IO.Mode</v>
      </c>
      <c r="I14" s="23">
        <f t="shared" si="3"/>
        <v>2</v>
      </c>
    </row>
    <row r="15" spans="2:13" x14ac:dyDescent="0.25">
      <c r="B15" s="25" t="s">
        <v>16</v>
      </c>
      <c r="C15" s="25" t="s">
        <v>1659</v>
      </c>
      <c r="D15" s="25">
        <v>0</v>
      </c>
      <c r="E15" s="25" t="s">
        <v>1660</v>
      </c>
      <c r="F15" s="26" t="str">
        <f t="shared" si="0"/>
        <v>AT810523</v>
      </c>
      <c r="G15" s="26">
        <f t="shared" si="1"/>
        <v>2</v>
      </c>
      <c r="H15" s="23" t="str">
        <f t="shared" si="2"/>
        <v>AI810523IO.Mode</v>
      </c>
      <c r="I15" s="23">
        <f t="shared" si="3"/>
        <v>2</v>
      </c>
    </row>
    <row r="16" spans="2:13" x14ac:dyDescent="0.25">
      <c r="B16" s="25" t="s">
        <v>16</v>
      </c>
      <c r="C16" s="25" t="s">
        <v>1661</v>
      </c>
      <c r="D16" s="25">
        <v>0</v>
      </c>
      <c r="E16" s="25" t="s">
        <v>1662</v>
      </c>
      <c r="F16" s="26" t="str">
        <f t="shared" si="0"/>
        <v>AT820023</v>
      </c>
      <c r="G16" s="26">
        <f t="shared" si="1"/>
        <v>2</v>
      </c>
      <c r="H16" s="23" t="str">
        <f t="shared" si="2"/>
        <v>AI820023IO.Mode</v>
      </c>
      <c r="I16" s="23">
        <f t="shared" si="3"/>
        <v>2</v>
      </c>
    </row>
    <row r="17" spans="2:9" x14ac:dyDescent="0.25">
      <c r="B17" s="25" t="s">
        <v>16</v>
      </c>
      <c r="C17" s="25" t="s">
        <v>1663</v>
      </c>
      <c r="D17" s="25">
        <v>0</v>
      </c>
      <c r="E17" s="25" t="s">
        <v>1664</v>
      </c>
      <c r="F17" s="26" t="str">
        <f t="shared" si="0"/>
        <v>AT820024</v>
      </c>
      <c r="G17" s="26">
        <f t="shared" si="1"/>
        <v>2</v>
      </c>
      <c r="H17" s="23" t="str">
        <f t="shared" si="2"/>
        <v>AI820024IO.Mode</v>
      </c>
      <c r="I17" s="23">
        <f t="shared" si="3"/>
        <v>2</v>
      </c>
    </row>
    <row r="18" spans="2:9" x14ac:dyDescent="0.25">
      <c r="B18" s="25" t="s">
        <v>16</v>
      </c>
      <c r="C18" s="25" t="s">
        <v>1665</v>
      </c>
      <c r="D18" s="25">
        <v>0</v>
      </c>
      <c r="E18" s="25" t="s">
        <v>1666</v>
      </c>
      <c r="F18" s="26" t="str">
        <f t="shared" si="0"/>
        <v>AT820491</v>
      </c>
      <c r="G18" s="26">
        <f t="shared" si="1"/>
        <v>2</v>
      </c>
      <c r="H18" s="23" t="str">
        <f t="shared" si="2"/>
        <v>AI820491IO.Mode</v>
      </c>
      <c r="I18" s="23">
        <f t="shared" si="3"/>
        <v>2</v>
      </c>
    </row>
    <row r="19" spans="2:9" x14ac:dyDescent="0.25">
      <c r="B19" s="25" t="s">
        <v>16</v>
      </c>
      <c r="C19" s="25" t="s">
        <v>1667</v>
      </c>
      <c r="D19" s="25">
        <v>0</v>
      </c>
      <c r="E19" s="25" t="s">
        <v>1668</v>
      </c>
      <c r="F19" s="26" t="str">
        <f t="shared" si="0"/>
        <v>AT820523</v>
      </c>
      <c r="G19" s="26">
        <f t="shared" si="1"/>
        <v>2</v>
      </c>
      <c r="H19" s="23" t="str">
        <f t="shared" si="2"/>
        <v>AI820523IO.Mode</v>
      </c>
      <c r="I19" s="23">
        <f t="shared" si="3"/>
        <v>2</v>
      </c>
    </row>
    <row r="20" spans="2:9" hidden="1" x14ac:dyDescent="0.25">
      <c r="B20" s="25" t="s">
        <v>16</v>
      </c>
      <c r="C20" s="25" t="s">
        <v>28</v>
      </c>
      <c r="D20" s="25">
        <v>0</v>
      </c>
      <c r="E20" s="25" t="s">
        <v>29</v>
      </c>
      <c r="F20" s="26" t="str">
        <f t="shared" si="0"/>
        <v>AT821016</v>
      </c>
      <c r="G20" s="26">
        <f t="shared" si="1"/>
        <v>0</v>
      </c>
      <c r="H20" s="23" t="str">
        <f t="shared" si="2"/>
        <v>AI821016IO.Mode</v>
      </c>
      <c r="I20" s="23">
        <f t="shared" si="3"/>
        <v>0</v>
      </c>
    </row>
    <row r="21" spans="2:9" hidden="1" x14ac:dyDescent="0.25">
      <c r="B21" s="25" t="s">
        <v>16</v>
      </c>
      <c r="C21" s="25" t="s">
        <v>30</v>
      </c>
      <c r="D21" s="25">
        <v>0</v>
      </c>
      <c r="E21" s="25" t="s">
        <v>31</v>
      </c>
      <c r="F21" s="26" t="str">
        <f t="shared" si="0"/>
        <v>AT821203</v>
      </c>
      <c r="G21" s="26">
        <f t="shared" si="1"/>
        <v>0</v>
      </c>
      <c r="H21" s="23" t="str">
        <f t="shared" si="2"/>
        <v>AI821203IO.Mode</v>
      </c>
      <c r="I21" s="23">
        <f t="shared" si="3"/>
        <v>0</v>
      </c>
    </row>
    <row r="22" spans="2:9" hidden="1" x14ac:dyDescent="0.25">
      <c r="B22" s="25" t="s">
        <v>16</v>
      </c>
      <c r="C22" s="25" t="s">
        <v>32</v>
      </c>
      <c r="D22" s="25">
        <v>0</v>
      </c>
      <c r="E22" s="25" t="s">
        <v>33</v>
      </c>
      <c r="F22" s="26" t="str">
        <f t="shared" si="0"/>
        <v>AT821207</v>
      </c>
      <c r="G22" s="26">
        <f t="shared" si="1"/>
        <v>0</v>
      </c>
      <c r="H22" s="23" t="str">
        <f t="shared" si="2"/>
        <v>AI821207IO.Mode</v>
      </c>
      <c r="I22" s="23">
        <f t="shared" si="3"/>
        <v>0</v>
      </c>
    </row>
    <row r="23" spans="2:9" hidden="1" x14ac:dyDescent="0.25">
      <c r="B23" s="25" t="s">
        <v>16</v>
      </c>
      <c r="C23" s="25" t="s">
        <v>34</v>
      </c>
      <c r="D23" s="25">
        <v>0</v>
      </c>
      <c r="E23" s="25" t="s">
        <v>35</v>
      </c>
      <c r="F23" s="26" t="str">
        <f t="shared" si="0"/>
        <v>AT821211</v>
      </c>
      <c r="G23" s="26">
        <f t="shared" si="1"/>
        <v>0</v>
      </c>
      <c r="H23" s="23" t="str">
        <f t="shared" si="2"/>
        <v>AI821211IO.Mode</v>
      </c>
      <c r="I23" s="23">
        <f t="shared" si="3"/>
        <v>0</v>
      </c>
    </row>
    <row r="24" spans="2:9" x14ac:dyDescent="0.25">
      <c r="B24" s="25" t="s">
        <v>16</v>
      </c>
      <c r="C24" s="25" t="s">
        <v>1669</v>
      </c>
      <c r="D24" s="25">
        <v>0</v>
      </c>
      <c r="E24" s="25" t="s">
        <v>1670</v>
      </c>
      <c r="F24" s="26" t="str">
        <f t="shared" si="0"/>
        <v>AT821420</v>
      </c>
      <c r="G24" s="26">
        <f t="shared" si="1"/>
        <v>2</v>
      </c>
      <c r="H24" s="23" t="str">
        <f t="shared" si="2"/>
        <v>AI821420IO.Mode</v>
      </c>
      <c r="I24" s="23">
        <f t="shared" si="3"/>
        <v>2</v>
      </c>
    </row>
    <row r="25" spans="2:9" hidden="1" x14ac:dyDescent="0.25">
      <c r="B25" s="25" t="s">
        <v>16</v>
      </c>
      <c r="C25" s="25" t="s">
        <v>36</v>
      </c>
      <c r="D25" s="25">
        <v>0</v>
      </c>
      <c r="E25" s="25" t="s">
        <v>20</v>
      </c>
      <c r="F25" s="26" t="str">
        <f t="shared" si="0"/>
        <v>AT821519B</v>
      </c>
      <c r="G25" s="26">
        <f t="shared" si="1"/>
        <v>0</v>
      </c>
      <c r="H25" s="23" t="str">
        <f t="shared" si="2"/>
        <v>AI821519BIO.Mode</v>
      </c>
      <c r="I25" s="23">
        <f t="shared" si="3"/>
        <v>0</v>
      </c>
    </row>
    <row r="26" spans="2:9" x14ac:dyDescent="0.25">
      <c r="B26" s="25" t="s">
        <v>16</v>
      </c>
      <c r="C26" s="25" t="s">
        <v>1671</v>
      </c>
      <c r="D26" s="25">
        <v>2</v>
      </c>
      <c r="E26" s="25" t="s">
        <v>1672</v>
      </c>
      <c r="F26" s="26" t="str">
        <f t="shared" si="0"/>
        <v>AT821519</v>
      </c>
      <c r="G26" s="26">
        <f t="shared" si="1"/>
        <v>2</v>
      </c>
      <c r="H26" s="23" t="str">
        <f t="shared" si="2"/>
        <v>AI821519IO.Mode</v>
      </c>
      <c r="I26" s="23">
        <f t="shared" si="3"/>
        <v>2</v>
      </c>
    </row>
    <row r="27" spans="2:9" x14ac:dyDescent="0.25">
      <c r="B27" s="25" t="s">
        <v>16</v>
      </c>
      <c r="C27" s="25" t="s">
        <v>1673</v>
      </c>
      <c r="D27" s="25">
        <v>0</v>
      </c>
      <c r="E27" s="25" t="s">
        <v>1672</v>
      </c>
      <c r="F27" s="26" t="str">
        <f t="shared" si="0"/>
        <v>AT821519</v>
      </c>
      <c r="G27" s="26">
        <f t="shared" si="1"/>
        <v>2</v>
      </c>
      <c r="H27" s="23" t="str">
        <f t="shared" si="2"/>
        <v>AI821519IO_COMP1.Mode</v>
      </c>
      <c r="I27" s="23">
        <f t="shared" si="3"/>
        <v>2</v>
      </c>
    </row>
    <row r="28" spans="2:9" x14ac:dyDescent="0.25">
      <c r="B28" s="25" t="s">
        <v>16</v>
      </c>
      <c r="C28" s="25" t="s">
        <v>1674</v>
      </c>
      <c r="D28" s="25">
        <v>0</v>
      </c>
      <c r="E28" s="25" t="s">
        <v>1675</v>
      </c>
      <c r="F28" s="26" t="str">
        <f t="shared" si="0"/>
        <v>AT830322</v>
      </c>
      <c r="G28" s="26">
        <f t="shared" si="1"/>
        <v>2</v>
      </c>
      <c r="H28" s="23" t="str">
        <f t="shared" si="2"/>
        <v>AI830322IO.Mode</v>
      </c>
      <c r="I28" s="23">
        <f t="shared" si="3"/>
        <v>2</v>
      </c>
    </row>
    <row r="29" spans="2:9" x14ac:dyDescent="0.25">
      <c r="B29" s="25" t="s">
        <v>16</v>
      </c>
      <c r="C29" s="25" t="s">
        <v>1676</v>
      </c>
      <c r="D29" s="25">
        <v>0</v>
      </c>
      <c r="E29" s="25" t="s">
        <v>1677</v>
      </c>
      <c r="F29" s="26" t="str">
        <f t="shared" si="0"/>
        <v>AT830323</v>
      </c>
      <c r="G29" s="26">
        <f t="shared" si="1"/>
        <v>2</v>
      </c>
      <c r="H29" s="23" t="str">
        <f t="shared" si="2"/>
        <v>AI830323IO.Mode</v>
      </c>
      <c r="I29" s="23">
        <f t="shared" si="3"/>
        <v>2</v>
      </c>
    </row>
    <row r="30" spans="2:9" x14ac:dyDescent="0.25">
      <c r="B30" s="25" t="s">
        <v>16</v>
      </c>
      <c r="C30" s="25" t="s">
        <v>1678</v>
      </c>
      <c r="D30" s="25">
        <v>0</v>
      </c>
      <c r="E30" s="25" t="s">
        <v>1679</v>
      </c>
      <c r="F30" s="26" t="str">
        <f t="shared" si="0"/>
        <v>AT830502</v>
      </c>
      <c r="G30" s="26">
        <f t="shared" si="1"/>
        <v>2</v>
      </c>
      <c r="H30" s="23" t="str">
        <f t="shared" si="2"/>
        <v>AI830502IO.Mode</v>
      </c>
      <c r="I30" s="23">
        <f t="shared" si="3"/>
        <v>2</v>
      </c>
    </row>
    <row r="31" spans="2:9" hidden="1" x14ac:dyDescent="0.25">
      <c r="B31" s="25" t="s">
        <v>16</v>
      </c>
      <c r="C31" s="25" t="s">
        <v>37</v>
      </c>
      <c r="D31" s="25">
        <v>0</v>
      </c>
      <c r="E31" s="25" t="s">
        <v>38</v>
      </c>
      <c r="F31" s="26" t="str">
        <f t="shared" si="0"/>
        <v>AT830613A</v>
      </c>
      <c r="G31" s="26">
        <f t="shared" si="1"/>
        <v>0</v>
      </c>
      <c r="H31" s="23" t="str">
        <f t="shared" si="2"/>
        <v>AI830613AIO.Mode</v>
      </c>
      <c r="I31" s="23">
        <f t="shared" si="3"/>
        <v>0</v>
      </c>
    </row>
    <row r="32" spans="2:9" hidden="1" x14ac:dyDescent="0.25">
      <c r="B32" s="25" t="s">
        <v>16</v>
      </c>
      <c r="C32" s="25" t="s">
        <v>39</v>
      </c>
      <c r="D32" s="25">
        <v>0</v>
      </c>
      <c r="E32" s="25" t="s">
        <v>40</v>
      </c>
      <c r="F32" s="26" t="str">
        <f t="shared" si="0"/>
        <v>AT830613B</v>
      </c>
      <c r="G32" s="26">
        <f t="shared" si="1"/>
        <v>0</v>
      </c>
      <c r="H32" s="23" t="str">
        <f t="shared" si="2"/>
        <v>AI830613BIO.Mode</v>
      </c>
      <c r="I32" s="23">
        <f t="shared" si="3"/>
        <v>0</v>
      </c>
    </row>
    <row r="33" spans="2:9" hidden="1" x14ac:dyDescent="0.25">
      <c r="B33" s="25" t="s">
        <v>16</v>
      </c>
      <c r="C33" s="25" t="s">
        <v>1680</v>
      </c>
      <c r="D33" s="25">
        <v>2</v>
      </c>
      <c r="E33" s="25" t="s">
        <v>1648</v>
      </c>
      <c r="F33" s="26" t="str">
        <f t="shared" si="0"/>
        <v>AT830613</v>
      </c>
      <c r="G33" s="26">
        <f t="shared" si="1"/>
        <v>0</v>
      </c>
      <c r="H33" s="23" t="str">
        <f t="shared" si="2"/>
        <v>AI830613IO.Mode</v>
      </c>
      <c r="I33" s="23">
        <f t="shared" si="3"/>
        <v>0</v>
      </c>
    </row>
    <row r="34" spans="2:9" x14ac:dyDescent="0.25">
      <c r="B34" s="25" t="s">
        <v>16</v>
      </c>
      <c r="C34" s="25" t="s">
        <v>1681</v>
      </c>
      <c r="D34" s="25">
        <v>0</v>
      </c>
      <c r="E34" s="25" t="s">
        <v>1682</v>
      </c>
      <c r="F34" s="26" t="str">
        <f t="shared" si="0"/>
        <v>AT830618</v>
      </c>
      <c r="G34" s="26">
        <f t="shared" si="1"/>
        <v>2</v>
      </c>
      <c r="H34" s="23" t="str">
        <f t="shared" si="2"/>
        <v>AI830618IO.Mode</v>
      </c>
      <c r="I34" s="23">
        <f t="shared" si="3"/>
        <v>2</v>
      </c>
    </row>
    <row r="35" spans="2:9" hidden="1" x14ac:dyDescent="0.25">
      <c r="B35" s="25" t="s">
        <v>16</v>
      </c>
      <c r="C35" s="25" t="s">
        <v>41</v>
      </c>
      <c r="D35" s="25">
        <v>2</v>
      </c>
      <c r="E35" s="25" t="s">
        <v>42</v>
      </c>
      <c r="F35" s="26" t="str">
        <f t="shared" si="0"/>
        <v>AT836822</v>
      </c>
      <c r="G35" s="26" t="str">
        <f>+IFERROR(IF(VLOOKUP(F35,DI,2,FALSE)="IO",2,0),"N/A")</f>
        <v>N/A</v>
      </c>
      <c r="H35" s="23" t="str">
        <f t="shared" si="2"/>
        <v>AI836822IO.Mode</v>
      </c>
      <c r="I35" s="23" t="str">
        <f t="shared" si="3"/>
        <v>N/A</v>
      </c>
    </row>
    <row r="36" spans="2:9" x14ac:dyDescent="0.25">
      <c r="B36" s="25" t="s">
        <v>16</v>
      </c>
      <c r="C36" s="25" t="s">
        <v>1683</v>
      </c>
      <c r="D36" s="25">
        <v>2</v>
      </c>
      <c r="E36" s="25" t="s">
        <v>1684</v>
      </c>
      <c r="F36" s="26" t="str">
        <f t="shared" si="0"/>
        <v>AT841906</v>
      </c>
      <c r="G36" s="26">
        <f t="shared" si="1"/>
        <v>2</v>
      </c>
      <c r="H36" s="23" t="str">
        <f t="shared" si="2"/>
        <v>AI841906IO.Mode</v>
      </c>
      <c r="I36" s="23">
        <f t="shared" si="3"/>
        <v>2</v>
      </c>
    </row>
    <row r="37" spans="2:9" x14ac:dyDescent="0.25">
      <c r="B37" s="25" t="s">
        <v>16</v>
      </c>
      <c r="C37" s="25" t="s">
        <v>1685</v>
      </c>
      <c r="D37" s="25">
        <v>0</v>
      </c>
      <c r="E37" s="25" t="s">
        <v>1684</v>
      </c>
      <c r="F37" s="26" t="str">
        <f t="shared" si="0"/>
        <v>AT841906</v>
      </c>
      <c r="G37" s="26">
        <f t="shared" si="1"/>
        <v>2</v>
      </c>
      <c r="H37" s="23" t="str">
        <f t="shared" si="2"/>
        <v>AI841906IO_COMP1.Mode</v>
      </c>
      <c r="I37" s="23">
        <f t="shared" si="3"/>
        <v>2</v>
      </c>
    </row>
    <row r="38" spans="2:9" hidden="1" x14ac:dyDescent="0.25">
      <c r="B38" s="25" t="s">
        <v>16</v>
      </c>
      <c r="C38" s="25" t="s">
        <v>43</v>
      </c>
      <c r="D38" s="25">
        <v>0</v>
      </c>
      <c r="E38" s="25" t="s">
        <v>44</v>
      </c>
      <c r="F38" s="26" t="str">
        <f t="shared" si="0"/>
        <v>AT850128</v>
      </c>
      <c r="G38" s="26">
        <f t="shared" si="1"/>
        <v>0</v>
      </c>
      <c r="H38" s="23" t="str">
        <f t="shared" si="2"/>
        <v>AI850128IO.Mode</v>
      </c>
      <c r="I38" s="23">
        <f t="shared" si="3"/>
        <v>0</v>
      </c>
    </row>
    <row r="39" spans="2:9" hidden="1" x14ac:dyDescent="0.25">
      <c r="B39" s="25" t="s">
        <v>16</v>
      </c>
      <c r="C39" s="25" t="s">
        <v>45</v>
      </c>
      <c r="D39" s="25">
        <v>0</v>
      </c>
      <c r="E39" s="25" t="s">
        <v>44</v>
      </c>
      <c r="F39" s="26" t="str">
        <f t="shared" si="0"/>
        <v>AT850128</v>
      </c>
      <c r="G39" s="26">
        <f t="shared" si="1"/>
        <v>0</v>
      </c>
      <c r="H39" s="23" t="str">
        <f t="shared" si="2"/>
        <v>AI850128IO_COMP1.Mode</v>
      </c>
      <c r="I39" s="23">
        <f t="shared" si="3"/>
        <v>0</v>
      </c>
    </row>
    <row r="40" spans="2:9" hidden="1" x14ac:dyDescent="0.25">
      <c r="B40" s="25" t="s">
        <v>16</v>
      </c>
      <c r="C40" s="25" t="s">
        <v>46</v>
      </c>
      <c r="D40" s="25">
        <v>0</v>
      </c>
      <c r="E40" s="25" t="s">
        <v>47</v>
      </c>
      <c r="F40" s="26" t="str">
        <f t="shared" si="0"/>
        <v>AT850129</v>
      </c>
      <c r="G40" s="26">
        <f t="shared" si="1"/>
        <v>0</v>
      </c>
      <c r="H40" s="23" t="str">
        <f t="shared" si="2"/>
        <v>AI850129IO.Mode</v>
      </c>
      <c r="I40" s="23">
        <f t="shared" si="3"/>
        <v>0</v>
      </c>
    </row>
    <row r="41" spans="2:9" hidden="1" x14ac:dyDescent="0.25">
      <c r="B41" s="25" t="s">
        <v>16</v>
      </c>
      <c r="C41" s="25" t="s">
        <v>48</v>
      </c>
      <c r="D41" s="25">
        <v>0</v>
      </c>
      <c r="E41" s="25" t="s">
        <v>47</v>
      </c>
      <c r="F41" s="26" t="str">
        <f t="shared" si="0"/>
        <v>AT850129</v>
      </c>
      <c r="G41" s="26">
        <f t="shared" si="1"/>
        <v>0</v>
      </c>
      <c r="H41" s="23" t="str">
        <f t="shared" si="2"/>
        <v>AI850129IO_COMP1.Mode</v>
      </c>
      <c r="I41" s="23">
        <f t="shared" si="3"/>
        <v>0</v>
      </c>
    </row>
    <row r="42" spans="2:9" x14ac:dyDescent="0.25">
      <c r="B42" s="25" t="s">
        <v>16</v>
      </c>
      <c r="C42" s="25" t="s">
        <v>1686</v>
      </c>
      <c r="D42" s="25">
        <v>0</v>
      </c>
      <c r="E42" s="25" t="s">
        <v>1687</v>
      </c>
      <c r="F42" s="26" t="str">
        <f t="shared" si="0"/>
        <v>AT856016</v>
      </c>
      <c r="G42" s="26">
        <f t="shared" si="1"/>
        <v>2</v>
      </c>
      <c r="H42" s="23" t="str">
        <f t="shared" si="2"/>
        <v>AI856016IO.Mode</v>
      </c>
      <c r="I42" s="23">
        <f t="shared" si="3"/>
        <v>2</v>
      </c>
    </row>
    <row r="43" spans="2:9" x14ac:dyDescent="0.25">
      <c r="B43" s="25" t="s">
        <v>16</v>
      </c>
      <c r="C43" s="25" t="s">
        <v>1688</v>
      </c>
      <c r="D43" s="25">
        <v>0</v>
      </c>
      <c r="E43" s="25" t="s">
        <v>1689</v>
      </c>
      <c r="F43" s="26" t="str">
        <f t="shared" si="0"/>
        <v>AT899801</v>
      </c>
      <c r="G43" s="26">
        <f t="shared" si="1"/>
        <v>2</v>
      </c>
      <c r="H43" s="23" t="str">
        <f t="shared" si="2"/>
        <v>AI899801IO.Mode</v>
      </c>
      <c r="I43" s="23">
        <f t="shared" si="3"/>
        <v>2</v>
      </c>
    </row>
    <row r="44" spans="2:9" x14ac:dyDescent="0.25">
      <c r="B44" s="25" t="s">
        <v>16</v>
      </c>
      <c r="C44" s="25" t="s">
        <v>1690</v>
      </c>
      <c r="D44" s="25">
        <v>0</v>
      </c>
      <c r="E44" s="25" t="s">
        <v>1691</v>
      </c>
      <c r="F44" s="26" t="str">
        <f t="shared" si="0"/>
        <v>AT899802</v>
      </c>
      <c r="G44" s="26">
        <f t="shared" si="1"/>
        <v>2</v>
      </c>
      <c r="H44" s="23" t="str">
        <f t="shared" si="2"/>
        <v>AI899802IO.Mode</v>
      </c>
      <c r="I44" s="23">
        <f t="shared" si="3"/>
        <v>2</v>
      </c>
    </row>
    <row r="45" spans="2:9" x14ac:dyDescent="0.25">
      <c r="B45" s="25" t="s">
        <v>16</v>
      </c>
      <c r="C45" s="25" t="s">
        <v>1692</v>
      </c>
      <c r="D45" s="25">
        <v>0</v>
      </c>
      <c r="E45" s="25" t="s">
        <v>1693</v>
      </c>
      <c r="F45" s="26" t="str">
        <f t="shared" si="0"/>
        <v>AT899803</v>
      </c>
      <c r="G45" s="26">
        <f t="shared" si="1"/>
        <v>2</v>
      </c>
      <c r="H45" s="23" t="str">
        <f t="shared" si="2"/>
        <v>AI899803IO.Mode</v>
      </c>
      <c r="I45" s="23">
        <f t="shared" si="3"/>
        <v>2</v>
      </c>
    </row>
    <row r="46" spans="2:9" x14ac:dyDescent="0.25">
      <c r="B46" s="25" t="s">
        <v>16</v>
      </c>
      <c r="C46" s="25" t="s">
        <v>1694</v>
      </c>
      <c r="D46" s="25">
        <v>0</v>
      </c>
      <c r="E46" s="25" t="s">
        <v>1695</v>
      </c>
      <c r="F46" s="26" t="str">
        <f t="shared" si="0"/>
        <v>AT899804</v>
      </c>
      <c r="G46" s="26">
        <f t="shared" si="1"/>
        <v>2</v>
      </c>
      <c r="H46" s="23" t="str">
        <f t="shared" si="2"/>
        <v>AI899804IO.Mode</v>
      </c>
      <c r="I46" s="23">
        <f t="shared" si="3"/>
        <v>2</v>
      </c>
    </row>
    <row r="47" spans="2:9" x14ac:dyDescent="0.25">
      <c r="B47" s="25" t="s">
        <v>16</v>
      </c>
      <c r="C47" s="25" t="s">
        <v>1696</v>
      </c>
      <c r="D47" s="25">
        <v>0</v>
      </c>
      <c r="E47" s="25" t="s">
        <v>1697</v>
      </c>
      <c r="F47" s="26" t="str">
        <f t="shared" si="0"/>
        <v>AT899810</v>
      </c>
      <c r="G47" s="26">
        <f t="shared" si="1"/>
        <v>2</v>
      </c>
      <c r="H47" s="23" t="str">
        <f t="shared" si="2"/>
        <v>AI899810IO.Mode</v>
      </c>
      <c r="I47" s="23">
        <f t="shared" si="3"/>
        <v>2</v>
      </c>
    </row>
    <row r="48" spans="2:9" x14ac:dyDescent="0.25">
      <c r="B48" s="25" t="s">
        <v>16</v>
      </c>
      <c r="C48" s="25" t="s">
        <v>1698</v>
      </c>
      <c r="D48" s="25">
        <v>0</v>
      </c>
      <c r="E48" s="25" t="s">
        <v>1699</v>
      </c>
      <c r="F48" s="26" t="str">
        <f t="shared" si="0"/>
        <v>AT899811</v>
      </c>
      <c r="G48" s="26">
        <f t="shared" si="1"/>
        <v>2</v>
      </c>
      <c r="H48" s="23" t="str">
        <f t="shared" si="2"/>
        <v>AI899811IO.Mode</v>
      </c>
      <c r="I48" s="23">
        <f t="shared" si="3"/>
        <v>2</v>
      </c>
    </row>
    <row r="49" spans="2:9" x14ac:dyDescent="0.25">
      <c r="B49" s="25" t="s">
        <v>16</v>
      </c>
      <c r="C49" s="25" t="s">
        <v>1700</v>
      </c>
      <c r="D49" s="25">
        <v>2</v>
      </c>
      <c r="E49" s="25" t="s">
        <v>1670</v>
      </c>
      <c r="F49" s="26" t="str">
        <f t="shared" si="0"/>
        <v>AT821420</v>
      </c>
      <c r="G49" s="26">
        <f t="shared" si="1"/>
        <v>2</v>
      </c>
      <c r="H49" s="23" t="str">
        <f t="shared" si="2"/>
        <v>AX821420AIO.Mode</v>
      </c>
      <c r="I49" s="23">
        <f t="shared" si="3"/>
        <v>2</v>
      </c>
    </row>
    <row r="50" spans="2:9" hidden="1" x14ac:dyDescent="0.25">
      <c r="B50" s="25" t="s">
        <v>16</v>
      </c>
      <c r="C50" s="25" t="s">
        <v>49</v>
      </c>
      <c r="D50" s="25">
        <v>0</v>
      </c>
      <c r="E50" s="25" t="s">
        <v>50</v>
      </c>
      <c r="F50" s="26" t="str">
        <f t="shared" si="0"/>
        <v>AX821420B</v>
      </c>
      <c r="G50" s="26">
        <f t="shared" si="1"/>
        <v>0</v>
      </c>
      <c r="H50" s="23" t="str">
        <f t="shared" si="2"/>
        <v>AX821420BIO.Mode</v>
      </c>
      <c r="I50" s="23">
        <f t="shared" si="3"/>
        <v>0</v>
      </c>
    </row>
    <row r="51" spans="2:9" hidden="1" x14ac:dyDescent="0.25">
      <c r="B51" s="25" t="s">
        <v>16</v>
      </c>
      <c r="C51" s="25" t="s">
        <v>51</v>
      </c>
      <c r="D51" s="25">
        <v>0</v>
      </c>
      <c r="E51" s="25" t="s">
        <v>50</v>
      </c>
      <c r="F51" s="26" t="str">
        <f t="shared" si="0"/>
        <v>AX821420B</v>
      </c>
      <c r="G51" s="26">
        <f t="shared" si="1"/>
        <v>0</v>
      </c>
      <c r="H51" s="23" t="str">
        <f t="shared" si="2"/>
        <v>AX821420CIO.Mode</v>
      </c>
      <c r="I51" s="23">
        <f t="shared" si="3"/>
        <v>0</v>
      </c>
    </row>
    <row r="52" spans="2:9" hidden="1" x14ac:dyDescent="0.25">
      <c r="B52" s="25" t="s">
        <v>16</v>
      </c>
      <c r="C52" s="25" t="s">
        <v>52</v>
      </c>
      <c r="D52" s="25">
        <v>0</v>
      </c>
      <c r="E52" s="25" t="s">
        <v>24</v>
      </c>
      <c r="F52" s="26" t="str">
        <f t="shared" si="0"/>
        <v>AX856016A</v>
      </c>
      <c r="G52" s="26">
        <f t="shared" si="1"/>
        <v>0</v>
      </c>
      <c r="H52" s="23" t="str">
        <f t="shared" si="2"/>
        <v>AX856016AIO.Mode</v>
      </c>
      <c r="I52" s="23">
        <f t="shared" si="3"/>
        <v>0</v>
      </c>
    </row>
    <row r="53" spans="2:9" hidden="1" x14ac:dyDescent="0.25">
      <c r="B53" s="25" t="s">
        <v>16</v>
      </c>
      <c r="C53" s="25" t="s">
        <v>53</v>
      </c>
      <c r="D53" s="25">
        <v>0</v>
      </c>
      <c r="E53" s="25" t="s">
        <v>54</v>
      </c>
      <c r="F53" s="26" t="str">
        <f t="shared" si="0"/>
        <v>AX856016B</v>
      </c>
      <c r="G53" s="26">
        <f t="shared" si="1"/>
        <v>0</v>
      </c>
      <c r="H53" s="23" t="str">
        <f t="shared" si="2"/>
        <v>AX856016BIO.Mode</v>
      </c>
      <c r="I53" s="23">
        <f t="shared" si="3"/>
        <v>0</v>
      </c>
    </row>
    <row r="54" spans="2:9" hidden="1" x14ac:dyDescent="0.25">
      <c r="B54" s="25" t="s">
        <v>16</v>
      </c>
      <c r="C54" s="25" t="s">
        <v>55</v>
      </c>
      <c r="D54" s="25">
        <v>0</v>
      </c>
      <c r="E54" s="25" t="s">
        <v>56</v>
      </c>
      <c r="F54" s="26" t="str">
        <f t="shared" si="0"/>
        <v>DT807015</v>
      </c>
      <c r="G54" s="26">
        <f t="shared" si="1"/>
        <v>0</v>
      </c>
      <c r="H54" s="23" t="str">
        <f t="shared" si="2"/>
        <v>DI807015IO.Mode</v>
      </c>
      <c r="I54" s="23">
        <f t="shared" si="3"/>
        <v>0</v>
      </c>
    </row>
    <row r="55" spans="2:9" hidden="1" x14ac:dyDescent="0.25">
      <c r="B55" s="25" t="s">
        <v>16</v>
      </c>
      <c r="C55" s="25" t="s">
        <v>57</v>
      </c>
      <c r="D55" s="25">
        <v>0</v>
      </c>
      <c r="E55" s="25" t="s">
        <v>58</v>
      </c>
      <c r="F55" s="26" t="str">
        <f t="shared" si="0"/>
        <v>DT810001A</v>
      </c>
      <c r="G55" s="26">
        <f t="shared" si="1"/>
        <v>0</v>
      </c>
      <c r="H55" s="23" t="str">
        <f t="shared" si="2"/>
        <v>DI810001A_1oo2IO_MA1.Mode</v>
      </c>
      <c r="I55" s="23">
        <f t="shared" si="3"/>
        <v>0</v>
      </c>
    </row>
    <row r="56" spans="2:9" hidden="1" x14ac:dyDescent="0.25">
      <c r="B56" s="25" t="s">
        <v>16</v>
      </c>
      <c r="C56" s="25" t="s">
        <v>59</v>
      </c>
      <c r="D56" s="25">
        <v>0</v>
      </c>
      <c r="E56" s="25" t="s">
        <v>58</v>
      </c>
      <c r="F56" s="26" t="str">
        <f t="shared" si="0"/>
        <v>DT810001A</v>
      </c>
      <c r="G56" s="26">
        <f t="shared" si="1"/>
        <v>0</v>
      </c>
      <c r="H56" s="23" t="str">
        <f t="shared" si="2"/>
        <v>DI810001A_1oo2IO_MA2.Mode</v>
      </c>
      <c r="I56" s="23">
        <f t="shared" si="3"/>
        <v>0</v>
      </c>
    </row>
    <row r="57" spans="2:9" hidden="1" x14ac:dyDescent="0.25">
      <c r="B57" s="25" t="s">
        <v>16</v>
      </c>
      <c r="C57" s="25" t="s">
        <v>60</v>
      </c>
      <c r="D57" s="25">
        <v>0</v>
      </c>
      <c r="E57" s="25" t="s">
        <v>58</v>
      </c>
      <c r="F57" s="26" t="str">
        <f t="shared" si="0"/>
        <v>DT810001A</v>
      </c>
      <c r="G57" s="26">
        <f t="shared" si="1"/>
        <v>0</v>
      </c>
      <c r="H57" s="23" t="str">
        <f t="shared" si="2"/>
        <v>DI810001AIO.Mode</v>
      </c>
      <c r="I57" s="23">
        <f t="shared" si="3"/>
        <v>0</v>
      </c>
    </row>
    <row r="58" spans="2:9" hidden="1" x14ac:dyDescent="0.25">
      <c r="B58" s="25" t="s">
        <v>16</v>
      </c>
      <c r="C58" s="25" t="s">
        <v>61</v>
      </c>
      <c r="D58" s="25">
        <v>0</v>
      </c>
      <c r="E58" s="25" t="s">
        <v>62</v>
      </c>
      <c r="F58" s="26" t="str">
        <f t="shared" si="0"/>
        <v>DT810001B</v>
      </c>
      <c r="G58" s="26">
        <f t="shared" si="1"/>
        <v>0</v>
      </c>
      <c r="H58" s="23" t="str">
        <f t="shared" si="2"/>
        <v>DI810001BIO.Mode</v>
      </c>
      <c r="I58" s="23">
        <f t="shared" si="3"/>
        <v>0</v>
      </c>
    </row>
    <row r="59" spans="2:9" hidden="1" x14ac:dyDescent="0.25">
      <c r="B59" s="25" t="s">
        <v>16</v>
      </c>
      <c r="C59" s="25" t="s">
        <v>63</v>
      </c>
      <c r="D59" s="25">
        <v>0</v>
      </c>
      <c r="E59" s="25" t="s">
        <v>64</v>
      </c>
      <c r="F59" s="26" t="str">
        <f t="shared" si="0"/>
        <v>DT810505</v>
      </c>
      <c r="G59" s="26">
        <f t="shared" si="1"/>
        <v>0</v>
      </c>
      <c r="H59" s="23" t="str">
        <f t="shared" si="2"/>
        <v>DI810505IO.Mode</v>
      </c>
      <c r="I59" s="23">
        <f t="shared" si="3"/>
        <v>0</v>
      </c>
    </row>
    <row r="60" spans="2:9" hidden="1" x14ac:dyDescent="0.25">
      <c r="B60" s="25" t="s">
        <v>16</v>
      </c>
      <c r="C60" s="25" t="s">
        <v>65</v>
      </c>
      <c r="D60" s="25">
        <v>0</v>
      </c>
      <c r="E60" s="25" t="s">
        <v>66</v>
      </c>
      <c r="F60" s="26" t="str">
        <f t="shared" si="0"/>
        <v>DT820001A</v>
      </c>
      <c r="G60" s="26">
        <f t="shared" si="1"/>
        <v>0</v>
      </c>
      <c r="H60" s="23" t="str">
        <f t="shared" si="2"/>
        <v>DI820001A_1oo2IO_MA1.Mode</v>
      </c>
      <c r="I60" s="23">
        <f t="shared" si="3"/>
        <v>0</v>
      </c>
    </row>
    <row r="61" spans="2:9" hidden="1" x14ac:dyDescent="0.25">
      <c r="B61" s="25" t="s">
        <v>16</v>
      </c>
      <c r="C61" s="25" t="s">
        <v>67</v>
      </c>
      <c r="D61" s="25">
        <v>0</v>
      </c>
      <c r="E61" s="25" t="s">
        <v>66</v>
      </c>
      <c r="F61" s="26" t="str">
        <f t="shared" si="0"/>
        <v>DT820001A</v>
      </c>
      <c r="G61" s="26">
        <f t="shared" si="1"/>
        <v>0</v>
      </c>
      <c r="H61" s="23" t="str">
        <f t="shared" si="2"/>
        <v>DI820001A_1oo2IO_MA2.Mode</v>
      </c>
      <c r="I61" s="23">
        <f t="shared" si="3"/>
        <v>0</v>
      </c>
    </row>
    <row r="62" spans="2:9" hidden="1" x14ac:dyDescent="0.25">
      <c r="B62" s="25" t="s">
        <v>16</v>
      </c>
      <c r="C62" s="25" t="s">
        <v>68</v>
      </c>
      <c r="D62" s="25">
        <v>0</v>
      </c>
      <c r="E62" s="25" t="s">
        <v>66</v>
      </c>
      <c r="F62" s="26" t="str">
        <f t="shared" si="0"/>
        <v>DT820001A</v>
      </c>
      <c r="G62" s="26">
        <f t="shared" si="1"/>
        <v>0</v>
      </c>
      <c r="H62" s="23" t="str">
        <f t="shared" si="2"/>
        <v>DI820001AIO.Mode</v>
      </c>
      <c r="I62" s="23">
        <f t="shared" si="3"/>
        <v>0</v>
      </c>
    </row>
    <row r="63" spans="2:9" hidden="1" x14ac:dyDescent="0.25">
      <c r="B63" s="25" t="s">
        <v>16</v>
      </c>
      <c r="C63" s="25" t="s">
        <v>69</v>
      </c>
      <c r="D63" s="25">
        <v>0</v>
      </c>
      <c r="E63" s="25" t="s">
        <v>70</v>
      </c>
      <c r="F63" s="26" t="str">
        <f t="shared" si="0"/>
        <v>DT820001B</v>
      </c>
      <c r="G63" s="26">
        <f t="shared" si="1"/>
        <v>0</v>
      </c>
      <c r="H63" s="23" t="str">
        <f t="shared" si="2"/>
        <v>DI820001BIO.Mode</v>
      </c>
      <c r="I63" s="23">
        <f t="shared" si="3"/>
        <v>0</v>
      </c>
    </row>
    <row r="64" spans="2:9" hidden="1" x14ac:dyDescent="0.25">
      <c r="B64" s="25" t="s">
        <v>16</v>
      </c>
      <c r="C64" s="25" t="s">
        <v>71</v>
      </c>
      <c r="D64" s="25">
        <v>0</v>
      </c>
      <c r="E64" s="25" t="s">
        <v>72</v>
      </c>
      <c r="F64" s="26" t="str">
        <f t="shared" si="0"/>
        <v>DT820011A</v>
      </c>
      <c r="G64" s="26">
        <f t="shared" si="1"/>
        <v>0</v>
      </c>
      <c r="H64" s="23" t="str">
        <f t="shared" si="2"/>
        <v>DI820011A_1oo2IO_MA1.Mode</v>
      </c>
      <c r="I64" s="23">
        <f t="shared" si="3"/>
        <v>0</v>
      </c>
    </row>
    <row r="65" spans="2:9" hidden="1" x14ac:dyDescent="0.25">
      <c r="B65" s="25" t="s">
        <v>16</v>
      </c>
      <c r="C65" s="25" t="s">
        <v>73</v>
      </c>
      <c r="D65" s="25">
        <v>0</v>
      </c>
      <c r="E65" s="25" t="s">
        <v>72</v>
      </c>
      <c r="F65" s="26" t="str">
        <f t="shared" si="0"/>
        <v>DT820011A</v>
      </c>
      <c r="G65" s="26">
        <f t="shared" si="1"/>
        <v>0</v>
      </c>
      <c r="H65" s="23" t="str">
        <f t="shared" si="2"/>
        <v>DI820011A_1oo2IO_MA2.Mode</v>
      </c>
      <c r="I65" s="23">
        <f t="shared" si="3"/>
        <v>0</v>
      </c>
    </row>
    <row r="66" spans="2:9" hidden="1" x14ac:dyDescent="0.25">
      <c r="B66" s="25" t="s">
        <v>16</v>
      </c>
      <c r="C66" s="25" t="s">
        <v>74</v>
      </c>
      <c r="D66" s="25">
        <v>0</v>
      </c>
      <c r="E66" s="25" t="s">
        <v>72</v>
      </c>
      <c r="F66" s="26" t="str">
        <f t="shared" ref="F66:F129" si="4">+LEFT(E66,FIND(".",E66,1)-1)</f>
        <v>DT820011A</v>
      </c>
      <c r="G66" s="26">
        <f t="shared" ref="G66:G129" si="5">+IFERROR(IF(VLOOKUP(F66,DI,2,FALSE)="IO",2,0),"N/A")</f>
        <v>0</v>
      </c>
      <c r="H66" s="23" t="str">
        <f t="shared" ref="H66:H129" si="6">+CONCATENATE(C66,".Mode")</f>
        <v>DI820011AIO.Mode</v>
      </c>
      <c r="I66" s="23">
        <f t="shared" si="3"/>
        <v>0</v>
      </c>
    </row>
    <row r="67" spans="2:9" hidden="1" x14ac:dyDescent="0.25">
      <c r="B67" s="25" t="s">
        <v>16</v>
      </c>
      <c r="C67" s="25" t="s">
        <v>75</v>
      </c>
      <c r="D67" s="25">
        <v>0</v>
      </c>
      <c r="E67" s="25" t="s">
        <v>76</v>
      </c>
      <c r="F67" s="26" t="str">
        <f t="shared" si="4"/>
        <v>DT820011B</v>
      </c>
      <c r="G67" s="26">
        <f t="shared" si="5"/>
        <v>0</v>
      </c>
      <c r="H67" s="23" t="str">
        <f t="shared" si="6"/>
        <v>DI820011BIO.Mode</v>
      </c>
      <c r="I67" s="23">
        <f t="shared" ref="I67:I130" si="7">+G67</f>
        <v>0</v>
      </c>
    </row>
    <row r="68" spans="2:9" hidden="1" x14ac:dyDescent="0.25">
      <c r="B68" s="25" t="s">
        <v>16</v>
      </c>
      <c r="C68" s="25" t="s">
        <v>77</v>
      </c>
      <c r="D68" s="25">
        <v>0</v>
      </c>
      <c r="E68" s="25" t="s">
        <v>78</v>
      </c>
      <c r="F68" s="26" t="str">
        <f t="shared" si="4"/>
        <v>DT820505</v>
      </c>
      <c r="G68" s="26">
        <f t="shared" si="5"/>
        <v>0</v>
      </c>
      <c r="H68" s="23" t="str">
        <f t="shared" si="6"/>
        <v>DI820505_1oo1IO.Mode</v>
      </c>
      <c r="I68" s="23">
        <f t="shared" si="7"/>
        <v>0</v>
      </c>
    </row>
    <row r="69" spans="2:9" hidden="1" x14ac:dyDescent="0.25">
      <c r="B69" s="25" t="s">
        <v>16</v>
      </c>
      <c r="C69" s="25" t="s">
        <v>79</v>
      </c>
      <c r="D69" s="25">
        <v>0</v>
      </c>
      <c r="E69" s="25" t="s">
        <v>78</v>
      </c>
      <c r="F69" s="26" t="str">
        <f t="shared" si="4"/>
        <v>DT820505</v>
      </c>
      <c r="G69" s="26">
        <f t="shared" si="5"/>
        <v>0</v>
      </c>
      <c r="H69" s="23" t="str">
        <f t="shared" si="6"/>
        <v>DI820505IO.Mode</v>
      </c>
      <c r="I69" s="23">
        <f t="shared" si="7"/>
        <v>0</v>
      </c>
    </row>
    <row r="70" spans="2:9" hidden="1" x14ac:dyDescent="0.25">
      <c r="B70" s="25" t="s">
        <v>16</v>
      </c>
      <c r="C70" s="25" t="s">
        <v>80</v>
      </c>
      <c r="D70" s="25">
        <v>0</v>
      </c>
      <c r="E70" s="25" t="s">
        <v>81</v>
      </c>
      <c r="F70" s="26" t="str">
        <f t="shared" si="4"/>
        <v>DT821208</v>
      </c>
      <c r="G70" s="26">
        <f t="shared" si="5"/>
        <v>0</v>
      </c>
      <c r="H70" s="23" t="str">
        <f t="shared" si="6"/>
        <v>DI821208IO.Mode</v>
      </c>
      <c r="I70" s="23">
        <f t="shared" si="7"/>
        <v>0</v>
      </c>
    </row>
    <row r="71" spans="2:9" x14ac:dyDescent="0.25">
      <c r="B71" s="25" t="s">
        <v>16</v>
      </c>
      <c r="C71" s="25" t="s">
        <v>1701</v>
      </c>
      <c r="D71" s="25">
        <v>0</v>
      </c>
      <c r="E71" s="25" t="s">
        <v>1702</v>
      </c>
      <c r="F71" s="26" t="str">
        <f t="shared" si="4"/>
        <v>DI830301A</v>
      </c>
      <c r="G71" s="26">
        <f t="shared" si="5"/>
        <v>2</v>
      </c>
      <c r="H71" s="23" t="str">
        <f t="shared" si="6"/>
        <v>DI830301A_1oo2IO_MA1.Mode</v>
      </c>
      <c r="I71" s="23">
        <f t="shared" si="7"/>
        <v>2</v>
      </c>
    </row>
    <row r="72" spans="2:9" x14ac:dyDescent="0.25">
      <c r="B72" s="25" t="s">
        <v>16</v>
      </c>
      <c r="C72" s="25" t="s">
        <v>1703</v>
      </c>
      <c r="D72" s="25">
        <v>0</v>
      </c>
      <c r="E72" s="25" t="s">
        <v>1704</v>
      </c>
      <c r="F72" s="26" t="str">
        <f t="shared" si="4"/>
        <v>DI830301B</v>
      </c>
      <c r="G72" s="26">
        <f t="shared" si="5"/>
        <v>2</v>
      </c>
      <c r="H72" s="23" t="str">
        <f t="shared" si="6"/>
        <v>DI830301A_1oo2IO_MA2.Mode</v>
      </c>
      <c r="I72" s="23">
        <f t="shared" si="7"/>
        <v>2</v>
      </c>
    </row>
    <row r="73" spans="2:9" x14ac:dyDescent="0.25">
      <c r="B73" s="25" t="s">
        <v>16</v>
      </c>
      <c r="C73" s="25" t="s">
        <v>1705</v>
      </c>
      <c r="D73" s="25">
        <v>0</v>
      </c>
      <c r="E73" s="25" t="s">
        <v>1706</v>
      </c>
      <c r="F73" s="26" t="str">
        <f t="shared" si="4"/>
        <v>DI830312A</v>
      </c>
      <c r="G73" s="26">
        <f t="shared" si="5"/>
        <v>2</v>
      </c>
      <c r="H73" s="23" t="str">
        <f t="shared" si="6"/>
        <v>DI830312A_1oo2IO_MA1.Mode</v>
      </c>
      <c r="I73" s="23">
        <f t="shared" si="7"/>
        <v>2</v>
      </c>
    </row>
    <row r="74" spans="2:9" x14ac:dyDescent="0.25">
      <c r="B74" s="25" t="s">
        <v>16</v>
      </c>
      <c r="C74" s="25" t="s">
        <v>1707</v>
      </c>
      <c r="D74" s="25">
        <v>0</v>
      </c>
      <c r="E74" s="25" t="s">
        <v>1708</v>
      </c>
      <c r="F74" s="26" t="str">
        <f t="shared" si="4"/>
        <v>DI830312B</v>
      </c>
      <c r="G74" s="26">
        <f t="shared" si="5"/>
        <v>2</v>
      </c>
      <c r="H74" s="23" t="str">
        <f t="shared" si="6"/>
        <v>DI830312A_1oo2IO_MA2.Mode</v>
      </c>
      <c r="I74" s="23">
        <f t="shared" si="7"/>
        <v>2</v>
      </c>
    </row>
    <row r="75" spans="2:9" x14ac:dyDescent="0.25">
      <c r="B75" s="25" t="s">
        <v>16</v>
      </c>
      <c r="C75" s="25" t="s">
        <v>1709</v>
      </c>
      <c r="D75" s="25">
        <v>2</v>
      </c>
      <c r="E75" s="25" t="s">
        <v>1710</v>
      </c>
      <c r="F75" s="26" t="str">
        <f t="shared" si="4"/>
        <v>DI830401A</v>
      </c>
      <c r="G75" s="26">
        <f t="shared" si="5"/>
        <v>2</v>
      </c>
      <c r="H75" s="23" t="str">
        <f t="shared" si="6"/>
        <v>DI830401AIO.Mode</v>
      </c>
      <c r="I75" s="23">
        <f t="shared" si="7"/>
        <v>2</v>
      </c>
    </row>
    <row r="76" spans="2:9" x14ac:dyDescent="0.25">
      <c r="B76" s="25" t="s">
        <v>16</v>
      </c>
      <c r="C76" s="25" t="s">
        <v>1711</v>
      </c>
      <c r="D76" s="25">
        <v>2</v>
      </c>
      <c r="E76" s="25" t="s">
        <v>1712</v>
      </c>
      <c r="F76" s="26" t="str">
        <f t="shared" si="4"/>
        <v>DI830401B</v>
      </c>
      <c r="G76" s="26">
        <f t="shared" si="5"/>
        <v>2</v>
      </c>
      <c r="H76" s="23" t="str">
        <f t="shared" si="6"/>
        <v>DI830401BIO.Mode</v>
      </c>
      <c r="I76" s="23">
        <f t="shared" si="7"/>
        <v>2</v>
      </c>
    </row>
    <row r="77" spans="2:9" x14ac:dyDescent="0.25">
      <c r="B77" s="25" t="s">
        <v>16</v>
      </c>
      <c r="C77" s="25" t="s">
        <v>1713</v>
      </c>
      <c r="D77" s="25">
        <v>2</v>
      </c>
      <c r="E77" s="25" t="s">
        <v>1714</v>
      </c>
      <c r="F77" s="26" t="str">
        <f t="shared" si="4"/>
        <v>DI830402A</v>
      </c>
      <c r="G77" s="26">
        <f t="shared" si="5"/>
        <v>2</v>
      </c>
      <c r="H77" s="23" t="str">
        <f t="shared" si="6"/>
        <v>DI830402AIO.Mode</v>
      </c>
      <c r="I77" s="23">
        <f t="shared" si="7"/>
        <v>2</v>
      </c>
    </row>
    <row r="78" spans="2:9" x14ac:dyDescent="0.25">
      <c r="B78" s="25" t="s">
        <v>16</v>
      </c>
      <c r="C78" s="25" t="s">
        <v>1715</v>
      </c>
      <c r="D78" s="25">
        <v>2</v>
      </c>
      <c r="E78" s="25" t="s">
        <v>1716</v>
      </c>
      <c r="F78" s="26" t="str">
        <f t="shared" si="4"/>
        <v>DI830402B</v>
      </c>
      <c r="G78" s="26">
        <f t="shared" si="5"/>
        <v>2</v>
      </c>
      <c r="H78" s="23" t="str">
        <f t="shared" si="6"/>
        <v>DI830402BIO.Mode</v>
      </c>
      <c r="I78" s="23">
        <f t="shared" si="7"/>
        <v>2</v>
      </c>
    </row>
    <row r="79" spans="2:9" x14ac:dyDescent="0.25">
      <c r="B79" s="25" t="s">
        <v>16</v>
      </c>
      <c r="C79" s="25" t="s">
        <v>1717</v>
      </c>
      <c r="D79" s="25">
        <v>0</v>
      </c>
      <c r="E79" s="25" t="s">
        <v>1718</v>
      </c>
      <c r="F79" s="26" t="str">
        <f t="shared" si="4"/>
        <v>DI830416A</v>
      </c>
      <c r="G79" s="26">
        <f t="shared" si="5"/>
        <v>2</v>
      </c>
      <c r="H79" s="23" t="str">
        <f t="shared" si="6"/>
        <v>DI830416A_1oo2IO_MA1.Mode</v>
      </c>
      <c r="I79" s="23">
        <f t="shared" si="7"/>
        <v>2</v>
      </c>
    </row>
    <row r="80" spans="2:9" x14ac:dyDescent="0.25">
      <c r="B80" s="25" t="s">
        <v>16</v>
      </c>
      <c r="C80" s="25" t="s">
        <v>1719</v>
      </c>
      <c r="D80" s="25">
        <v>0</v>
      </c>
      <c r="E80" s="25" t="s">
        <v>1720</v>
      </c>
      <c r="F80" s="26" t="str">
        <f t="shared" si="4"/>
        <v>DI830416B</v>
      </c>
      <c r="G80" s="26">
        <f t="shared" si="5"/>
        <v>2</v>
      </c>
      <c r="H80" s="23" t="str">
        <f t="shared" si="6"/>
        <v>DI830416A_1oo2IO_MA2.Mode</v>
      </c>
      <c r="I80" s="23">
        <f t="shared" si="7"/>
        <v>2</v>
      </c>
    </row>
    <row r="81" spans="2:9" hidden="1" x14ac:dyDescent="0.25">
      <c r="B81" s="25" t="s">
        <v>16</v>
      </c>
      <c r="C81" s="25" t="s">
        <v>82</v>
      </c>
      <c r="D81" s="25">
        <v>0</v>
      </c>
      <c r="E81" s="25" t="s">
        <v>83</v>
      </c>
      <c r="F81" s="26" t="str">
        <f t="shared" si="4"/>
        <v>DT850008</v>
      </c>
      <c r="G81" s="26">
        <f t="shared" si="5"/>
        <v>0</v>
      </c>
      <c r="H81" s="23" t="str">
        <f t="shared" si="6"/>
        <v>DI850008IO.Mode</v>
      </c>
      <c r="I81" s="23">
        <f t="shared" si="7"/>
        <v>0</v>
      </c>
    </row>
    <row r="82" spans="2:9" hidden="1" x14ac:dyDescent="0.25">
      <c r="B82" s="25" t="s">
        <v>16</v>
      </c>
      <c r="C82" s="25" t="s">
        <v>84</v>
      </c>
      <c r="D82" s="25">
        <v>0</v>
      </c>
      <c r="E82" s="25" t="s">
        <v>85</v>
      </c>
      <c r="F82" s="26" t="str">
        <f t="shared" si="4"/>
        <v>dint1</v>
      </c>
      <c r="G82" s="26" t="str">
        <f t="shared" si="5"/>
        <v>N/A</v>
      </c>
      <c r="H82" s="23" t="str">
        <f t="shared" si="6"/>
        <v>dint1.Mode</v>
      </c>
      <c r="I82" s="23" t="str">
        <f t="shared" si="7"/>
        <v>N/A</v>
      </c>
    </row>
    <row r="83" spans="2:9" hidden="1" x14ac:dyDescent="0.25">
      <c r="B83" s="25" t="s">
        <v>16</v>
      </c>
      <c r="C83" s="25" t="s">
        <v>86</v>
      </c>
      <c r="D83" s="25">
        <v>0</v>
      </c>
      <c r="E83" s="25" t="s">
        <v>87</v>
      </c>
      <c r="F83" s="26" t="str">
        <f t="shared" si="4"/>
        <v>dint2</v>
      </c>
      <c r="G83" s="26" t="str">
        <f t="shared" si="5"/>
        <v>N/A</v>
      </c>
      <c r="H83" s="23" t="str">
        <f t="shared" si="6"/>
        <v>dint2.Mode</v>
      </c>
      <c r="I83" s="23" t="str">
        <f t="shared" si="7"/>
        <v>N/A</v>
      </c>
    </row>
    <row r="84" spans="2:9" hidden="1" x14ac:dyDescent="0.25">
      <c r="B84" s="25" t="s">
        <v>16</v>
      </c>
      <c r="C84" s="25" t="s">
        <v>88</v>
      </c>
      <c r="D84" s="25">
        <v>0</v>
      </c>
      <c r="E84" s="25" t="s">
        <v>89</v>
      </c>
      <c r="F84" s="26" t="str">
        <f t="shared" si="4"/>
        <v>dintSteps</v>
      </c>
      <c r="G84" s="26" t="str">
        <f t="shared" si="5"/>
        <v>N/A</v>
      </c>
      <c r="H84" s="23" t="str">
        <f t="shared" si="6"/>
        <v>dintSteps.Mode</v>
      </c>
      <c r="I84" s="23" t="str">
        <f t="shared" si="7"/>
        <v>N/A</v>
      </c>
    </row>
    <row r="85" spans="2:9" hidden="1" x14ac:dyDescent="0.25">
      <c r="B85" s="25" t="s">
        <v>16</v>
      </c>
      <c r="C85" s="25" t="s">
        <v>90</v>
      </c>
      <c r="D85" s="25">
        <v>0</v>
      </c>
      <c r="E85" s="25" t="s">
        <v>91</v>
      </c>
      <c r="F85" s="26" t="str">
        <f t="shared" si="4"/>
        <v>dword1</v>
      </c>
      <c r="G85" s="26" t="str">
        <f t="shared" si="5"/>
        <v>N/A</v>
      </c>
      <c r="H85" s="23" t="str">
        <f t="shared" si="6"/>
        <v>dword1.Mode</v>
      </c>
      <c r="I85" s="23" t="str">
        <f t="shared" si="7"/>
        <v>N/A</v>
      </c>
    </row>
    <row r="86" spans="2:9" hidden="1" x14ac:dyDescent="0.25">
      <c r="B86" s="25" t="s">
        <v>16</v>
      </c>
      <c r="C86" s="25" t="s">
        <v>92</v>
      </c>
      <c r="D86" s="25">
        <v>0</v>
      </c>
      <c r="E86" s="25" t="s">
        <v>93</v>
      </c>
      <c r="F86" s="26" t="str">
        <f t="shared" si="4"/>
        <v>dword2</v>
      </c>
      <c r="G86" s="26" t="str">
        <f t="shared" si="5"/>
        <v>N/A</v>
      </c>
      <c r="H86" s="23" t="str">
        <f t="shared" si="6"/>
        <v>dword2.Mode</v>
      </c>
      <c r="I86" s="23" t="str">
        <f t="shared" si="7"/>
        <v>N/A</v>
      </c>
    </row>
    <row r="87" spans="2:9" x14ac:dyDescent="0.25">
      <c r="B87" s="25" t="s">
        <v>16</v>
      </c>
      <c r="C87" s="25" t="s">
        <v>1721</v>
      </c>
      <c r="D87" s="25">
        <v>2</v>
      </c>
      <c r="E87" s="25" t="s">
        <v>1722</v>
      </c>
      <c r="F87" s="26" t="str">
        <f t="shared" si="4"/>
        <v>ET897989</v>
      </c>
      <c r="G87" s="26">
        <f t="shared" si="5"/>
        <v>2</v>
      </c>
      <c r="H87" s="23" t="str">
        <f t="shared" si="6"/>
        <v>EI897989IO.Mode</v>
      </c>
      <c r="I87" s="23">
        <f t="shared" si="7"/>
        <v>2</v>
      </c>
    </row>
    <row r="88" spans="2:9" x14ac:dyDescent="0.25">
      <c r="B88" s="25" t="s">
        <v>16</v>
      </c>
      <c r="C88" s="25" t="s">
        <v>1723</v>
      </c>
      <c r="D88" s="25">
        <v>2</v>
      </c>
      <c r="E88" s="25" t="s">
        <v>1724</v>
      </c>
      <c r="F88" s="26" t="str">
        <f t="shared" si="4"/>
        <v>ET897990</v>
      </c>
      <c r="G88" s="26">
        <f t="shared" si="5"/>
        <v>2</v>
      </c>
      <c r="H88" s="23" t="str">
        <f t="shared" si="6"/>
        <v>EI897990IO.Mode</v>
      </c>
      <c r="I88" s="23">
        <f t="shared" si="7"/>
        <v>2</v>
      </c>
    </row>
    <row r="89" spans="2:9" x14ac:dyDescent="0.25">
      <c r="B89" s="25" t="s">
        <v>16</v>
      </c>
      <c r="C89" s="25" t="s">
        <v>1725</v>
      </c>
      <c r="D89" s="25">
        <v>2</v>
      </c>
      <c r="E89" s="25" t="s">
        <v>1726</v>
      </c>
      <c r="F89" s="26" t="str">
        <f t="shared" si="4"/>
        <v>ET897993</v>
      </c>
      <c r="G89" s="26">
        <f t="shared" si="5"/>
        <v>2</v>
      </c>
      <c r="H89" s="23" t="str">
        <f t="shared" si="6"/>
        <v>EI897993IO.Mode</v>
      </c>
      <c r="I89" s="23">
        <f t="shared" si="7"/>
        <v>2</v>
      </c>
    </row>
    <row r="90" spans="2:9" x14ac:dyDescent="0.25">
      <c r="B90" s="25" t="s">
        <v>16</v>
      </c>
      <c r="C90" s="25" t="s">
        <v>1727</v>
      </c>
      <c r="D90" s="25">
        <v>2</v>
      </c>
      <c r="E90" s="25" t="s">
        <v>1728</v>
      </c>
      <c r="F90" s="26" t="str">
        <f t="shared" si="4"/>
        <v>ET897994</v>
      </c>
      <c r="G90" s="26">
        <f t="shared" si="5"/>
        <v>2</v>
      </c>
      <c r="H90" s="23" t="str">
        <f t="shared" si="6"/>
        <v>EI897994IO.Mode</v>
      </c>
      <c r="I90" s="23">
        <f t="shared" si="7"/>
        <v>2</v>
      </c>
    </row>
    <row r="91" spans="2:9" hidden="1" x14ac:dyDescent="0.25">
      <c r="B91" s="25" t="s">
        <v>16</v>
      </c>
      <c r="C91" s="25" t="s">
        <v>94</v>
      </c>
      <c r="D91" s="25">
        <v>0</v>
      </c>
      <c r="E91" s="25" t="s">
        <v>95</v>
      </c>
      <c r="F91" s="26" t="str">
        <f t="shared" si="4"/>
        <v>FT800021</v>
      </c>
      <c r="G91" s="26">
        <f t="shared" si="5"/>
        <v>0</v>
      </c>
      <c r="H91" s="23" t="str">
        <f t="shared" si="6"/>
        <v>FI800021IO.Mode</v>
      </c>
      <c r="I91" s="23">
        <f t="shared" si="7"/>
        <v>0</v>
      </c>
    </row>
    <row r="92" spans="2:9" hidden="1" x14ac:dyDescent="0.25">
      <c r="B92" s="25" t="s">
        <v>16</v>
      </c>
      <c r="C92" s="25" t="s">
        <v>96</v>
      </c>
      <c r="D92" s="25">
        <v>0</v>
      </c>
      <c r="E92" s="25" t="s">
        <v>97</v>
      </c>
      <c r="F92" s="26" t="str">
        <f t="shared" si="4"/>
        <v>FT800111</v>
      </c>
      <c r="G92" s="26">
        <f t="shared" si="5"/>
        <v>0</v>
      </c>
      <c r="H92" s="23" t="str">
        <f t="shared" si="6"/>
        <v>FI800111IO.Mode</v>
      </c>
      <c r="I92" s="23">
        <f t="shared" si="7"/>
        <v>0</v>
      </c>
    </row>
    <row r="93" spans="2:9" hidden="1" x14ac:dyDescent="0.25">
      <c r="B93" s="25" t="s">
        <v>16</v>
      </c>
      <c r="C93" s="25" t="s">
        <v>98</v>
      </c>
      <c r="D93" s="25">
        <v>0</v>
      </c>
      <c r="E93" s="25" t="s">
        <v>99</v>
      </c>
      <c r="F93" s="26" t="str">
        <f t="shared" si="4"/>
        <v>FT800318</v>
      </c>
      <c r="G93" s="26">
        <f t="shared" si="5"/>
        <v>0</v>
      </c>
      <c r="H93" s="23" t="str">
        <f t="shared" si="6"/>
        <v>FI800318IO.Mode</v>
      </c>
      <c r="I93" s="23">
        <f t="shared" si="7"/>
        <v>0</v>
      </c>
    </row>
    <row r="94" spans="2:9" hidden="1" x14ac:dyDescent="0.25">
      <c r="B94" s="25" t="s">
        <v>16</v>
      </c>
      <c r="C94" s="25" t="s">
        <v>100</v>
      </c>
      <c r="D94" s="25">
        <v>0</v>
      </c>
      <c r="E94" s="25" t="s">
        <v>101</v>
      </c>
      <c r="F94" s="26" t="str">
        <f t="shared" si="4"/>
        <v>FT800321</v>
      </c>
      <c r="G94" s="26">
        <f t="shared" si="5"/>
        <v>0</v>
      </c>
      <c r="H94" s="23" t="str">
        <f t="shared" si="6"/>
        <v>FI800321IO.Mode</v>
      </c>
      <c r="I94" s="23">
        <f t="shared" si="7"/>
        <v>0</v>
      </c>
    </row>
    <row r="95" spans="2:9" hidden="1" x14ac:dyDescent="0.25">
      <c r="B95" s="25" t="s">
        <v>16</v>
      </c>
      <c r="C95" s="25" t="s">
        <v>102</v>
      </c>
      <c r="D95" s="25">
        <v>0</v>
      </c>
      <c r="E95" s="25" t="s">
        <v>103</v>
      </c>
      <c r="F95" s="26" t="str">
        <f t="shared" si="4"/>
        <v>FT800416</v>
      </c>
      <c r="G95" s="26">
        <f t="shared" si="5"/>
        <v>0</v>
      </c>
      <c r="H95" s="23" t="str">
        <f t="shared" si="6"/>
        <v>FI800416IO.Mode</v>
      </c>
      <c r="I95" s="23">
        <f t="shared" si="7"/>
        <v>0</v>
      </c>
    </row>
    <row r="96" spans="2:9" hidden="1" x14ac:dyDescent="0.25">
      <c r="B96" s="25" t="s">
        <v>16</v>
      </c>
      <c r="C96" s="25" t="s">
        <v>104</v>
      </c>
      <c r="D96" s="25">
        <v>0</v>
      </c>
      <c r="E96" s="25" t="s">
        <v>105</v>
      </c>
      <c r="F96" s="26" t="str">
        <f t="shared" si="4"/>
        <v>FT800418</v>
      </c>
      <c r="G96" s="26">
        <f t="shared" si="5"/>
        <v>0</v>
      </c>
      <c r="H96" s="23" t="str">
        <f t="shared" si="6"/>
        <v>FI800418IO.Mode</v>
      </c>
      <c r="I96" s="23">
        <f t="shared" si="7"/>
        <v>0</v>
      </c>
    </row>
    <row r="97" spans="2:9" hidden="1" x14ac:dyDescent="0.25">
      <c r="B97" s="25" t="s">
        <v>16</v>
      </c>
      <c r="C97" s="25" t="s">
        <v>106</v>
      </c>
      <c r="D97" s="25">
        <v>0</v>
      </c>
      <c r="E97" s="25" t="s">
        <v>107</v>
      </c>
      <c r="F97" s="26" t="str">
        <f t="shared" si="4"/>
        <v>FT800512</v>
      </c>
      <c r="G97" s="26">
        <f t="shared" si="5"/>
        <v>0</v>
      </c>
      <c r="H97" s="23" t="str">
        <f t="shared" si="6"/>
        <v>FI800512IO.Mode</v>
      </c>
      <c r="I97" s="23">
        <f t="shared" si="7"/>
        <v>0</v>
      </c>
    </row>
    <row r="98" spans="2:9" hidden="1" x14ac:dyDescent="0.25">
      <c r="B98" s="25" t="s">
        <v>16</v>
      </c>
      <c r="C98" s="25" t="s">
        <v>108</v>
      </c>
      <c r="D98" s="25">
        <v>0</v>
      </c>
      <c r="E98" s="25" t="s">
        <v>109</v>
      </c>
      <c r="F98" s="26" t="str">
        <f t="shared" si="4"/>
        <v>FT800613</v>
      </c>
      <c r="G98" s="26">
        <f t="shared" si="5"/>
        <v>0</v>
      </c>
      <c r="H98" s="23" t="str">
        <f t="shared" si="6"/>
        <v>FI800613IO.Mode</v>
      </c>
      <c r="I98" s="23">
        <f t="shared" si="7"/>
        <v>0</v>
      </c>
    </row>
    <row r="99" spans="2:9" hidden="1" x14ac:dyDescent="0.25">
      <c r="B99" s="25" t="s">
        <v>16</v>
      </c>
      <c r="C99" s="25" t="s">
        <v>110</v>
      </c>
      <c r="D99" s="25">
        <v>0</v>
      </c>
      <c r="E99" s="25" t="s">
        <v>111</v>
      </c>
      <c r="F99" s="26" t="str">
        <f t="shared" si="4"/>
        <v>FT803014</v>
      </c>
      <c r="G99" s="26">
        <f t="shared" si="5"/>
        <v>0</v>
      </c>
      <c r="H99" s="23" t="str">
        <f t="shared" si="6"/>
        <v>FI803014IO.Mode</v>
      </c>
      <c r="I99" s="23">
        <f t="shared" si="7"/>
        <v>0</v>
      </c>
    </row>
    <row r="100" spans="2:9" hidden="1" x14ac:dyDescent="0.25">
      <c r="B100" s="25" t="s">
        <v>16</v>
      </c>
      <c r="C100" s="25" t="s">
        <v>112</v>
      </c>
      <c r="D100" s="25">
        <v>0</v>
      </c>
      <c r="E100" s="25" t="s">
        <v>113</v>
      </c>
      <c r="F100" s="26" t="str">
        <f t="shared" si="4"/>
        <v>FT803114</v>
      </c>
      <c r="G100" s="26">
        <f t="shared" si="5"/>
        <v>0</v>
      </c>
      <c r="H100" s="23" t="str">
        <f t="shared" si="6"/>
        <v>FI803114IO.Mode</v>
      </c>
      <c r="I100" s="23">
        <f t="shared" si="7"/>
        <v>0</v>
      </c>
    </row>
    <row r="101" spans="2:9" hidden="1" x14ac:dyDescent="0.25">
      <c r="B101" s="25" t="s">
        <v>16</v>
      </c>
      <c r="C101" s="25" t="s">
        <v>114</v>
      </c>
      <c r="D101" s="25">
        <v>0</v>
      </c>
      <c r="E101" s="25" t="s">
        <v>115</v>
      </c>
      <c r="F101" s="26" t="str">
        <f t="shared" si="4"/>
        <v>FT803214</v>
      </c>
      <c r="G101" s="26">
        <f t="shared" si="5"/>
        <v>0</v>
      </c>
      <c r="H101" s="23" t="str">
        <f t="shared" si="6"/>
        <v>FI803214IO.Mode</v>
      </c>
      <c r="I101" s="23">
        <f t="shared" si="7"/>
        <v>0</v>
      </c>
    </row>
    <row r="102" spans="2:9" hidden="1" x14ac:dyDescent="0.25">
      <c r="B102" s="25" t="s">
        <v>16</v>
      </c>
      <c r="C102" s="25" t="s">
        <v>116</v>
      </c>
      <c r="D102" s="25">
        <v>0</v>
      </c>
      <c r="E102" s="25" t="s">
        <v>117</v>
      </c>
      <c r="F102" s="26" t="str">
        <f t="shared" si="4"/>
        <v>FT803403</v>
      </c>
      <c r="G102" s="26">
        <f t="shared" si="5"/>
        <v>0</v>
      </c>
      <c r="H102" s="23" t="str">
        <f t="shared" si="6"/>
        <v>FI803403IO.Mode</v>
      </c>
      <c r="I102" s="23">
        <f t="shared" si="7"/>
        <v>0</v>
      </c>
    </row>
    <row r="103" spans="2:9" hidden="1" x14ac:dyDescent="0.25">
      <c r="B103" s="25" t="s">
        <v>16</v>
      </c>
      <c r="C103" s="25" t="s">
        <v>118</v>
      </c>
      <c r="D103" s="25">
        <v>0</v>
      </c>
      <c r="E103" s="25" t="s">
        <v>119</v>
      </c>
      <c r="F103" s="26" t="str">
        <f t="shared" si="4"/>
        <v>FT803406</v>
      </c>
      <c r="G103" s="26">
        <f t="shared" si="5"/>
        <v>0</v>
      </c>
      <c r="H103" s="23" t="str">
        <f t="shared" si="6"/>
        <v>FI803406IO.Mode</v>
      </c>
      <c r="I103" s="23">
        <f t="shared" si="7"/>
        <v>0</v>
      </c>
    </row>
    <row r="104" spans="2:9" hidden="1" x14ac:dyDescent="0.25">
      <c r="B104" s="25" t="s">
        <v>16</v>
      </c>
      <c r="C104" s="25" t="s">
        <v>120</v>
      </c>
      <c r="D104" s="25">
        <v>0</v>
      </c>
      <c r="E104" s="25" t="s">
        <v>121</v>
      </c>
      <c r="F104" s="26" t="str">
        <f t="shared" si="4"/>
        <v>FT803409</v>
      </c>
      <c r="G104" s="26">
        <f t="shared" si="5"/>
        <v>0</v>
      </c>
      <c r="H104" s="23" t="str">
        <f t="shared" si="6"/>
        <v>FI803409IO.Mode</v>
      </c>
      <c r="I104" s="23">
        <f t="shared" si="7"/>
        <v>0</v>
      </c>
    </row>
    <row r="105" spans="2:9" hidden="1" x14ac:dyDescent="0.25">
      <c r="B105" s="25" t="s">
        <v>16</v>
      </c>
      <c r="C105" s="25" t="s">
        <v>122</v>
      </c>
      <c r="D105" s="25">
        <v>0</v>
      </c>
      <c r="E105" s="25" t="s">
        <v>123</v>
      </c>
      <c r="F105" s="26" t="str">
        <f t="shared" si="4"/>
        <v>FT803503</v>
      </c>
      <c r="G105" s="26">
        <f t="shared" si="5"/>
        <v>0</v>
      </c>
      <c r="H105" s="23" t="str">
        <f t="shared" si="6"/>
        <v>FI803503IO.Mode</v>
      </c>
      <c r="I105" s="23">
        <f t="shared" si="7"/>
        <v>0</v>
      </c>
    </row>
    <row r="106" spans="2:9" hidden="1" x14ac:dyDescent="0.25">
      <c r="B106" s="25" t="s">
        <v>16</v>
      </c>
      <c r="C106" s="25" t="s">
        <v>124</v>
      </c>
      <c r="D106" s="25">
        <v>0</v>
      </c>
      <c r="E106" s="25" t="s">
        <v>125</v>
      </c>
      <c r="F106" s="26" t="str">
        <f t="shared" si="4"/>
        <v>FT803513</v>
      </c>
      <c r="G106" s="26">
        <f t="shared" si="5"/>
        <v>0</v>
      </c>
      <c r="H106" s="23" t="str">
        <f t="shared" si="6"/>
        <v>FI803513IO.Mode</v>
      </c>
      <c r="I106" s="23">
        <f t="shared" si="7"/>
        <v>0</v>
      </c>
    </row>
    <row r="107" spans="2:9" hidden="1" x14ac:dyDescent="0.25">
      <c r="B107" s="25" t="s">
        <v>16</v>
      </c>
      <c r="C107" s="25" t="s">
        <v>126</v>
      </c>
      <c r="D107" s="25">
        <v>0</v>
      </c>
      <c r="E107" s="25" t="s">
        <v>125</v>
      </c>
      <c r="F107" s="26" t="str">
        <f t="shared" si="4"/>
        <v>FT803513</v>
      </c>
      <c r="G107" s="26">
        <f t="shared" si="5"/>
        <v>0</v>
      </c>
      <c r="H107" s="23" t="str">
        <f t="shared" si="6"/>
        <v>FI803513IO1.Mode</v>
      </c>
      <c r="I107" s="23">
        <f t="shared" si="7"/>
        <v>0</v>
      </c>
    </row>
    <row r="108" spans="2:9" hidden="1" x14ac:dyDescent="0.25">
      <c r="B108" s="25" t="s">
        <v>16</v>
      </c>
      <c r="C108" s="25" t="s">
        <v>127</v>
      </c>
      <c r="D108" s="25">
        <v>0</v>
      </c>
      <c r="E108" s="25" t="s">
        <v>128</v>
      </c>
      <c r="F108" s="26" t="str">
        <f t="shared" si="4"/>
        <v>FT803603</v>
      </c>
      <c r="G108" s="26">
        <f t="shared" si="5"/>
        <v>0</v>
      </c>
      <c r="H108" s="23" t="str">
        <f t="shared" si="6"/>
        <v>FI803603IO.Mode</v>
      </c>
      <c r="I108" s="23">
        <f t="shared" si="7"/>
        <v>0</v>
      </c>
    </row>
    <row r="109" spans="2:9" hidden="1" x14ac:dyDescent="0.25">
      <c r="B109" s="25" t="s">
        <v>16</v>
      </c>
      <c r="C109" s="25" t="s">
        <v>129</v>
      </c>
      <c r="D109" s="25">
        <v>0</v>
      </c>
      <c r="E109" s="25" t="s">
        <v>130</v>
      </c>
      <c r="F109" s="26" t="str">
        <f t="shared" si="4"/>
        <v>FT803606</v>
      </c>
      <c r="G109" s="26">
        <f t="shared" si="5"/>
        <v>0</v>
      </c>
      <c r="H109" s="23" t="str">
        <f t="shared" si="6"/>
        <v>FI803606IO.Mode</v>
      </c>
      <c r="I109" s="23">
        <f t="shared" si="7"/>
        <v>0</v>
      </c>
    </row>
    <row r="110" spans="2:9" hidden="1" x14ac:dyDescent="0.25">
      <c r="B110" s="25" t="s">
        <v>16</v>
      </c>
      <c r="C110" s="25" t="s">
        <v>131</v>
      </c>
      <c r="D110" s="25">
        <v>0</v>
      </c>
      <c r="E110" s="25" t="s">
        <v>132</v>
      </c>
      <c r="F110" s="26" t="str">
        <f t="shared" si="4"/>
        <v>FT807015</v>
      </c>
      <c r="G110" s="26">
        <f t="shared" si="5"/>
        <v>0</v>
      </c>
      <c r="H110" s="23" t="str">
        <f t="shared" si="6"/>
        <v>FI807015IO.Mode</v>
      </c>
      <c r="I110" s="23">
        <f t="shared" si="7"/>
        <v>0</v>
      </c>
    </row>
    <row r="111" spans="2:9" hidden="1" x14ac:dyDescent="0.25">
      <c r="B111" s="25" t="s">
        <v>16</v>
      </c>
      <c r="C111" s="25" t="s">
        <v>133</v>
      </c>
      <c r="D111" s="25">
        <v>0</v>
      </c>
      <c r="E111" s="25" t="s">
        <v>134</v>
      </c>
      <c r="F111" s="26" t="str">
        <f t="shared" si="4"/>
        <v>FT808105</v>
      </c>
      <c r="G111" s="26">
        <f t="shared" si="5"/>
        <v>0</v>
      </c>
      <c r="H111" s="23" t="str">
        <f t="shared" si="6"/>
        <v>FI808105IO.Mode</v>
      </c>
      <c r="I111" s="23">
        <f t="shared" si="7"/>
        <v>0</v>
      </c>
    </row>
    <row r="112" spans="2:9" hidden="1" x14ac:dyDescent="0.25">
      <c r="B112" s="25" t="s">
        <v>16</v>
      </c>
      <c r="C112" s="25" t="s">
        <v>135</v>
      </c>
      <c r="D112" s="25">
        <v>0</v>
      </c>
      <c r="E112" s="25" t="s">
        <v>136</v>
      </c>
      <c r="F112" s="26" t="str">
        <f t="shared" si="4"/>
        <v>FT808213</v>
      </c>
      <c r="G112" s="26">
        <f t="shared" si="5"/>
        <v>0</v>
      </c>
      <c r="H112" s="23" t="str">
        <f t="shared" si="6"/>
        <v>FI808213IO.Mode</v>
      </c>
      <c r="I112" s="23">
        <f t="shared" si="7"/>
        <v>0</v>
      </c>
    </row>
    <row r="113" spans="2:9" hidden="1" x14ac:dyDescent="0.25">
      <c r="B113" s="25" t="s">
        <v>16</v>
      </c>
      <c r="C113" s="25" t="s">
        <v>137</v>
      </c>
      <c r="D113" s="25">
        <v>0</v>
      </c>
      <c r="E113" s="25" t="s">
        <v>138</v>
      </c>
      <c r="F113" s="26" t="str">
        <f t="shared" si="4"/>
        <v>FT808320</v>
      </c>
      <c r="G113" s="26">
        <f t="shared" si="5"/>
        <v>0</v>
      </c>
      <c r="H113" s="23" t="str">
        <f t="shared" si="6"/>
        <v>FI808320IO.Mode</v>
      </c>
      <c r="I113" s="23">
        <f t="shared" si="7"/>
        <v>0</v>
      </c>
    </row>
    <row r="114" spans="2:9" hidden="1" x14ac:dyDescent="0.25">
      <c r="B114" s="25" t="s">
        <v>16</v>
      </c>
      <c r="C114" s="25" t="s">
        <v>139</v>
      </c>
      <c r="D114" s="25">
        <v>0</v>
      </c>
      <c r="E114" s="25" t="s">
        <v>140</v>
      </c>
      <c r="F114" s="26" t="str">
        <f t="shared" si="4"/>
        <v>FT809017</v>
      </c>
      <c r="G114" s="26">
        <f t="shared" si="5"/>
        <v>0</v>
      </c>
      <c r="H114" s="23" t="str">
        <f t="shared" si="6"/>
        <v>FI809017IO.Mode</v>
      </c>
      <c r="I114" s="23">
        <f t="shared" si="7"/>
        <v>0</v>
      </c>
    </row>
    <row r="115" spans="2:9" hidden="1" x14ac:dyDescent="0.25">
      <c r="B115" s="25" t="s">
        <v>16</v>
      </c>
      <c r="C115" s="25" t="s">
        <v>141</v>
      </c>
      <c r="D115" s="25">
        <v>0</v>
      </c>
      <c r="E115" s="25" t="s">
        <v>142</v>
      </c>
      <c r="F115" s="26" t="str">
        <f t="shared" si="4"/>
        <v>FT810001A</v>
      </c>
      <c r="G115" s="26">
        <f t="shared" si="5"/>
        <v>0</v>
      </c>
      <c r="H115" s="23" t="str">
        <f t="shared" si="6"/>
        <v>FI810001A_1oo2IO_MA1.Mode</v>
      </c>
      <c r="I115" s="23">
        <f t="shared" si="7"/>
        <v>0</v>
      </c>
    </row>
    <row r="116" spans="2:9" hidden="1" x14ac:dyDescent="0.25">
      <c r="B116" s="25" t="s">
        <v>16</v>
      </c>
      <c r="C116" s="25" t="s">
        <v>143</v>
      </c>
      <c r="D116" s="25">
        <v>0</v>
      </c>
      <c r="E116" s="25" t="s">
        <v>144</v>
      </c>
      <c r="F116" s="26" t="str">
        <f t="shared" si="4"/>
        <v>FT810001B</v>
      </c>
      <c r="G116" s="26">
        <f t="shared" si="5"/>
        <v>0</v>
      </c>
      <c r="H116" s="23" t="str">
        <f t="shared" si="6"/>
        <v>FI810001A_1oo2IO_MA2.Mode</v>
      </c>
      <c r="I116" s="23">
        <f t="shared" si="7"/>
        <v>0</v>
      </c>
    </row>
    <row r="117" spans="2:9" hidden="1" x14ac:dyDescent="0.25">
      <c r="B117" s="25" t="s">
        <v>16</v>
      </c>
      <c r="C117" s="25" t="s">
        <v>145</v>
      </c>
      <c r="D117" s="25">
        <v>0</v>
      </c>
      <c r="E117" s="25" t="s">
        <v>146</v>
      </c>
      <c r="F117" s="26" t="str">
        <f t="shared" si="4"/>
        <v>FT810101A</v>
      </c>
      <c r="G117" s="26">
        <f t="shared" si="5"/>
        <v>0</v>
      </c>
      <c r="H117" s="23" t="str">
        <f t="shared" si="6"/>
        <v>FI810101AIO.Mode</v>
      </c>
      <c r="I117" s="23">
        <f t="shared" si="7"/>
        <v>0</v>
      </c>
    </row>
    <row r="118" spans="2:9" hidden="1" x14ac:dyDescent="0.25">
      <c r="B118" s="25" t="s">
        <v>16</v>
      </c>
      <c r="C118" s="25" t="s">
        <v>147</v>
      </c>
      <c r="D118" s="25">
        <v>0</v>
      </c>
      <c r="E118" s="25" t="s">
        <v>148</v>
      </c>
      <c r="F118" s="26" t="str">
        <f t="shared" si="4"/>
        <v>FT810101B</v>
      </c>
      <c r="G118" s="26">
        <f t="shared" si="5"/>
        <v>0</v>
      </c>
      <c r="H118" s="23" t="str">
        <f t="shared" si="6"/>
        <v>FI810101BIO.Mode</v>
      </c>
      <c r="I118" s="23">
        <f t="shared" si="7"/>
        <v>0</v>
      </c>
    </row>
    <row r="119" spans="2:9" hidden="1" x14ac:dyDescent="0.25">
      <c r="B119" s="25" t="s">
        <v>16</v>
      </c>
      <c r="C119" s="25" t="s">
        <v>149</v>
      </c>
      <c r="D119" s="25">
        <v>0</v>
      </c>
      <c r="E119" s="25" t="s">
        <v>150</v>
      </c>
      <c r="F119" s="26" t="str">
        <f t="shared" si="4"/>
        <v>FT810505</v>
      </c>
      <c r="G119" s="26">
        <f t="shared" si="5"/>
        <v>0</v>
      </c>
      <c r="H119" s="23" t="str">
        <f t="shared" si="6"/>
        <v>FI810505IO.Mode</v>
      </c>
      <c r="I119" s="23">
        <f t="shared" si="7"/>
        <v>0</v>
      </c>
    </row>
    <row r="120" spans="2:9" hidden="1" x14ac:dyDescent="0.25">
      <c r="B120" s="25" t="s">
        <v>16</v>
      </c>
      <c r="C120" s="25" t="s">
        <v>151</v>
      </c>
      <c r="D120" s="25">
        <v>0</v>
      </c>
      <c r="E120" s="25" t="s">
        <v>152</v>
      </c>
      <c r="F120" s="26" t="str">
        <f t="shared" si="4"/>
        <v>FT810621</v>
      </c>
      <c r="G120" s="26">
        <f t="shared" si="5"/>
        <v>0</v>
      </c>
      <c r="H120" s="23" t="str">
        <f t="shared" si="6"/>
        <v>FI810621IO.Mode</v>
      </c>
      <c r="I120" s="23">
        <f t="shared" si="7"/>
        <v>0</v>
      </c>
    </row>
    <row r="121" spans="2:9" hidden="1" x14ac:dyDescent="0.25">
      <c r="B121" s="25" t="s">
        <v>16</v>
      </c>
      <c r="C121" s="25" t="s">
        <v>153</v>
      </c>
      <c r="D121" s="25">
        <v>0</v>
      </c>
      <c r="E121" s="25" t="s">
        <v>154</v>
      </c>
      <c r="F121" s="26" t="str">
        <f t="shared" si="4"/>
        <v>FT810639</v>
      </c>
      <c r="G121" s="26">
        <f t="shared" si="5"/>
        <v>0</v>
      </c>
      <c r="H121" s="23" t="str">
        <f t="shared" si="6"/>
        <v>FI810639IO.Mode</v>
      </c>
      <c r="I121" s="23">
        <f t="shared" si="7"/>
        <v>0</v>
      </c>
    </row>
    <row r="122" spans="2:9" hidden="1" x14ac:dyDescent="0.25">
      <c r="B122" s="25" t="s">
        <v>16</v>
      </c>
      <c r="C122" s="25" t="s">
        <v>155</v>
      </c>
      <c r="D122" s="25">
        <v>0</v>
      </c>
      <c r="E122" s="25" t="s">
        <v>156</v>
      </c>
      <c r="F122" s="26" t="str">
        <f t="shared" si="4"/>
        <v>FT810640</v>
      </c>
      <c r="G122" s="26">
        <f t="shared" si="5"/>
        <v>0</v>
      </c>
      <c r="H122" s="23" t="str">
        <f t="shared" si="6"/>
        <v>FI810640IO.Mode</v>
      </c>
      <c r="I122" s="23">
        <f t="shared" si="7"/>
        <v>0</v>
      </c>
    </row>
    <row r="123" spans="2:9" hidden="1" x14ac:dyDescent="0.25">
      <c r="B123" s="25" t="s">
        <v>16</v>
      </c>
      <c r="C123" s="25" t="s">
        <v>157</v>
      </c>
      <c r="D123" s="25">
        <v>0</v>
      </c>
      <c r="E123" s="25" t="s">
        <v>158</v>
      </c>
      <c r="F123" s="26" t="str">
        <f t="shared" si="4"/>
        <v>FT810735</v>
      </c>
      <c r="G123" s="26">
        <f t="shared" si="5"/>
        <v>0</v>
      </c>
      <c r="H123" s="23" t="str">
        <f t="shared" si="6"/>
        <v>FI810735IO.Mode</v>
      </c>
      <c r="I123" s="23">
        <f t="shared" si="7"/>
        <v>0</v>
      </c>
    </row>
    <row r="124" spans="2:9" hidden="1" x14ac:dyDescent="0.25">
      <c r="B124" s="25" t="s">
        <v>16</v>
      </c>
      <c r="C124" s="25" t="s">
        <v>159</v>
      </c>
      <c r="D124" s="25">
        <v>0</v>
      </c>
      <c r="E124" s="25" t="s">
        <v>160</v>
      </c>
      <c r="F124" s="26" t="str">
        <f t="shared" si="4"/>
        <v>FT811014</v>
      </c>
      <c r="G124" s="26">
        <f t="shared" si="5"/>
        <v>0</v>
      </c>
      <c r="H124" s="23" t="str">
        <f t="shared" si="6"/>
        <v>FI811014IO.Mode</v>
      </c>
      <c r="I124" s="23">
        <f t="shared" si="7"/>
        <v>0</v>
      </c>
    </row>
    <row r="125" spans="2:9" hidden="1" x14ac:dyDescent="0.25">
      <c r="B125" s="25" t="s">
        <v>16</v>
      </c>
      <c r="C125" s="25" t="s">
        <v>161</v>
      </c>
      <c r="D125" s="25">
        <v>0</v>
      </c>
      <c r="E125" s="25" t="s">
        <v>162</v>
      </c>
      <c r="F125" s="26" t="str">
        <f t="shared" si="4"/>
        <v>FT812117</v>
      </c>
      <c r="G125" s="26">
        <f t="shared" si="5"/>
        <v>0</v>
      </c>
      <c r="H125" s="23" t="str">
        <f t="shared" si="6"/>
        <v>FI812117IO.Mode</v>
      </c>
      <c r="I125" s="23">
        <f t="shared" si="7"/>
        <v>0</v>
      </c>
    </row>
    <row r="126" spans="2:9" hidden="1" x14ac:dyDescent="0.25">
      <c r="B126" s="25" t="s">
        <v>16</v>
      </c>
      <c r="C126" s="25" t="s">
        <v>163</v>
      </c>
      <c r="D126" s="25">
        <v>0</v>
      </c>
      <c r="E126" s="25" t="s">
        <v>164</v>
      </c>
      <c r="F126" s="26" t="str">
        <f t="shared" si="4"/>
        <v>FT820001A</v>
      </c>
      <c r="G126" s="26">
        <f t="shared" si="5"/>
        <v>0</v>
      </c>
      <c r="H126" s="23" t="str">
        <f t="shared" si="6"/>
        <v>FI820001A_1oo2IO_MA1.Mode</v>
      </c>
      <c r="I126" s="23">
        <f t="shared" si="7"/>
        <v>0</v>
      </c>
    </row>
    <row r="127" spans="2:9" hidden="1" x14ac:dyDescent="0.25">
      <c r="B127" s="25" t="s">
        <v>16</v>
      </c>
      <c r="C127" s="25" t="s">
        <v>165</v>
      </c>
      <c r="D127" s="25">
        <v>0</v>
      </c>
      <c r="E127" s="25" t="s">
        <v>166</v>
      </c>
      <c r="F127" s="26" t="str">
        <f t="shared" si="4"/>
        <v>FT820001B</v>
      </c>
      <c r="G127" s="26">
        <f t="shared" si="5"/>
        <v>0</v>
      </c>
      <c r="H127" s="23" t="str">
        <f t="shared" si="6"/>
        <v>FI820001A_1oo2IO_MA2.Mode</v>
      </c>
      <c r="I127" s="23">
        <f t="shared" si="7"/>
        <v>0</v>
      </c>
    </row>
    <row r="128" spans="2:9" hidden="1" x14ac:dyDescent="0.25">
      <c r="B128" s="25" t="s">
        <v>16</v>
      </c>
      <c r="C128" s="25" t="s">
        <v>167</v>
      </c>
      <c r="D128" s="25">
        <v>0</v>
      </c>
      <c r="E128" s="25" t="s">
        <v>168</v>
      </c>
      <c r="F128" s="26" t="str">
        <f t="shared" si="4"/>
        <v>FT820011A</v>
      </c>
      <c r="G128" s="26">
        <f t="shared" si="5"/>
        <v>0</v>
      </c>
      <c r="H128" s="23" t="str">
        <f t="shared" si="6"/>
        <v>FI820011A_1oo2IO_MA1.Mode</v>
      </c>
      <c r="I128" s="23">
        <f t="shared" si="7"/>
        <v>0</v>
      </c>
    </row>
    <row r="129" spans="2:9" hidden="1" x14ac:dyDescent="0.25">
      <c r="B129" s="25" t="s">
        <v>16</v>
      </c>
      <c r="C129" s="25" t="s">
        <v>169</v>
      </c>
      <c r="D129" s="25">
        <v>0</v>
      </c>
      <c r="E129" s="25" t="s">
        <v>170</v>
      </c>
      <c r="F129" s="26" t="str">
        <f t="shared" si="4"/>
        <v>FT820011B</v>
      </c>
      <c r="G129" s="26">
        <f t="shared" si="5"/>
        <v>0</v>
      </c>
      <c r="H129" s="23" t="str">
        <f t="shared" si="6"/>
        <v>FI820011A_1oo2IO_MA2.Mode</v>
      </c>
      <c r="I129" s="23">
        <f t="shared" si="7"/>
        <v>0</v>
      </c>
    </row>
    <row r="130" spans="2:9" hidden="1" x14ac:dyDescent="0.25">
      <c r="B130" s="25" t="s">
        <v>16</v>
      </c>
      <c r="C130" s="25" t="s">
        <v>171</v>
      </c>
      <c r="D130" s="25">
        <v>0</v>
      </c>
      <c r="E130" s="25" t="s">
        <v>172</v>
      </c>
      <c r="F130" s="26" t="str">
        <f t="shared" ref="F130:F193" si="8">+LEFT(E130,FIND(".",E130,1)-1)</f>
        <v>FT820101A</v>
      </c>
      <c r="G130" s="26">
        <f t="shared" ref="G130:G193" si="9">+IFERROR(IF(VLOOKUP(F130,DI,2,FALSE)="IO",2,0),"N/A")</f>
        <v>0</v>
      </c>
      <c r="H130" s="23" t="str">
        <f t="shared" ref="H130:H193" si="10">+CONCATENATE(C130,".Mode")</f>
        <v>FI820101AIO.Mode</v>
      </c>
      <c r="I130" s="23">
        <f t="shared" si="7"/>
        <v>0</v>
      </c>
    </row>
    <row r="131" spans="2:9" hidden="1" x14ac:dyDescent="0.25">
      <c r="B131" s="25" t="s">
        <v>16</v>
      </c>
      <c r="C131" s="25" t="s">
        <v>173</v>
      </c>
      <c r="D131" s="25">
        <v>0</v>
      </c>
      <c r="E131" s="25" t="s">
        <v>174</v>
      </c>
      <c r="F131" s="26" t="str">
        <f t="shared" si="8"/>
        <v>FT820101B</v>
      </c>
      <c r="G131" s="26">
        <f t="shared" si="9"/>
        <v>0</v>
      </c>
      <c r="H131" s="23" t="str">
        <f t="shared" si="10"/>
        <v>FI820101BIO.Mode</v>
      </c>
      <c r="I131" s="23">
        <f t="shared" ref="I131:I194" si="11">+G131</f>
        <v>0</v>
      </c>
    </row>
    <row r="132" spans="2:9" hidden="1" x14ac:dyDescent="0.25">
      <c r="B132" s="25" t="s">
        <v>16</v>
      </c>
      <c r="C132" s="25" t="s">
        <v>175</v>
      </c>
      <c r="D132" s="25">
        <v>0</v>
      </c>
      <c r="E132" s="25" t="s">
        <v>176</v>
      </c>
      <c r="F132" s="26" t="str">
        <f t="shared" si="8"/>
        <v>FT820505</v>
      </c>
      <c r="G132" s="26">
        <f t="shared" si="9"/>
        <v>0</v>
      </c>
      <c r="H132" s="23" t="str">
        <f t="shared" si="10"/>
        <v>FI820505IO.Mode</v>
      </c>
      <c r="I132" s="23">
        <f t="shared" si="11"/>
        <v>0</v>
      </c>
    </row>
    <row r="133" spans="2:9" hidden="1" x14ac:dyDescent="0.25">
      <c r="B133" s="25" t="s">
        <v>16</v>
      </c>
      <c r="C133" s="25" t="s">
        <v>177</v>
      </c>
      <c r="D133" s="25">
        <v>0</v>
      </c>
      <c r="E133" s="25" t="s">
        <v>178</v>
      </c>
      <c r="F133" s="26" t="str">
        <f t="shared" si="8"/>
        <v>FT820512</v>
      </c>
      <c r="G133" s="26">
        <f t="shared" si="9"/>
        <v>0</v>
      </c>
      <c r="H133" s="23" t="str">
        <f t="shared" si="10"/>
        <v>FI820512IO.Mode</v>
      </c>
      <c r="I133" s="23">
        <f t="shared" si="11"/>
        <v>0</v>
      </c>
    </row>
    <row r="134" spans="2:9" hidden="1" x14ac:dyDescent="0.25">
      <c r="B134" s="25" t="s">
        <v>16</v>
      </c>
      <c r="C134" s="25" t="s">
        <v>179</v>
      </c>
      <c r="D134" s="25">
        <v>0</v>
      </c>
      <c r="E134" s="25" t="s">
        <v>180</v>
      </c>
      <c r="F134" s="26" t="str">
        <f t="shared" si="8"/>
        <v>FT820621</v>
      </c>
      <c r="G134" s="26">
        <f t="shared" si="9"/>
        <v>0</v>
      </c>
      <c r="H134" s="23" t="str">
        <f t="shared" si="10"/>
        <v>FI820621IO.Mode</v>
      </c>
      <c r="I134" s="23">
        <f t="shared" si="11"/>
        <v>0</v>
      </c>
    </row>
    <row r="135" spans="2:9" hidden="1" x14ac:dyDescent="0.25">
      <c r="B135" s="25" t="s">
        <v>16</v>
      </c>
      <c r="C135" s="25" t="s">
        <v>181</v>
      </c>
      <c r="D135" s="25">
        <v>0</v>
      </c>
      <c r="E135" s="25" t="s">
        <v>182</v>
      </c>
      <c r="F135" s="26" t="str">
        <f t="shared" si="8"/>
        <v>FT820639</v>
      </c>
      <c r="G135" s="26">
        <f t="shared" si="9"/>
        <v>0</v>
      </c>
      <c r="H135" s="23" t="str">
        <f t="shared" si="10"/>
        <v>FI820639IO.Mode</v>
      </c>
      <c r="I135" s="23">
        <f t="shared" si="11"/>
        <v>0</v>
      </c>
    </row>
    <row r="136" spans="2:9" hidden="1" x14ac:dyDescent="0.25">
      <c r="B136" s="25" t="s">
        <v>16</v>
      </c>
      <c r="C136" s="25" t="s">
        <v>183</v>
      </c>
      <c r="D136" s="25">
        <v>0</v>
      </c>
      <c r="E136" s="25" t="s">
        <v>184</v>
      </c>
      <c r="F136" s="26" t="str">
        <f t="shared" si="8"/>
        <v>FT820640</v>
      </c>
      <c r="G136" s="26">
        <f t="shared" si="9"/>
        <v>0</v>
      </c>
      <c r="H136" s="23" t="str">
        <f t="shared" si="10"/>
        <v>FI820640IO.Mode</v>
      </c>
      <c r="I136" s="23">
        <f t="shared" si="11"/>
        <v>0</v>
      </c>
    </row>
    <row r="137" spans="2:9" hidden="1" x14ac:dyDescent="0.25">
      <c r="B137" s="25" t="s">
        <v>16</v>
      </c>
      <c r="C137" s="25" t="s">
        <v>185</v>
      </c>
      <c r="D137" s="25">
        <v>0</v>
      </c>
      <c r="E137" s="25" t="s">
        <v>186</v>
      </c>
      <c r="F137" s="26" t="str">
        <f t="shared" si="8"/>
        <v>FT820717</v>
      </c>
      <c r="G137" s="26">
        <f t="shared" si="9"/>
        <v>0</v>
      </c>
      <c r="H137" s="23" t="str">
        <f t="shared" si="10"/>
        <v>FI820717IO.Mode</v>
      </c>
      <c r="I137" s="23">
        <f t="shared" si="11"/>
        <v>0</v>
      </c>
    </row>
    <row r="138" spans="2:9" hidden="1" x14ac:dyDescent="0.25">
      <c r="B138" s="25" t="s">
        <v>16</v>
      </c>
      <c r="C138" s="25" t="s">
        <v>187</v>
      </c>
      <c r="D138" s="25">
        <v>0</v>
      </c>
      <c r="E138" s="25" t="s">
        <v>188</v>
      </c>
      <c r="F138" s="26" t="str">
        <f t="shared" si="8"/>
        <v>FT820834</v>
      </c>
      <c r="G138" s="26">
        <f t="shared" si="9"/>
        <v>0</v>
      </c>
      <c r="H138" s="23" t="str">
        <f t="shared" si="10"/>
        <v>FI820834IO.Mode</v>
      </c>
      <c r="I138" s="23">
        <f t="shared" si="11"/>
        <v>0</v>
      </c>
    </row>
    <row r="139" spans="2:9" hidden="1" x14ac:dyDescent="0.25">
      <c r="B139" s="25" t="s">
        <v>16</v>
      </c>
      <c r="C139" s="25" t="s">
        <v>189</v>
      </c>
      <c r="D139" s="25">
        <v>0</v>
      </c>
      <c r="E139" s="25" t="s">
        <v>190</v>
      </c>
      <c r="F139" s="26" t="str">
        <f t="shared" si="8"/>
        <v>FT820835</v>
      </c>
      <c r="G139" s="26">
        <f t="shared" si="9"/>
        <v>0</v>
      </c>
      <c r="H139" s="23" t="str">
        <f t="shared" si="10"/>
        <v>FI820835IO.Mode</v>
      </c>
      <c r="I139" s="23">
        <f t="shared" si="11"/>
        <v>0</v>
      </c>
    </row>
    <row r="140" spans="2:9" hidden="1" x14ac:dyDescent="0.25">
      <c r="B140" s="25" t="s">
        <v>16</v>
      </c>
      <c r="C140" s="25" t="s">
        <v>191</v>
      </c>
      <c r="D140" s="25">
        <v>0</v>
      </c>
      <c r="E140" s="25" t="s">
        <v>192</v>
      </c>
      <c r="F140" s="26" t="str">
        <f t="shared" si="8"/>
        <v>FT820901</v>
      </c>
      <c r="G140" s="26">
        <f t="shared" si="9"/>
        <v>0</v>
      </c>
      <c r="H140" s="23" t="str">
        <f t="shared" si="10"/>
        <v>FI820901IO.Mode</v>
      </c>
      <c r="I140" s="23">
        <f t="shared" si="11"/>
        <v>0</v>
      </c>
    </row>
    <row r="141" spans="2:9" hidden="1" x14ac:dyDescent="0.25">
      <c r="B141" s="25" t="s">
        <v>16</v>
      </c>
      <c r="C141" s="25" t="s">
        <v>193</v>
      </c>
      <c r="D141" s="25">
        <v>0</v>
      </c>
      <c r="E141" s="25" t="s">
        <v>194</v>
      </c>
      <c r="F141" s="26" t="str">
        <f t="shared" si="8"/>
        <v>FT820903</v>
      </c>
      <c r="G141" s="26">
        <f t="shared" si="9"/>
        <v>0</v>
      </c>
      <c r="H141" s="23" t="str">
        <f t="shared" si="10"/>
        <v>FI820903IO.Mode</v>
      </c>
      <c r="I141" s="23">
        <f t="shared" si="11"/>
        <v>0</v>
      </c>
    </row>
    <row r="142" spans="2:9" hidden="1" x14ac:dyDescent="0.25">
      <c r="B142" s="25" t="s">
        <v>16</v>
      </c>
      <c r="C142" s="25" t="s">
        <v>195</v>
      </c>
      <c r="D142" s="25">
        <v>0</v>
      </c>
      <c r="E142" s="25" t="s">
        <v>196</v>
      </c>
      <c r="F142" s="26" t="str">
        <f t="shared" si="8"/>
        <v>FT821208</v>
      </c>
      <c r="G142" s="26">
        <f t="shared" si="9"/>
        <v>0</v>
      </c>
      <c r="H142" s="23" t="str">
        <f t="shared" si="10"/>
        <v>FI821208IO.Mode</v>
      </c>
      <c r="I142" s="23">
        <f t="shared" si="11"/>
        <v>0</v>
      </c>
    </row>
    <row r="143" spans="2:9" hidden="1" x14ac:dyDescent="0.25">
      <c r="B143" s="25" t="s">
        <v>16</v>
      </c>
      <c r="C143" s="25" t="s">
        <v>197</v>
      </c>
      <c r="D143" s="25">
        <v>0</v>
      </c>
      <c r="E143" s="25" t="s">
        <v>198</v>
      </c>
      <c r="F143" s="26" t="str">
        <f t="shared" si="8"/>
        <v>FT821413</v>
      </c>
      <c r="G143" s="26">
        <f t="shared" si="9"/>
        <v>0</v>
      </c>
      <c r="H143" s="23" t="str">
        <f t="shared" si="10"/>
        <v>FI821413IO.Mode</v>
      </c>
      <c r="I143" s="23">
        <f t="shared" si="11"/>
        <v>0</v>
      </c>
    </row>
    <row r="144" spans="2:9" hidden="1" x14ac:dyDescent="0.25">
      <c r="B144" s="25" t="s">
        <v>16</v>
      </c>
      <c r="C144" s="25" t="s">
        <v>199</v>
      </c>
      <c r="D144" s="25">
        <v>0</v>
      </c>
      <c r="E144" s="25" t="s">
        <v>200</v>
      </c>
      <c r="F144" s="26" t="str">
        <f t="shared" si="8"/>
        <v>FT821425</v>
      </c>
      <c r="G144" s="26">
        <f t="shared" si="9"/>
        <v>0</v>
      </c>
      <c r="H144" s="23" t="str">
        <f t="shared" si="10"/>
        <v>FI821425IO.Mode</v>
      </c>
      <c r="I144" s="23">
        <f t="shared" si="11"/>
        <v>0</v>
      </c>
    </row>
    <row r="145" spans="2:9" hidden="1" x14ac:dyDescent="0.25">
      <c r="B145" s="25" t="s">
        <v>16</v>
      </c>
      <c r="C145" s="25" t="s">
        <v>201</v>
      </c>
      <c r="D145" s="25">
        <v>0</v>
      </c>
      <c r="E145" s="25" t="s">
        <v>202</v>
      </c>
      <c r="F145" s="26" t="str">
        <f t="shared" si="8"/>
        <v>FT821506</v>
      </c>
      <c r="G145" s="26">
        <f t="shared" si="9"/>
        <v>0</v>
      </c>
      <c r="H145" s="23" t="str">
        <f t="shared" si="10"/>
        <v>FI821506IO.Mode</v>
      </c>
      <c r="I145" s="23">
        <f t="shared" si="11"/>
        <v>0</v>
      </c>
    </row>
    <row r="146" spans="2:9" hidden="1" x14ac:dyDescent="0.25">
      <c r="B146" s="25" t="s">
        <v>16</v>
      </c>
      <c r="C146" s="25" t="s">
        <v>203</v>
      </c>
      <c r="D146" s="25">
        <v>0</v>
      </c>
      <c r="E146" s="25" t="s">
        <v>204</v>
      </c>
      <c r="F146" s="26" t="str">
        <f t="shared" si="8"/>
        <v>FT821526</v>
      </c>
      <c r="G146" s="26">
        <f t="shared" si="9"/>
        <v>0</v>
      </c>
      <c r="H146" s="23" t="str">
        <f t="shared" si="10"/>
        <v>FI821526IO.Mode</v>
      </c>
      <c r="I146" s="23">
        <f t="shared" si="11"/>
        <v>0</v>
      </c>
    </row>
    <row r="147" spans="2:9" hidden="1" x14ac:dyDescent="0.25">
      <c r="B147" s="25" t="s">
        <v>16</v>
      </c>
      <c r="C147" s="25" t="s">
        <v>205</v>
      </c>
      <c r="D147" s="25">
        <v>0</v>
      </c>
      <c r="E147" s="25" t="s">
        <v>206</v>
      </c>
      <c r="F147" s="26" t="str">
        <f t="shared" si="8"/>
        <v>FT821909</v>
      </c>
      <c r="G147" s="26">
        <f t="shared" si="9"/>
        <v>0</v>
      </c>
      <c r="H147" s="23" t="str">
        <f t="shared" si="10"/>
        <v>FI821909IO.Mode</v>
      </c>
      <c r="I147" s="23">
        <f t="shared" si="11"/>
        <v>0</v>
      </c>
    </row>
    <row r="148" spans="2:9" hidden="1" x14ac:dyDescent="0.25">
      <c r="B148" s="25" t="s">
        <v>16</v>
      </c>
      <c r="C148" s="25" t="s">
        <v>207</v>
      </c>
      <c r="D148" s="25">
        <v>0</v>
      </c>
      <c r="E148" s="25" t="s">
        <v>208</v>
      </c>
      <c r="F148" s="26" t="str">
        <f t="shared" si="8"/>
        <v>FT822008A</v>
      </c>
      <c r="G148" s="26">
        <f t="shared" si="9"/>
        <v>0</v>
      </c>
      <c r="H148" s="23" t="str">
        <f t="shared" si="10"/>
        <v>FI822008AIO.Mode</v>
      </c>
      <c r="I148" s="23">
        <f t="shared" si="11"/>
        <v>0</v>
      </c>
    </row>
    <row r="149" spans="2:9" hidden="1" x14ac:dyDescent="0.25">
      <c r="B149" s="25" t="s">
        <v>16</v>
      </c>
      <c r="C149" s="25" t="s">
        <v>209</v>
      </c>
      <c r="D149" s="25">
        <v>0</v>
      </c>
      <c r="E149" s="25" t="s">
        <v>210</v>
      </c>
      <c r="F149" s="26" t="str">
        <f t="shared" si="8"/>
        <v>FT822008B</v>
      </c>
      <c r="G149" s="26">
        <f t="shared" si="9"/>
        <v>0</v>
      </c>
      <c r="H149" s="23" t="str">
        <f t="shared" si="10"/>
        <v>FI822008BIO.Mode</v>
      </c>
      <c r="I149" s="23">
        <f t="shared" si="11"/>
        <v>0</v>
      </c>
    </row>
    <row r="150" spans="2:9" hidden="1" x14ac:dyDescent="0.25">
      <c r="B150" s="25" t="s">
        <v>16</v>
      </c>
      <c r="C150" s="25" t="s">
        <v>211</v>
      </c>
      <c r="D150" s="25">
        <v>0</v>
      </c>
      <c r="E150" s="25" t="s">
        <v>212</v>
      </c>
      <c r="F150" s="26" t="str">
        <f t="shared" si="8"/>
        <v>FT822012A</v>
      </c>
      <c r="G150" s="26">
        <f t="shared" si="9"/>
        <v>0</v>
      </c>
      <c r="H150" s="23" t="str">
        <f t="shared" si="10"/>
        <v>FI822012AIO.Mode</v>
      </c>
      <c r="I150" s="23">
        <f t="shared" si="11"/>
        <v>0</v>
      </c>
    </row>
    <row r="151" spans="2:9" hidden="1" x14ac:dyDescent="0.25">
      <c r="B151" s="25" t="s">
        <v>16</v>
      </c>
      <c r="C151" s="25" t="s">
        <v>213</v>
      </c>
      <c r="D151" s="25">
        <v>0</v>
      </c>
      <c r="E151" s="25" t="s">
        <v>214</v>
      </c>
      <c r="F151" s="26" t="str">
        <f t="shared" si="8"/>
        <v>FT822012B</v>
      </c>
      <c r="G151" s="26">
        <f t="shared" si="9"/>
        <v>0</v>
      </c>
      <c r="H151" s="23" t="str">
        <f t="shared" si="10"/>
        <v>FI822012BIO.Mode</v>
      </c>
      <c r="I151" s="23">
        <f t="shared" si="11"/>
        <v>0</v>
      </c>
    </row>
    <row r="152" spans="2:9" hidden="1" x14ac:dyDescent="0.25">
      <c r="B152" s="25" t="s">
        <v>16</v>
      </c>
      <c r="C152" s="25" t="s">
        <v>215</v>
      </c>
      <c r="D152" s="25">
        <v>0</v>
      </c>
      <c r="E152" s="25" t="s">
        <v>216</v>
      </c>
      <c r="F152" s="26" t="str">
        <f t="shared" si="8"/>
        <v>FT822121</v>
      </c>
      <c r="G152" s="26">
        <f t="shared" si="9"/>
        <v>0</v>
      </c>
      <c r="H152" s="23" t="str">
        <f t="shared" si="10"/>
        <v>FI822121IO.Mode</v>
      </c>
      <c r="I152" s="23">
        <f t="shared" si="11"/>
        <v>0</v>
      </c>
    </row>
    <row r="153" spans="2:9" hidden="1" x14ac:dyDescent="0.25">
      <c r="B153" s="25" t="s">
        <v>16</v>
      </c>
      <c r="C153" s="25" t="s">
        <v>217</v>
      </c>
      <c r="D153" s="25">
        <v>0</v>
      </c>
      <c r="E153" s="25" t="s">
        <v>218</v>
      </c>
      <c r="F153" s="26" t="str">
        <f t="shared" si="8"/>
        <v>FT822122</v>
      </c>
      <c r="G153" s="26">
        <f t="shared" si="9"/>
        <v>0</v>
      </c>
      <c r="H153" s="23" t="str">
        <f t="shared" si="10"/>
        <v>FI822122IO.Mode</v>
      </c>
      <c r="I153" s="23">
        <f t="shared" si="11"/>
        <v>0</v>
      </c>
    </row>
    <row r="154" spans="2:9" hidden="1" x14ac:dyDescent="0.25">
      <c r="B154" s="25" t="s">
        <v>16</v>
      </c>
      <c r="C154" s="25" t="s">
        <v>219</v>
      </c>
      <c r="D154" s="25">
        <v>0</v>
      </c>
      <c r="E154" s="25" t="s">
        <v>220</v>
      </c>
      <c r="F154" s="26" t="str">
        <f t="shared" si="8"/>
        <v>FT822132</v>
      </c>
      <c r="G154" s="26">
        <f t="shared" si="9"/>
        <v>0</v>
      </c>
      <c r="H154" s="23" t="str">
        <f t="shared" si="10"/>
        <v>FI822132IO.Mode</v>
      </c>
      <c r="I154" s="23">
        <f t="shared" si="11"/>
        <v>0</v>
      </c>
    </row>
    <row r="155" spans="2:9" hidden="1" x14ac:dyDescent="0.25">
      <c r="B155" s="25" t="s">
        <v>16</v>
      </c>
      <c r="C155" s="25" t="s">
        <v>221</v>
      </c>
      <c r="D155" s="25">
        <v>0</v>
      </c>
      <c r="E155" s="25" t="s">
        <v>222</v>
      </c>
      <c r="F155" s="26" t="str">
        <f t="shared" si="8"/>
        <v>FT822135</v>
      </c>
      <c r="G155" s="26">
        <f t="shared" si="9"/>
        <v>0</v>
      </c>
      <c r="H155" s="23" t="str">
        <f t="shared" si="10"/>
        <v>FI822135IO.Mode</v>
      </c>
      <c r="I155" s="23">
        <f t="shared" si="11"/>
        <v>0</v>
      </c>
    </row>
    <row r="156" spans="2:9" hidden="1" x14ac:dyDescent="0.25">
      <c r="B156" s="25" t="s">
        <v>16</v>
      </c>
      <c r="C156" s="25" t="s">
        <v>223</v>
      </c>
      <c r="D156" s="25">
        <v>0</v>
      </c>
      <c r="E156" s="25" t="s">
        <v>224</v>
      </c>
      <c r="F156" s="26" t="str">
        <f t="shared" si="8"/>
        <v>FT822138</v>
      </c>
      <c r="G156" s="26">
        <f t="shared" si="9"/>
        <v>0</v>
      </c>
      <c r="H156" s="23" t="str">
        <f t="shared" si="10"/>
        <v>FI822138IO.Mode</v>
      </c>
      <c r="I156" s="23">
        <f t="shared" si="11"/>
        <v>0</v>
      </c>
    </row>
    <row r="157" spans="2:9" hidden="1" x14ac:dyDescent="0.25">
      <c r="B157" s="25" t="s">
        <v>16</v>
      </c>
      <c r="C157" s="25" t="s">
        <v>225</v>
      </c>
      <c r="D157" s="25">
        <v>0</v>
      </c>
      <c r="E157" s="25" t="s">
        <v>226</v>
      </c>
      <c r="F157" s="26" t="str">
        <f t="shared" si="8"/>
        <v>FT822207</v>
      </c>
      <c r="G157" s="26">
        <f t="shared" si="9"/>
        <v>0</v>
      </c>
      <c r="H157" s="23" t="str">
        <f t="shared" si="10"/>
        <v>FI822207IO.Mode</v>
      </c>
      <c r="I157" s="23">
        <f t="shared" si="11"/>
        <v>0</v>
      </c>
    </row>
    <row r="158" spans="2:9" hidden="1" x14ac:dyDescent="0.25">
      <c r="B158" s="25" t="s">
        <v>16</v>
      </c>
      <c r="C158" s="25" t="s">
        <v>227</v>
      </c>
      <c r="D158" s="25">
        <v>0</v>
      </c>
      <c r="E158" s="25" t="s">
        <v>228</v>
      </c>
      <c r="F158" s="26" t="str">
        <f t="shared" si="8"/>
        <v>FT822421</v>
      </c>
      <c r="G158" s="26">
        <f t="shared" si="9"/>
        <v>0</v>
      </c>
      <c r="H158" s="23" t="str">
        <f t="shared" si="10"/>
        <v>FI822421IO.Mode</v>
      </c>
      <c r="I158" s="23">
        <f t="shared" si="11"/>
        <v>0</v>
      </c>
    </row>
    <row r="159" spans="2:9" hidden="1" x14ac:dyDescent="0.25">
      <c r="B159" s="25" t="s">
        <v>16</v>
      </c>
      <c r="C159" s="25" t="s">
        <v>229</v>
      </c>
      <c r="D159" s="25">
        <v>0</v>
      </c>
      <c r="E159" s="25" t="s">
        <v>230</v>
      </c>
      <c r="F159" s="26" t="str">
        <f t="shared" si="8"/>
        <v>FT822915</v>
      </c>
      <c r="G159" s="26">
        <f t="shared" si="9"/>
        <v>0</v>
      </c>
      <c r="H159" s="23" t="str">
        <f t="shared" si="10"/>
        <v>FI822915IO.Mode</v>
      </c>
      <c r="I159" s="23">
        <f t="shared" si="11"/>
        <v>0</v>
      </c>
    </row>
    <row r="160" spans="2:9" hidden="1" x14ac:dyDescent="0.25">
      <c r="B160" s="25" t="s">
        <v>16</v>
      </c>
      <c r="C160" s="25" t="s">
        <v>231</v>
      </c>
      <c r="D160" s="25">
        <v>0</v>
      </c>
      <c r="E160" s="25" t="s">
        <v>232</v>
      </c>
      <c r="F160" s="26" t="str">
        <f t="shared" si="8"/>
        <v>FT823012</v>
      </c>
      <c r="G160" s="26">
        <f t="shared" si="9"/>
        <v>0</v>
      </c>
      <c r="H160" s="23" t="str">
        <f t="shared" si="10"/>
        <v>FI823012IO.Mode</v>
      </c>
      <c r="I160" s="23">
        <f t="shared" si="11"/>
        <v>0</v>
      </c>
    </row>
    <row r="161" spans="2:9" hidden="1" x14ac:dyDescent="0.25">
      <c r="B161" s="25" t="s">
        <v>16</v>
      </c>
      <c r="C161" s="25" t="s">
        <v>233</v>
      </c>
      <c r="D161" s="25">
        <v>0</v>
      </c>
      <c r="E161" s="25" t="s">
        <v>234</v>
      </c>
      <c r="F161" s="26" t="str">
        <f t="shared" si="8"/>
        <v>FT823220</v>
      </c>
      <c r="G161" s="26">
        <f t="shared" si="9"/>
        <v>0</v>
      </c>
      <c r="H161" s="23" t="str">
        <f t="shared" si="10"/>
        <v>FI823220IO.Mode</v>
      </c>
      <c r="I161" s="23">
        <f t="shared" si="11"/>
        <v>0</v>
      </c>
    </row>
    <row r="162" spans="2:9" hidden="1" x14ac:dyDescent="0.25">
      <c r="B162" s="25" t="s">
        <v>16</v>
      </c>
      <c r="C162" s="25" t="s">
        <v>235</v>
      </c>
      <c r="D162" s="25">
        <v>0</v>
      </c>
      <c r="E162" s="25" t="s">
        <v>236</v>
      </c>
      <c r="F162" s="26" t="str">
        <f t="shared" si="8"/>
        <v>FT830115</v>
      </c>
      <c r="G162" s="26">
        <f t="shared" si="9"/>
        <v>0</v>
      </c>
      <c r="H162" s="23" t="str">
        <f t="shared" si="10"/>
        <v>FI830115IO.Mode</v>
      </c>
      <c r="I162" s="23">
        <f t="shared" si="11"/>
        <v>0</v>
      </c>
    </row>
    <row r="163" spans="2:9" hidden="1" x14ac:dyDescent="0.25">
      <c r="B163" s="25" t="s">
        <v>16</v>
      </c>
      <c r="C163" s="25" t="s">
        <v>237</v>
      </c>
      <c r="D163" s="25">
        <v>0</v>
      </c>
      <c r="E163" s="25" t="s">
        <v>238</v>
      </c>
      <c r="F163" s="26" t="str">
        <f t="shared" si="8"/>
        <v>FT830230</v>
      </c>
      <c r="G163" s="26">
        <f t="shared" si="9"/>
        <v>0</v>
      </c>
      <c r="H163" s="23" t="str">
        <f t="shared" si="10"/>
        <v>FI830230IO.Mode</v>
      </c>
      <c r="I163" s="23">
        <f t="shared" si="11"/>
        <v>0</v>
      </c>
    </row>
    <row r="164" spans="2:9" hidden="1" x14ac:dyDescent="0.25">
      <c r="B164" s="25" t="s">
        <v>16</v>
      </c>
      <c r="C164" s="25" t="s">
        <v>239</v>
      </c>
      <c r="D164" s="25">
        <v>0</v>
      </c>
      <c r="E164" s="25" t="s">
        <v>240</v>
      </c>
      <c r="F164" s="26" t="str">
        <f t="shared" si="8"/>
        <v>FT830301A</v>
      </c>
      <c r="G164" s="26">
        <f t="shared" si="9"/>
        <v>0</v>
      </c>
      <c r="H164" s="23" t="str">
        <f t="shared" si="10"/>
        <v>FI830301A_1oo2IO_MA1.Mode</v>
      </c>
      <c r="I164" s="23">
        <f t="shared" si="11"/>
        <v>0</v>
      </c>
    </row>
    <row r="165" spans="2:9" hidden="1" x14ac:dyDescent="0.25">
      <c r="B165" s="25" t="s">
        <v>16</v>
      </c>
      <c r="C165" s="25" t="s">
        <v>241</v>
      </c>
      <c r="D165" s="25">
        <v>0</v>
      </c>
      <c r="E165" s="25" t="s">
        <v>242</v>
      </c>
      <c r="F165" s="26" t="str">
        <f t="shared" si="8"/>
        <v>FT830301B</v>
      </c>
      <c r="G165" s="26">
        <f t="shared" si="9"/>
        <v>0</v>
      </c>
      <c r="H165" s="23" t="str">
        <f t="shared" si="10"/>
        <v>FI830301A_1oo2IO_MA2.Mode</v>
      </c>
      <c r="I165" s="23">
        <f t="shared" si="11"/>
        <v>0</v>
      </c>
    </row>
    <row r="166" spans="2:9" hidden="1" x14ac:dyDescent="0.25">
      <c r="B166" s="25" t="s">
        <v>16</v>
      </c>
      <c r="C166" s="25" t="s">
        <v>243</v>
      </c>
      <c r="D166" s="25">
        <v>0</v>
      </c>
      <c r="E166" s="25" t="s">
        <v>240</v>
      </c>
      <c r="F166" s="26" t="str">
        <f t="shared" si="8"/>
        <v>FT830301A</v>
      </c>
      <c r="G166" s="26">
        <f t="shared" si="9"/>
        <v>0</v>
      </c>
      <c r="H166" s="23" t="str">
        <f t="shared" si="10"/>
        <v>FI830301AIO.Mode</v>
      </c>
      <c r="I166" s="23">
        <f t="shared" si="11"/>
        <v>0</v>
      </c>
    </row>
    <row r="167" spans="2:9" hidden="1" x14ac:dyDescent="0.25">
      <c r="B167" s="25" t="s">
        <v>16</v>
      </c>
      <c r="C167" s="25" t="s">
        <v>244</v>
      </c>
      <c r="D167" s="25">
        <v>0</v>
      </c>
      <c r="E167" s="25" t="s">
        <v>242</v>
      </c>
      <c r="F167" s="26" t="str">
        <f t="shared" si="8"/>
        <v>FT830301B</v>
      </c>
      <c r="G167" s="26">
        <f t="shared" si="9"/>
        <v>0</v>
      </c>
      <c r="H167" s="23" t="str">
        <f t="shared" si="10"/>
        <v>FI830301BIO.Mode</v>
      </c>
      <c r="I167" s="23">
        <f t="shared" si="11"/>
        <v>0</v>
      </c>
    </row>
    <row r="168" spans="2:9" hidden="1" x14ac:dyDescent="0.25">
      <c r="B168" s="25" t="s">
        <v>16</v>
      </c>
      <c r="C168" s="25" t="s">
        <v>245</v>
      </c>
      <c r="D168" s="25">
        <v>0</v>
      </c>
      <c r="E168" s="25" t="s">
        <v>246</v>
      </c>
      <c r="F168" s="26" t="str">
        <f t="shared" si="8"/>
        <v>FT830311</v>
      </c>
      <c r="G168" s="26">
        <f t="shared" si="9"/>
        <v>0</v>
      </c>
      <c r="H168" s="23" t="str">
        <f t="shared" si="10"/>
        <v>FI830311IO.Mode</v>
      </c>
      <c r="I168" s="23">
        <f t="shared" si="11"/>
        <v>0</v>
      </c>
    </row>
    <row r="169" spans="2:9" hidden="1" x14ac:dyDescent="0.25">
      <c r="B169" s="25" t="s">
        <v>16</v>
      </c>
      <c r="C169" s="25" t="s">
        <v>247</v>
      </c>
      <c r="D169" s="25">
        <v>0</v>
      </c>
      <c r="E169" s="25" t="s">
        <v>248</v>
      </c>
      <c r="F169" s="26" t="str">
        <f t="shared" si="8"/>
        <v>FT830312A</v>
      </c>
      <c r="G169" s="26">
        <f t="shared" si="9"/>
        <v>0</v>
      </c>
      <c r="H169" s="23" t="str">
        <f t="shared" si="10"/>
        <v>FI830312A_1oo2IO_MA1.Mode</v>
      </c>
      <c r="I169" s="23">
        <f t="shared" si="11"/>
        <v>0</v>
      </c>
    </row>
    <row r="170" spans="2:9" hidden="1" x14ac:dyDescent="0.25">
      <c r="B170" s="25" t="s">
        <v>16</v>
      </c>
      <c r="C170" s="25" t="s">
        <v>249</v>
      </c>
      <c r="D170" s="25">
        <v>0</v>
      </c>
      <c r="E170" s="25" t="s">
        <v>248</v>
      </c>
      <c r="F170" s="26" t="str">
        <f t="shared" si="8"/>
        <v>FT830312A</v>
      </c>
      <c r="G170" s="26">
        <f t="shared" si="9"/>
        <v>0</v>
      </c>
      <c r="H170" s="23" t="str">
        <f t="shared" si="10"/>
        <v>FI830312A_1oo2IO_MA2.Mode</v>
      </c>
      <c r="I170" s="23">
        <f t="shared" si="11"/>
        <v>0</v>
      </c>
    </row>
    <row r="171" spans="2:9" hidden="1" x14ac:dyDescent="0.25">
      <c r="B171" s="25" t="s">
        <v>16</v>
      </c>
      <c r="C171" s="25" t="s">
        <v>250</v>
      </c>
      <c r="D171" s="25">
        <v>0</v>
      </c>
      <c r="E171" s="25" t="s">
        <v>248</v>
      </c>
      <c r="F171" s="26" t="str">
        <f t="shared" si="8"/>
        <v>FT830312A</v>
      </c>
      <c r="G171" s="26">
        <f t="shared" si="9"/>
        <v>0</v>
      </c>
      <c r="H171" s="23" t="str">
        <f t="shared" si="10"/>
        <v>FI830312AIO.Mode</v>
      </c>
      <c r="I171" s="23">
        <f t="shared" si="11"/>
        <v>0</v>
      </c>
    </row>
    <row r="172" spans="2:9" hidden="1" x14ac:dyDescent="0.25">
      <c r="B172" s="25" t="s">
        <v>16</v>
      </c>
      <c r="C172" s="25" t="s">
        <v>251</v>
      </c>
      <c r="D172" s="25">
        <v>0</v>
      </c>
      <c r="E172" s="25" t="s">
        <v>252</v>
      </c>
      <c r="F172" s="26" t="str">
        <f t="shared" si="8"/>
        <v>FT830312B</v>
      </c>
      <c r="G172" s="26">
        <f t="shared" si="9"/>
        <v>0</v>
      </c>
      <c r="H172" s="23" t="str">
        <f t="shared" si="10"/>
        <v>FI830312BIO.Mode</v>
      </c>
      <c r="I172" s="23">
        <f t="shared" si="11"/>
        <v>0</v>
      </c>
    </row>
    <row r="173" spans="2:9" hidden="1" x14ac:dyDescent="0.25">
      <c r="B173" s="25" t="s">
        <v>16</v>
      </c>
      <c r="C173" s="25" t="s">
        <v>253</v>
      </c>
      <c r="D173" s="25">
        <v>0</v>
      </c>
      <c r="E173" s="25" t="s">
        <v>254</v>
      </c>
      <c r="F173" s="26" t="str">
        <f t="shared" si="8"/>
        <v>FT830401A</v>
      </c>
      <c r="G173" s="26">
        <f t="shared" si="9"/>
        <v>0</v>
      </c>
      <c r="H173" s="23" t="str">
        <f t="shared" si="10"/>
        <v>FI830401AIO.Mode</v>
      </c>
      <c r="I173" s="23">
        <f t="shared" si="11"/>
        <v>0</v>
      </c>
    </row>
    <row r="174" spans="2:9" hidden="1" x14ac:dyDescent="0.25">
      <c r="B174" s="25" t="s">
        <v>16</v>
      </c>
      <c r="C174" s="25" t="s">
        <v>255</v>
      </c>
      <c r="D174" s="25">
        <v>0</v>
      </c>
      <c r="E174" s="25" t="s">
        <v>256</v>
      </c>
      <c r="F174" s="26" t="str">
        <f t="shared" si="8"/>
        <v>FT830401B</v>
      </c>
      <c r="G174" s="26">
        <f t="shared" si="9"/>
        <v>0</v>
      </c>
      <c r="H174" s="23" t="str">
        <f t="shared" si="10"/>
        <v>FI830401BIO.Mode</v>
      </c>
      <c r="I174" s="23">
        <f t="shared" si="11"/>
        <v>0</v>
      </c>
    </row>
    <row r="175" spans="2:9" hidden="1" x14ac:dyDescent="0.25">
      <c r="B175" s="25" t="s">
        <v>16</v>
      </c>
      <c r="C175" s="25" t="s">
        <v>257</v>
      </c>
      <c r="D175" s="25">
        <v>0</v>
      </c>
      <c r="E175" s="25" t="s">
        <v>258</v>
      </c>
      <c r="F175" s="26" t="str">
        <f t="shared" si="8"/>
        <v>FT830402A</v>
      </c>
      <c r="G175" s="26">
        <f t="shared" si="9"/>
        <v>0</v>
      </c>
      <c r="H175" s="23" t="str">
        <f t="shared" si="10"/>
        <v>FI830402AIO.Mode</v>
      </c>
      <c r="I175" s="23">
        <f t="shared" si="11"/>
        <v>0</v>
      </c>
    </row>
    <row r="176" spans="2:9" hidden="1" x14ac:dyDescent="0.25">
      <c r="B176" s="25" t="s">
        <v>16</v>
      </c>
      <c r="C176" s="25" t="s">
        <v>259</v>
      </c>
      <c r="D176" s="25">
        <v>0</v>
      </c>
      <c r="E176" s="25" t="s">
        <v>260</v>
      </c>
      <c r="F176" s="26" t="str">
        <f t="shared" si="8"/>
        <v>FT830402B</v>
      </c>
      <c r="G176" s="26">
        <f t="shared" si="9"/>
        <v>0</v>
      </c>
      <c r="H176" s="23" t="str">
        <f t="shared" si="10"/>
        <v>FI830402BIO.Mode</v>
      </c>
      <c r="I176" s="23">
        <f t="shared" si="11"/>
        <v>0</v>
      </c>
    </row>
    <row r="177" spans="2:9" hidden="1" x14ac:dyDescent="0.25">
      <c r="B177" s="25" t="s">
        <v>16</v>
      </c>
      <c r="C177" s="25" t="s">
        <v>261</v>
      </c>
      <c r="D177" s="25">
        <v>0</v>
      </c>
      <c r="E177" s="25" t="s">
        <v>262</v>
      </c>
      <c r="F177" s="26" t="str">
        <f t="shared" si="8"/>
        <v>FT830405A</v>
      </c>
      <c r="G177" s="26">
        <f t="shared" si="9"/>
        <v>0</v>
      </c>
      <c r="H177" s="23" t="str">
        <f t="shared" si="10"/>
        <v>FI830405AIO.Mode</v>
      </c>
      <c r="I177" s="23">
        <f t="shared" si="11"/>
        <v>0</v>
      </c>
    </row>
    <row r="178" spans="2:9" hidden="1" x14ac:dyDescent="0.25">
      <c r="B178" s="25" t="s">
        <v>16</v>
      </c>
      <c r="C178" s="25" t="s">
        <v>263</v>
      </c>
      <c r="D178" s="25">
        <v>0</v>
      </c>
      <c r="E178" s="25" t="s">
        <v>264</v>
      </c>
      <c r="F178" s="26" t="str">
        <f t="shared" si="8"/>
        <v>FT830405B</v>
      </c>
      <c r="G178" s="26">
        <f t="shared" si="9"/>
        <v>0</v>
      </c>
      <c r="H178" s="23" t="str">
        <f t="shared" si="10"/>
        <v>FI830405BIO.Mode</v>
      </c>
      <c r="I178" s="23">
        <f t="shared" si="11"/>
        <v>0</v>
      </c>
    </row>
    <row r="179" spans="2:9" hidden="1" x14ac:dyDescent="0.25">
      <c r="B179" s="25" t="s">
        <v>16</v>
      </c>
      <c r="C179" s="25" t="s">
        <v>265</v>
      </c>
      <c r="D179" s="25">
        <v>0</v>
      </c>
      <c r="E179" s="25" t="s">
        <v>266</v>
      </c>
      <c r="F179" s="26" t="str">
        <f t="shared" si="8"/>
        <v>FT830409A</v>
      </c>
      <c r="G179" s="26">
        <f t="shared" si="9"/>
        <v>0</v>
      </c>
      <c r="H179" s="23" t="str">
        <f t="shared" si="10"/>
        <v>FI830409AIO.Mode</v>
      </c>
      <c r="I179" s="23">
        <f t="shared" si="11"/>
        <v>0</v>
      </c>
    </row>
    <row r="180" spans="2:9" hidden="1" x14ac:dyDescent="0.25">
      <c r="B180" s="25" t="s">
        <v>16</v>
      </c>
      <c r="C180" s="25" t="s">
        <v>267</v>
      </c>
      <c r="D180" s="25">
        <v>0</v>
      </c>
      <c r="E180" s="25" t="s">
        <v>268</v>
      </c>
      <c r="F180" s="26" t="str">
        <f t="shared" si="8"/>
        <v>FT830409B</v>
      </c>
      <c r="G180" s="26">
        <f t="shared" si="9"/>
        <v>0</v>
      </c>
      <c r="H180" s="23" t="str">
        <f t="shared" si="10"/>
        <v>FI830409BIO.Mode</v>
      </c>
      <c r="I180" s="23">
        <f t="shared" si="11"/>
        <v>0</v>
      </c>
    </row>
    <row r="181" spans="2:9" hidden="1" x14ac:dyDescent="0.25">
      <c r="B181" s="25" t="s">
        <v>16</v>
      </c>
      <c r="C181" s="25" t="s">
        <v>269</v>
      </c>
      <c r="D181" s="25">
        <v>0</v>
      </c>
      <c r="E181" s="25" t="s">
        <v>270</v>
      </c>
      <c r="F181" s="26" t="str">
        <f t="shared" si="8"/>
        <v>FT830416A</v>
      </c>
      <c r="G181" s="26">
        <f t="shared" si="9"/>
        <v>0</v>
      </c>
      <c r="H181" s="23" t="str">
        <f t="shared" si="10"/>
        <v>FI830416A_1oo2IO_MA1.Mode</v>
      </c>
      <c r="I181" s="23">
        <f t="shared" si="11"/>
        <v>0</v>
      </c>
    </row>
    <row r="182" spans="2:9" hidden="1" x14ac:dyDescent="0.25">
      <c r="B182" s="25" t="s">
        <v>16</v>
      </c>
      <c r="C182" s="25" t="s">
        <v>271</v>
      </c>
      <c r="D182" s="25">
        <v>0</v>
      </c>
      <c r="E182" s="25" t="s">
        <v>272</v>
      </c>
      <c r="F182" s="26" t="str">
        <f t="shared" si="8"/>
        <v>FT830416B</v>
      </c>
      <c r="G182" s="26">
        <f t="shared" si="9"/>
        <v>0</v>
      </c>
      <c r="H182" s="23" t="str">
        <f t="shared" si="10"/>
        <v>FI830416A_1oo2IO_MA2.Mode</v>
      </c>
      <c r="I182" s="23">
        <f t="shared" si="11"/>
        <v>0</v>
      </c>
    </row>
    <row r="183" spans="2:9" hidden="1" x14ac:dyDescent="0.25">
      <c r="B183" s="25" t="s">
        <v>16</v>
      </c>
      <c r="C183" s="25" t="s">
        <v>273</v>
      </c>
      <c r="D183" s="25">
        <v>0</v>
      </c>
      <c r="E183" s="25" t="s">
        <v>270</v>
      </c>
      <c r="F183" s="26" t="str">
        <f t="shared" si="8"/>
        <v>FT830416A</v>
      </c>
      <c r="G183" s="26">
        <f t="shared" si="9"/>
        <v>0</v>
      </c>
      <c r="H183" s="23" t="str">
        <f t="shared" si="10"/>
        <v>FI830416AIO.Mode</v>
      </c>
      <c r="I183" s="23">
        <f t="shared" si="11"/>
        <v>0</v>
      </c>
    </row>
    <row r="184" spans="2:9" hidden="1" x14ac:dyDescent="0.25">
      <c r="B184" s="25" t="s">
        <v>16</v>
      </c>
      <c r="C184" s="25" t="s">
        <v>274</v>
      </c>
      <c r="D184" s="25">
        <v>0</v>
      </c>
      <c r="E184" s="25" t="s">
        <v>272</v>
      </c>
      <c r="F184" s="26" t="str">
        <f t="shared" si="8"/>
        <v>FT830416B</v>
      </c>
      <c r="G184" s="26">
        <f t="shared" si="9"/>
        <v>0</v>
      </c>
      <c r="H184" s="23" t="str">
        <f t="shared" si="10"/>
        <v>FI830416BIO.Mode</v>
      </c>
      <c r="I184" s="23">
        <f t="shared" si="11"/>
        <v>0</v>
      </c>
    </row>
    <row r="185" spans="2:9" hidden="1" x14ac:dyDescent="0.25">
      <c r="B185" s="25" t="s">
        <v>16</v>
      </c>
      <c r="C185" s="25" t="s">
        <v>275</v>
      </c>
      <c r="D185" s="25">
        <v>0</v>
      </c>
      <c r="E185" s="25" t="s">
        <v>276</v>
      </c>
      <c r="F185" s="26" t="str">
        <f t="shared" si="8"/>
        <v>FT830607</v>
      </c>
      <c r="G185" s="26">
        <f t="shared" si="9"/>
        <v>0</v>
      </c>
      <c r="H185" s="23" t="str">
        <f t="shared" si="10"/>
        <v>FI830607IO.Mode</v>
      </c>
      <c r="I185" s="23">
        <f t="shared" si="11"/>
        <v>0</v>
      </c>
    </row>
    <row r="186" spans="2:9" hidden="1" x14ac:dyDescent="0.25">
      <c r="B186" s="25" t="s">
        <v>16</v>
      </c>
      <c r="C186" s="25" t="s">
        <v>277</v>
      </c>
      <c r="D186" s="25">
        <v>0</v>
      </c>
      <c r="E186" s="25" t="s">
        <v>278</v>
      </c>
      <c r="F186" s="26" t="str">
        <f t="shared" si="8"/>
        <v>FT830703</v>
      </c>
      <c r="G186" s="26">
        <f t="shared" si="9"/>
        <v>0</v>
      </c>
      <c r="H186" s="23" t="str">
        <f t="shared" si="10"/>
        <v>FI830703IO.Mode</v>
      </c>
      <c r="I186" s="23">
        <f t="shared" si="11"/>
        <v>0</v>
      </c>
    </row>
    <row r="187" spans="2:9" hidden="1" x14ac:dyDescent="0.25">
      <c r="B187" s="25" t="s">
        <v>16</v>
      </c>
      <c r="C187" s="25" t="s">
        <v>279</v>
      </c>
      <c r="D187" s="25">
        <v>0</v>
      </c>
      <c r="E187" s="25" t="s">
        <v>280</v>
      </c>
      <c r="F187" s="26" t="str">
        <f t="shared" si="8"/>
        <v>FT830821</v>
      </c>
      <c r="G187" s="26">
        <f t="shared" si="9"/>
        <v>0</v>
      </c>
      <c r="H187" s="23" t="str">
        <f t="shared" si="10"/>
        <v>FI830821IO.Mode</v>
      </c>
      <c r="I187" s="23">
        <f t="shared" si="11"/>
        <v>0</v>
      </c>
    </row>
    <row r="188" spans="2:9" hidden="1" x14ac:dyDescent="0.25">
      <c r="B188" s="25" t="s">
        <v>16</v>
      </c>
      <c r="C188" s="25" t="s">
        <v>281</v>
      </c>
      <c r="D188" s="25">
        <v>0</v>
      </c>
      <c r="E188" s="25" t="s">
        <v>282</v>
      </c>
      <c r="F188" s="26" t="str">
        <f t="shared" si="8"/>
        <v>FT830839</v>
      </c>
      <c r="G188" s="26">
        <f t="shared" si="9"/>
        <v>0</v>
      </c>
      <c r="H188" s="23" t="str">
        <f t="shared" si="10"/>
        <v>FI830839IO.Mode</v>
      </c>
      <c r="I188" s="23">
        <f t="shared" si="11"/>
        <v>0</v>
      </c>
    </row>
    <row r="189" spans="2:9" hidden="1" x14ac:dyDescent="0.25">
      <c r="B189" s="25" t="s">
        <v>16</v>
      </c>
      <c r="C189" s="25" t="s">
        <v>283</v>
      </c>
      <c r="D189" s="25">
        <v>0</v>
      </c>
      <c r="E189" s="25" t="s">
        <v>284</v>
      </c>
      <c r="F189" s="26" t="str">
        <f t="shared" si="8"/>
        <v>FT830840</v>
      </c>
      <c r="G189" s="26">
        <f t="shared" si="9"/>
        <v>0</v>
      </c>
      <c r="H189" s="23" t="str">
        <f t="shared" si="10"/>
        <v>FI830840IO.Mode</v>
      </c>
      <c r="I189" s="23">
        <f t="shared" si="11"/>
        <v>0</v>
      </c>
    </row>
    <row r="190" spans="2:9" hidden="1" x14ac:dyDescent="0.25">
      <c r="B190" s="25" t="s">
        <v>16</v>
      </c>
      <c r="C190" s="25" t="s">
        <v>285</v>
      </c>
      <c r="D190" s="25">
        <v>0</v>
      </c>
      <c r="E190" s="25" t="s">
        <v>286</v>
      </c>
      <c r="F190" s="26" t="str">
        <f t="shared" si="8"/>
        <v>FT830912</v>
      </c>
      <c r="G190" s="26">
        <f t="shared" si="9"/>
        <v>0</v>
      </c>
      <c r="H190" s="23" t="str">
        <f t="shared" si="10"/>
        <v>FI830912IO.Mode</v>
      </c>
      <c r="I190" s="23">
        <f t="shared" si="11"/>
        <v>0</v>
      </c>
    </row>
    <row r="191" spans="2:9" hidden="1" x14ac:dyDescent="0.25">
      <c r="B191" s="25" t="s">
        <v>16</v>
      </c>
      <c r="C191" s="25" t="s">
        <v>287</v>
      </c>
      <c r="D191" s="25">
        <v>0</v>
      </c>
      <c r="E191" s="25" t="s">
        <v>288</v>
      </c>
      <c r="F191" s="26" t="str">
        <f t="shared" si="8"/>
        <v>FT830915</v>
      </c>
      <c r="G191" s="26">
        <f t="shared" si="9"/>
        <v>0</v>
      </c>
      <c r="H191" s="23" t="str">
        <f t="shared" si="10"/>
        <v>FI830915IO.Mode</v>
      </c>
      <c r="I191" s="23">
        <f t="shared" si="11"/>
        <v>0</v>
      </c>
    </row>
    <row r="192" spans="2:9" hidden="1" x14ac:dyDescent="0.25">
      <c r="B192" s="25" t="s">
        <v>16</v>
      </c>
      <c r="C192" s="25" t="s">
        <v>289</v>
      </c>
      <c r="D192" s="25">
        <v>0</v>
      </c>
      <c r="E192" s="25" t="s">
        <v>290</v>
      </c>
      <c r="F192" s="26" t="str">
        <f t="shared" si="8"/>
        <v>FT830920</v>
      </c>
      <c r="G192" s="26">
        <f t="shared" si="9"/>
        <v>0</v>
      </c>
      <c r="H192" s="23" t="str">
        <f t="shared" si="10"/>
        <v>FI830920IO.Mode</v>
      </c>
      <c r="I192" s="23">
        <f t="shared" si="11"/>
        <v>0</v>
      </c>
    </row>
    <row r="193" spans="2:9" hidden="1" x14ac:dyDescent="0.25">
      <c r="B193" s="25" t="s">
        <v>16</v>
      </c>
      <c r="C193" s="25" t="s">
        <v>291</v>
      </c>
      <c r="D193" s="25">
        <v>0</v>
      </c>
      <c r="E193" s="25" t="s">
        <v>292</v>
      </c>
      <c r="F193" s="26" t="str">
        <f t="shared" si="8"/>
        <v>FT830922</v>
      </c>
      <c r="G193" s="26">
        <f t="shared" si="9"/>
        <v>0</v>
      </c>
      <c r="H193" s="23" t="str">
        <f t="shared" si="10"/>
        <v>FI830922IO.Mode</v>
      </c>
      <c r="I193" s="23">
        <f t="shared" si="11"/>
        <v>0</v>
      </c>
    </row>
    <row r="194" spans="2:9" hidden="1" x14ac:dyDescent="0.25">
      <c r="B194" s="25" t="s">
        <v>16</v>
      </c>
      <c r="C194" s="25" t="s">
        <v>293</v>
      </c>
      <c r="D194" s="25">
        <v>0</v>
      </c>
      <c r="E194" s="25" t="s">
        <v>294</v>
      </c>
      <c r="F194" s="26" t="str">
        <f t="shared" ref="F194:F257" si="12">+LEFT(E194,FIND(".",E194,1)-1)</f>
        <v>FT830937</v>
      </c>
      <c r="G194" s="26">
        <f t="shared" ref="G194:G257" si="13">+IFERROR(IF(VLOOKUP(F194,DI,2,FALSE)="IO",2,0),"N/A")</f>
        <v>0</v>
      </c>
      <c r="H194" s="23" t="str">
        <f t="shared" ref="H194:H257" si="14">+CONCATENATE(C194,".Mode")</f>
        <v>FI830937IO.Mode</v>
      </c>
      <c r="I194" s="23">
        <f t="shared" si="11"/>
        <v>0</v>
      </c>
    </row>
    <row r="195" spans="2:9" hidden="1" x14ac:dyDescent="0.25">
      <c r="B195" s="25" t="s">
        <v>16</v>
      </c>
      <c r="C195" s="25" t="s">
        <v>295</v>
      </c>
      <c r="D195" s="25">
        <v>0</v>
      </c>
      <c r="E195" s="25" t="s">
        <v>296</v>
      </c>
      <c r="F195" s="26" t="str">
        <f t="shared" si="12"/>
        <v>FT831008</v>
      </c>
      <c r="G195" s="26">
        <f t="shared" si="13"/>
        <v>0</v>
      </c>
      <c r="H195" s="23" t="str">
        <f t="shared" si="14"/>
        <v>FI831008IO.Mode</v>
      </c>
      <c r="I195" s="23">
        <f t="shared" ref="I195:I258" si="15">+G195</f>
        <v>0</v>
      </c>
    </row>
    <row r="196" spans="2:9" hidden="1" x14ac:dyDescent="0.25">
      <c r="B196" s="25" t="s">
        <v>16</v>
      </c>
      <c r="C196" s="25" t="s">
        <v>297</v>
      </c>
      <c r="D196" s="25">
        <v>0</v>
      </c>
      <c r="E196" s="25" t="s">
        <v>298</v>
      </c>
      <c r="F196" s="26" t="str">
        <f t="shared" si="12"/>
        <v>FT831221</v>
      </c>
      <c r="G196" s="26">
        <f t="shared" si="13"/>
        <v>0</v>
      </c>
      <c r="H196" s="23" t="str">
        <f t="shared" si="14"/>
        <v>FI831221IO.Mode</v>
      </c>
      <c r="I196" s="23">
        <f t="shared" si="15"/>
        <v>0</v>
      </c>
    </row>
    <row r="197" spans="2:9" hidden="1" x14ac:dyDescent="0.25">
      <c r="B197" s="25" t="s">
        <v>16</v>
      </c>
      <c r="C197" s="25" t="s">
        <v>299</v>
      </c>
      <c r="D197" s="25">
        <v>0</v>
      </c>
      <c r="E197" s="25" t="s">
        <v>300</v>
      </c>
      <c r="F197" s="26" t="str">
        <f t="shared" si="12"/>
        <v>FT832113</v>
      </c>
      <c r="G197" s="26">
        <f t="shared" si="13"/>
        <v>0</v>
      </c>
      <c r="H197" s="23" t="str">
        <f t="shared" si="14"/>
        <v>FI832113IO.Mode</v>
      </c>
      <c r="I197" s="23">
        <f t="shared" si="15"/>
        <v>0</v>
      </c>
    </row>
    <row r="198" spans="2:9" hidden="1" x14ac:dyDescent="0.25">
      <c r="B198" s="25" t="s">
        <v>16</v>
      </c>
      <c r="C198" s="25" t="s">
        <v>301</v>
      </c>
      <c r="D198" s="25">
        <v>0</v>
      </c>
      <c r="E198" s="25" t="s">
        <v>302</v>
      </c>
      <c r="F198" s="26" t="str">
        <f t="shared" si="12"/>
        <v>FT832316</v>
      </c>
      <c r="G198" s="26">
        <f t="shared" si="13"/>
        <v>0</v>
      </c>
      <c r="H198" s="23" t="str">
        <f t="shared" si="14"/>
        <v>FI832316IO.Mode</v>
      </c>
      <c r="I198" s="23">
        <f t="shared" si="15"/>
        <v>0</v>
      </c>
    </row>
    <row r="199" spans="2:9" hidden="1" x14ac:dyDescent="0.25">
      <c r="B199" s="25" t="s">
        <v>16</v>
      </c>
      <c r="C199" s="25" t="s">
        <v>303</v>
      </c>
      <c r="D199" s="25">
        <v>0</v>
      </c>
      <c r="E199" s="25" t="s">
        <v>304</v>
      </c>
      <c r="F199" s="26" t="str">
        <f t="shared" si="12"/>
        <v>FT840004</v>
      </c>
      <c r="G199" s="26">
        <f t="shared" si="13"/>
        <v>0</v>
      </c>
      <c r="H199" s="23" t="str">
        <f t="shared" si="14"/>
        <v>FI840004IO.Mode</v>
      </c>
      <c r="I199" s="23">
        <f t="shared" si="15"/>
        <v>0</v>
      </c>
    </row>
    <row r="200" spans="2:9" x14ac:dyDescent="0.25">
      <c r="B200" s="25" t="s">
        <v>16</v>
      </c>
      <c r="C200" s="25" t="s">
        <v>1729</v>
      </c>
      <c r="D200" s="25">
        <v>0</v>
      </c>
      <c r="E200" s="25" t="s">
        <v>1730</v>
      </c>
      <c r="F200" s="26" t="str">
        <f t="shared" si="12"/>
        <v>FT841103</v>
      </c>
      <c r="G200" s="26">
        <f t="shared" si="13"/>
        <v>2</v>
      </c>
      <c r="H200" s="23" t="str">
        <f t="shared" si="14"/>
        <v>FI841103IO.Mode</v>
      </c>
      <c r="I200" s="23">
        <f t="shared" si="15"/>
        <v>2</v>
      </c>
    </row>
    <row r="201" spans="2:9" hidden="1" x14ac:dyDescent="0.25">
      <c r="B201" s="25" t="s">
        <v>16</v>
      </c>
      <c r="C201" s="25" t="s">
        <v>305</v>
      </c>
      <c r="D201" s="25">
        <v>0</v>
      </c>
      <c r="E201" s="25" t="s">
        <v>306</v>
      </c>
      <c r="F201" s="26" t="str">
        <f t="shared" si="12"/>
        <v>FT842912</v>
      </c>
      <c r="G201" s="26">
        <f t="shared" si="13"/>
        <v>0</v>
      </c>
      <c r="H201" s="23" t="str">
        <f t="shared" si="14"/>
        <v>FI842912IO.Mode</v>
      </c>
      <c r="I201" s="23">
        <f t="shared" si="15"/>
        <v>0</v>
      </c>
    </row>
    <row r="202" spans="2:9" x14ac:dyDescent="0.25">
      <c r="B202" s="25" t="s">
        <v>16</v>
      </c>
      <c r="C202" s="25" t="s">
        <v>1731</v>
      </c>
      <c r="D202" s="25">
        <v>0</v>
      </c>
      <c r="E202" s="25" t="s">
        <v>1732</v>
      </c>
      <c r="F202" s="26" t="str">
        <f t="shared" si="12"/>
        <v>FT843101</v>
      </c>
      <c r="G202" s="26">
        <f t="shared" si="13"/>
        <v>2</v>
      </c>
      <c r="H202" s="23" t="str">
        <f t="shared" si="14"/>
        <v>FI843101IO.Mode</v>
      </c>
      <c r="I202" s="23">
        <f t="shared" si="15"/>
        <v>2</v>
      </c>
    </row>
    <row r="203" spans="2:9" x14ac:dyDescent="0.25">
      <c r="B203" s="25" t="s">
        <v>16</v>
      </c>
      <c r="C203" s="25" t="s">
        <v>1733</v>
      </c>
      <c r="D203" s="25">
        <v>0</v>
      </c>
      <c r="E203" s="25" t="s">
        <v>1734</v>
      </c>
      <c r="F203" s="26" t="str">
        <f t="shared" si="12"/>
        <v>FT843301</v>
      </c>
      <c r="G203" s="26">
        <f t="shared" si="13"/>
        <v>2</v>
      </c>
      <c r="H203" s="23" t="str">
        <f t="shared" si="14"/>
        <v>FI843301IO.Mode</v>
      </c>
      <c r="I203" s="23">
        <f t="shared" si="15"/>
        <v>2</v>
      </c>
    </row>
    <row r="204" spans="2:9" x14ac:dyDescent="0.25">
      <c r="B204" s="25" t="s">
        <v>16</v>
      </c>
      <c r="C204" s="25" t="s">
        <v>1735</v>
      </c>
      <c r="D204" s="25">
        <v>0</v>
      </c>
      <c r="E204" s="25" t="s">
        <v>1736</v>
      </c>
      <c r="F204" s="26" t="str">
        <f t="shared" si="12"/>
        <v>FT843401</v>
      </c>
      <c r="G204" s="26">
        <f t="shared" si="13"/>
        <v>2</v>
      </c>
      <c r="H204" s="23" t="str">
        <f t="shared" si="14"/>
        <v>FI843401IO.Mode</v>
      </c>
      <c r="I204" s="23">
        <f t="shared" si="15"/>
        <v>2</v>
      </c>
    </row>
    <row r="205" spans="2:9" x14ac:dyDescent="0.25">
      <c r="B205" s="25" t="s">
        <v>16</v>
      </c>
      <c r="C205" s="25" t="s">
        <v>1737</v>
      </c>
      <c r="D205" s="25">
        <v>0</v>
      </c>
      <c r="E205" s="25" t="s">
        <v>1738</v>
      </c>
      <c r="F205" s="26" t="str">
        <f t="shared" si="12"/>
        <v>FT843501</v>
      </c>
      <c r="G205" s="26">
        <f t="shared" si="13"/>
        <v>2</v>
      </c>
      <c r="H205" s="23" t="str">
        <f t="shared" si="14"/>
        <v>FI843501IO.Mode</v>
      </c>
      <c r="I205" s="23">
        <f t="shared" si="15"/>
        <v>2</v>
      </c>
    </row>
    <row r="206" spans="2:9" hidden="1" x14ac:dyDescent="0.25">
      <c r="B206" s="25" t="s">
        <v>16</v>
      </c>
      <c r="C206" s="25" t="s">
        <v>307</v>
      </c>
      <c r="D206" s="25">
        <v>0</v>
      </c>
      <c r="E206" s="25" t="s">
        <v>308</v>
      </c>
      <c r="F206" s="26" t="str">
        <f t="shared" si="12"/>
        <v>FT843801</v>
      </c>
      <c r="G206" s="26">
        <f t="shared" si="13"/>
        <v>0</v>
      </c>
      <c r="H206" s="23" t="str">
        <f t="shared" si="14"/>
        <v>FI843801IO.Mode</v>
      </c>
      <c r="I206" s="23">
        <f t="shared" si="15"/>
        <v>0</v>
      </c>
    </row>
    <row r="207" spans="2:9" hidden="1" x14ac:dyDescent="0.25">
      <c r="B207" s="25" t="s">
        <v>16</v>
      </c>
      <c r="C207" s="25" t="s">
        <v>309</v>
      </c>
      <c r="D207" s="25">
        <v>0</v>
      </c>
      <c r="E207" s="25" t="s">
        <v>310</v>
      </c>
      <c r="F207" s="26" t="str">
        <f t="shared" si="12"/>
        <v>FT844004</v>
      </c>
      <c r="G207" s="26">
        <f t="shared" si="13"/>
        <v>0</v>
      </c>
      <c r="H207" s="23" t="str">
        <f t="shared" si="14"/>
        <v>FI844004IO.Mode</v>
      </c>
      <c r="I207" s="23">
        <f t="shared" si="15"/>
        <v>0</v>
      </c>
    </row>
    <row r="208" spans="2:9" x14ac:dyDescent="0.25">
      <c r="B208" s="25" t="s">
        <v>16</v>
      </c>
      <c r="C208" s="25" t="s">
        <v>1739</v>
      </c>
      <c r="D208" s="25">
        <v>0</v>
      </c>
      <c r="E208" s="25" t="s">
        <v>1740</v>
      </c>
      <c r="F208" s="26" t="str">
        <f t="shared" si="12"/>
        <v>FT845001</v>
      </c>
      <c r="G208" s="26">
        <f t="shared" si="13"/>
        <v>2</v>
      </c>
      <c r="H208" s="23" t="str">
        <f t="shared" si="14"/>
        <v>FI845001IO.Mode</v>
      </c>
      <c r="I208" s="23">
        <f t="shared" si="15"/>
        <v>2</v>
      </c>
    </row>
    <row r="209" spans="2:9" x14ac:dyDescent="0.25">
      <c r="B209" s="25" t="s">
        <v>16</v>
      </c>
      <c r="C209" s="25" t="s">
        <v>1741</v>
      </c>
      <c r="D209" s="25">
        <v>0</v>
      </c>
      <c r="E209" s="25" t="s">
        <v>1742</v>
      </c>
      <c r="F209" s="26" t="str">
        <f t="shared" si="12"/>
        <v>FT846501</v>
      </c>
      <c r="G209" s="26">
        <f t="shared" si="13"/>
        <v>2</v>
      </c>
      <c r="H209" s="23" t="str">
        <f t="shared" si="14"/>
        <v>FI846501IO.Mode</v>
      </c>
      <c r="I209" s="23">
        <f t="shared" si="15"/>
        <v>2</v>
      </c>
    </row>
    <row r="210" spans="2:9" x14ac:dyDescent="0.25">
      <c r="B210" s="25" t="s">
        <v>16</v>
      </c>
      <c r="C210" s="25" t="s">
        <v>1743</v>
      </c>
      <c r="D210" s="25">
        <v>0</v>
      </c>
      <c r="E210" s="25" t="s">
        <v>1744</v>
      </c>
      <c r="F210" s="26" t="str">
        <f t="shared" si="12"/>
        <v>FT846601</v>
      </c>
      <c r="G210" s="26">
        <f t="shared" si="13"/>
        <v>2</v>
      </c>
      <c r="H210" s="23" t="str">
        <f t="shared" si="14"/>
        <v>FI846601IO.Mode</v>
      </c>
      <c r="I210" s="23">
        <f t="shared" si="15"/>
        <v>2</v>
      </c>
    </row>
    <row r="211" spans="2:9" hidden="1" x14ac:dyDescent="0.25">
      <c r="B211" s="25" t="s">
        <v>16</v>
      </c>
      <c r="C211" s="25" t="s">
        <v>311</v>
      </c>
      <c r="D211" s="25">
        <v>0</v>
      </c>
      <c r="E211" s="25" t="s">
        <v>312</v>
      </c>
      <c r="F211" s="26" t="str">
        <f t="shared" si="12"/>
        <v>FT850008</v>
      </c>
      <c r="G211" s="26">
        <f t="shared" si="13"/>
        <v>0</v>
      </c>
      <c r="H211" s="23" t="str">
        <f t="shared" si="14"/>
        <v>FI850008IO.Mode</v>
      </c>
      <c r="I211" s="23">
        <f t="shared" si="15"/>
        <v>0</v>
      </c>
    </row>
    <row r="212" spans="2:9" hidden="1" x14ac:dyDescent="0.25">
      <c r="B212" s="25" t="s">
        <v>16</v>
      </c>
      <c r="C212" s="25" t="s">
        <v>313</v>
      </c>
      <c r="D212" s="25">
        <v>0</v>
      </c>
      <c r="E212" s="25" t="s">
        <v>314</v>
      </c>
      <c r="F212" s="26" t="str">
        <f t="shared" si="12"/>
        <v>FT850123</v>
      </c>
      <c r="G212" s="26">
        <f t="shared" si="13"/>
        <v>0</v>
      </c>
      <c r="H212" s="23" t="str">
        <f t="shared" si="14"/>
        <v>FI850123IO.Mode</v>
      </c>
      <c r="I212" s="23">
        <f t="shared" si="15"/>
        <v>0</v>
      </c>
    </row>
    <row r="213" spans="2:9" hidden="1" x14ac:dyDescent="0.25">
      <c r="B213" s="25" t="s">
        <v>16</v>
      </c>
      <c r="C213" s="25" t="s">
        <v>315</v>
      </c>
      <c r="D213" s="25">
        <v>0</v>
      </c>
      <c r="E213" s="25" t="s">
        <v>316</v>
      </c>
      <c r="F213" s="26" t="str">
        <f t="shared" si="12"/>
        <v>FT850130</v>
      </c>
      <c r="G213" s="26">
        <f t="shared" si="13"/>
        <v>0</v>
      </c>
      <c r="H213" s="23" t="str">
        <f t="shared" si="14"/>
        <v>FI850130IO.Mode</v>
      </c>
      <c r="I213" s="23">
        <f t="shared" si="15"/>
        <v>0</v>
      </c>
    </row>
    <row r="214" spans="2:9" hidden="1" x14ac:dyDescent="0.25">
      <c r="B214" s="25" t="s">
        <v>16</v>
      </c>
      <c r="C214" s="25" t="s">
        <v>317</v>
      </c>
      <c r="D214" s="25">
        <v>0</v>
      </c>
      <c r="E214" s="25" t="s">
        <v>318</v>
      </c>
      <c r="F214" s="26" t="str">
        <f t="shared" si="12"/>
        <v>FT852013</v>
      </c>
      <c r="G214" s="26">
        <f t="shared" si="13"/>
        <v>0</v>
      </c>
      <c r="H214" s="23" t="str">
        <f t="shared" si="14"/>
        <v>FI852013IO.Mode</v>
      </c>
      <c r="I214" s="23">
        <f t="shared" si="15"/>
        <v>0</v>
      </c>
    </row>
    <row r="215" spans="2:9" hidden="1" x14ac:dyDescent="0.25">
      <c r="B215" s="25" t="s">
        <v>16</v>
      </c>
      <c r="C215" s="25" t="s">
        <v>319</v>
      </c>
      <c r="D215" s="25">
        <v>0</v>
      </c>
      <c r="E215" s="25" t="s">
        <v>320</v>
      </c>
      <c r="F215" s="26" t="str">
        <f t="shared" si="12"/>
        <v>FT856010</v>
      </c>
      <c r="G215" s="26">
        <f t="shared" si="13"/>
        <v>0</v>
      </c>
      <c r="H215" s="23" t="str">
        <f t="shared" si="14"/>
        <v>FI856010IO.Mode</v>
      </c>
      <c r="I215" s="23">
        <f t="shared" si="15"/>
        <v>0</v>
      </c>
    </row>
    <row r="216" spans="2:9" hidden="1" x14ac:dyDescent="0.25">
      <c r="B216" s="25" t="s">
        <v>16</v>
      </c>
      <c r="C216" s="25" t="s">
        <v>321</v>
      </c>
      <c r="D216" s="25">
        <v>0</v>
      </c>
      <c r="E216" s="25" t="s">
        <v>322</v>
      </c>
      <c r="F216" s="26" t="str">
        <f t="shared" si="12"/>
        <v>FT856014</v>
      </c>
      <c r="G216" s="26">
        <f t="shared" si="13"/>
        <v>0</v>
      </c>
      <c r="H216" s="23" t="str">
        <f t="shared" si="14"/>
        <v>FI856014IO.Mode</v>
      </c>
      <c r="I216" s="23">
        <f t="shared" si="15"/>
        <v>0</v>
      </c>
    </row>
    <row r="217" spans="2:9" hidden="1" x14ac:dyDescent="0.25">
      <c r="B217" s="25" t="s">
        <v>16</v>
      </c>
      <c r="C217" s="25" t="s">
        <v>323</v>
      </c>
      <c r="D217" s="25">
        <v>0</v>
      </c>
      <c r="E217" s="25" t="s">
        <v>324</v>
      </c>
      <c r="F217" s="26" t="str">
        <f t="shared" si="12"/>
        <v>FT859005</v>
      </c>
      <c r="G217" s="26">
        <f t="shared" si="13"/>
        <v>0</v>
      </c>
      <c r="H217" s="23" t="str">
        <f t="shared" si="14"/>
        <v>FI859005IO.Mode</v>
      </c>
      <c r="I217" s="23">
        <f t="shared" si="15"/>
        <v>0</v>
      </c>
    </row>
    <row r="218" spans="2:9" hidden="1" x14ac:dyDescent="0.25">
      <c r="B218" s="25" t="s">
        <v>16</v>
      </c>
      <c r="C218" s="25" t="s">
        <v>325</v>
      </c>
      <c r="D218" s="25">
        <v>0</v>
      </c>
      <c r="E218" s="25" t="s">
        <v>326</v>
      </c>
      <c r="F218" s="26" t="str">
        <f t="shared" si="12"/>
        <v>FT896007</v>
      </c>
      <c r="G218" s="26">
        <f t="shared" si="13"/>
        <v>0</v>
      </c>
      <c r="H218" s="23" t="str">
        <f t="shared" si="14"/>
        <v>FI896007IO.Mode</v>
      </c>
      <c r="I218" s="23">
        <f t="shared" si="15"/>
        <v>0</v>
      </c>
    </row>
    <row r="219" spans="2:9" hidden="1" x14ac:dyDescent="0.25">
      <c r="B219" s="25" t="s">
        <v>16</v>
      </c>
      <c r="C219" s="25" t="s">
        <v>327</v>
      </c>
      <c r="D219" s="25">
        <v>0</v>
      </c>
      <c r="E219" s="25" t="s">
        <v>328</v>
      </c>
      <c r="F219" s="26" t="str">
        <f t="shared" si="12"/>
        <v>FT896107</v>
      </c>
      <c r="G219" s="26">
        <f t="shared" si="13"/>
        <v>0</v>
      </c>
      <c r="H219" s="23" t="str">
        <f t="shared" si="14"/>
        <v>FI896107IO.Mode</v>
      </c>
      <c r="I219" s="23">
        <f t="shared" si="15"/>
        <v>0</v>
      </c>
    </row>
    <row r="220" spans="2:9" hidden="1" x14ac:dyDescent="0.25">
      <c r="B220" s="25" t="s">
        <v>16</v>
      </c>
      <c r="C220" s="25" t="s">
        <v>329</v>
      </c>
      <c r="D220" s="25">
        <v>0</v>
      </c>
      <c r="E220" s="25" t="s">
        <v>330</v>
      </c>
      <c r="F220" s="26" t="str">
        <f t="shared" si="12"/>
        <v>IT800001</v>
      </c>
      <c r="G220" s="26">
        <f t="shared" si="13"/>
        <v>0</v>
      </c>
      <c r="H220" s="23" t="str">
        <f t="shared" si="14"/>
        <v>HS800001IO_X.Mode</v>
      </c>
      <c r="I220" s="23">
        <f t="shared" si="15"/>
        <v>0</v>
      </c>
    </row>
    <row r="221" spans="2:9" hidden="1" x14ac:dyDescent="0.25">
      <c r="B221" s="25" t="s">
        <v>16</v>
      </c>
      <c r="C221" s="25" t="s">
        <v>331</v>
      </c>
      <c r="D221" s="25">
        <v>0</v>
      </c>
      <c r="E221" s="25" t="s">
        <v>332</v>
      </c>
      <c r="F221" s="26" t="str">
        <f t="shared" si="12"/>
        <v>IT800101</v>
      </c>
      <c r="G221" s="26">
        <f t="shared" si="13"/>
        <v>0</v>
      </c>
      <c r="H221" s="23" t="str">
        <f t="shared" si="14"/>
        <v>HS800101IO_X.Mode</v>
      </c>
      <c r="I221" s="23">
        <f t="shared" si="15"/>
        <v>0</v>
      </c>
    </row>
    <row r="222" spans="2:9" hidden="1" x14ac:dyDescent="0.25">
      <c r="B222" s="25" t="s">
        <v>16</v>
      </c>
      <c r="C222" s="25" t="s">
        <v>333</v>
      </c>
      <c r="D222" s="25">
        <v>0</v>
      </c>
      <c r="E222" s="25" t="s">
        <v>334</v>
      </c>
      <c r="F222" s="26" t="str">
        <f t="shared" si="12"/>
        <v>JT800306</v>
      </c>
      <c r="G222" s="26">
        <f t="shared" si="13"/>
        <v>0</v>
      </c>
      <c r="H222" s="23" t="str">
        <f t="shared" si="14"/>
        <v>HS800306IO_Amps.Mode</v>
      </c>
      <c r="I222" s="23">
        <f t="shared" si="15"/>
        <v>0</v>
      </c>
    </row>
    <row r="223" spans="2:9" hidden="1" x14ac:dyDescent="0.25">
      <c r="B223" s="25" t="s">
        <v>16</v>
      </c>
      <c r="C223" s="25" t="s">
        <v>335</v>
      </c>
      <c r="D223" s="25">
        <v>0</v>
      </c>
      <c r="E223" s="25" t="s">
        <v>336</v>
      </c>
      <c r="F223" s="26" t="str">
        <f t="shared" si="12"/>
        <v>JT800309</v>
      </c>
      <c r="G223" s="26">
        <f t="shared" si="13"/>
        <v>0</v>
      </c>
      <c r="H223" s="23" t="str">
        <f t="shared" si="14"/>
        <v>HS800309IO_Amps.Mode</v>
      </c>
      <c r="I223" s="23">
        <f t="shared" si="15"/>
        <v>0</v>
      </c>
    </row>
    <row r="224" spans="2:9" hidden="1" x14ac:dyDescent="0.25">
      <c r="B224" s="25" t="s">
        <v>16</v>
      </c>
      <c r="C224" s="25" t="s">
        <v>337</v>
      </c>
      <c r="D224" s="25">
        <v>0</v>
      </c>
      <c r="E224" s="25" t="s">
        <v>338</v>
      </c>
      <c r="F224" s="26" t="str">
        <f t="shared" si="12"/>
        <v>JT800406</v>
      </c>
      <c r="G224" s="26">
        <f t="shared" si="13"/>
        <v>0</v>
      </c>
      <c r="H224" s="23" t="str">
        <f t="shared" si="14"/>
        <v>HS800406IO_Amps.Mode</v>
      </c>
      <c r="I224" s="23">
        <f t="shared" si="15"/>
        <v>0</v>
      </c>
    </row>
    <row r="225" spans="2:9" hidden="1" x14ac:dyDescent="0.25">
      <c r="B225" s="25" t="s">
        <v>16</v>
      </c>
      <c r="C225" s="25" t="s">
        <v>339</v>
      </c>
      <c r="D225" s="25">
        <v>0</v>
      </c>
      <c r="E225" s="25" t="s">
        <v>340</v>
      </c>
      <c r="F225" s="26" t="str">
        <f t="shared" si="12"/>
        <v>JT800506</v>
      </c>
      <c r="G225" s="26">
        <f t="shared" si="13"/>
        <v>0</v>
      </c>
      <c r="H225" s="23" t="str">
        <f t="shared" si="14"/>
        <v>HS800506IO_Amps.Mode</v>
      </c>
      <c r="I225" s="23">
        <f t="shared" si="15"/>
        <v>0</v>
      </c>
    </row>
    <row r="226" spans="2:9" hidden="1" x14ac:dyDescent="0.25">
      <c r="B226" s="25" t="s">
        <v>16</v>
      </c>
      <c r="C226" s="25" t="s">
        <v>341</v>
      </c>
      <c r="D226" s="25">
        <v>0</v>
      </c>
      <c r="E226" s="25" t="s">
        <v>342</v>
      </c>
      <c r="F226" s="26" t="str">
        <f t="shared" si="12"/>
        <v>JT800606</v>
      </c>
      <c r="G226" s="26">
        <f t="shared" si="13"/>
        <v>0</v>
      </c>
      <c r="H226" s="23" t="str">
        <f t="shared" si="14"/>
        <v>HS800606IO_Amps.Mode</v>
      </c>
      <c r="I226" s="23">
        <f t="shared" si="15"/>
        <v>0</v>
      </c>
    </row>
    <row r="227" spans="2:9" hidden="1" x14ac:dyDescent="0.25">
      <c r="B227" s="25" t="s">
        <v>16</v>
      </c>
      <c r="C227" s="25" t="s">
        <v>343</v>
      </c>
      <c r="D227" s="25">
        <v>0</v>
      </c>
      <c r="E227" s="25" t="s">
        <v>344</v>
      </c>
      <c r="F227" s="26" t="str">
        <f t="shared" si="12"/>
        <v>JT800806</v>
      </c>
      <c r="G227" s="26">
        <f t="shared" si="13"/>
        <v>0</v>
      </c>
      <c r="H227" s="23" t="str">
        <f t="shared" si="14"/>
        <v>HS800806IO_Amps.Mode</v>
      </c>
      <c r="I227" s="23">
        <f t="shared" si="15"/>
        <v>0</v>
      </c>
    </row>
    <row r="228" spans="2:9" hidden="1" x14ac:dyDescent="0.25">
      <c r="B228" s="25" t="s">
        <v>16</v>
      </c>
      <c r="C228" s="25" t="s">
        <v>345</v>
      </c>
      <c r="D228" s="25">
        <v>0</v>
      </c>
      <c r="E228" s="25" t="s">
        <v>346</v>
      </c>
      <c r="F228" s="26" t="str">
        <f t="shared" si="12"/>
        <v>JT803006</v>
      </c>
      <c r="G228" s="26">
        <f t="shared" si="13"/>
        <v>0</v>
      </c>
      <c r="H228" s="23" t="str">
        <f t="shared" si="14"/>
        <v>HS803006IO_Amps.Mode</v>
      </c>
      <c r="I228" s="23">
        <f t="shared" si="15"/>
        <v>0</v>
      </c>
    </row>
    <row r="229" spans="2:9" hidden="1" x14ac:dyDescent="0.25">
      <c r="B229" s="25" t="s">
        <v>16</v>
      </c>
      <c r="C229" s="25" t="s">
        <v>347</v>
      </c>
      <c r="D229" s="25">
        <v>0</v>
      </c>
      <c r="E229" s="25" t="s">
        <v>348</v>
      </c>
      <c r="F229" s="26" t="str">
        <f t="shared" si="12"/>
        <v>JT803106</v>
      </c>
      <c r="G229" s="26">
        <f t="shared" si="13"/>
        <v>0</v>
      </c>
      <c r="H229" s="23" t="str">
        <f t="shared" si="14"/>
        <v>HS803106IO_Amps.Mode</v>
      </c>
      <c r="I229" s="23">
        <f t="shared" si="15"/>
        <v>0</v>
      </c>
    </row>
    <row r="230" spans="2:9" hidden="1" x14ac:dyDescent="0.25">
      <c r="B230" s="25" t="s">
        <v>16</v>
      </c>
      <c r="C230" s="25" t="s">
        <v>349</v>
      </c>
      <c r="D230" s="25">
        <v>0</v>
      </c>
      <c r="E230" s="25" t="s">
        <v>350</v>
      </c>
      <c r="F230" s="26" t="str">
        <f t="shared" si="12"/>
        <v>JT803206</v>
      </c>
      <c r="G230" s="26">
        <f t="shared" si="13"/>
        <v>0</v>
      </c>
      <c r="H230" s="23" t="str">
        <f t="shared" si="14"/>
        <v>HS803206IO_Amps.Mode</v>
      </c>
      <c r="I230" s="23">
        <f t="shared" si="15"/>
        <v>0</v>
      </c>
    </row>
    <row r="231" spans="2:9" hidden="1" x14ac:dyDescent="0.25">
      <c r="B231" s="25" t="s">
        <v>16</v>
      </c>
      <c r="C231" s="25" t="s">
        <v>351</v>
      </c>
      <c r="D231" s="25">
        <v>0</v>
      </c>
      <c r="E231" s="25" t="s">
        <v>352</v>
      </c>
      <c r="F231" s="26" t="str">
        <f t="shared" si="12"/>
        <v>IT803402</v>
      </c>
      <c r="G231" s="26">
        <f t="shared" si="13"/>
        <v>0</v>
      </c>
      <c r="H231" s="23" t="str">
        <f t="shared" si="14"/>
        <v>HS803402IO_Amps.Mode</v>
      </c>
      <c r="I231" s="23">
        <f t="shared" si="15"/>
        <v>0</v>
      </c>
    </row>
    <row r="232" spans="2:9" hidden="1" x14ac:dyDescent="0.25">
      <c r="B232" s="25" t="s">
        <v>16</v>
      </c>
      <c r="C232" s="25" t="s">
        <v>353</v>
      </c>
      <c r="D232" s="25">
        <v>0</v>
      </c>
      <c r="E232" s="25" t="s">
        <v>354</v>
      </c>
      <c r="F232" s="26" t="str">
        <f t="shared" si="12"/>
        <v>ST803413</v>
      </c>
      <c r="G232" s="26">
        <f t="shared" si="13"/>
        <v>0</v>
      </c>
      <c r="H232" s="23" t="str">
        <f t="shared" si="14"/>
        <v>HS803402IO_FB.Mode</v>
      </c>
      <c r="I232" s="23">
        <f t="shared" si="15"/>
        <v>0</v>
      </c>
    </row>
    <row r="233" spans="2:9" hidden="1" x14ac:dyDescent="0.25">
      <c r="B233" s="25" t="s">
        <v>16</v>
      </c>
      <c r="C233" s="25" t="s">
        <v>355</v>
      </c>
      <c r="D233" s="25">
        <v>0</v>
      </c>
      <c r="E233" s="25" t="s">
        <v>356</v>
      </c>
      <c r="F233" s="26" t="str">
        <f t="shared" si="12"/>
        <v>IT803405</v>
      </c>
      <c r="G233" s="26">
        <f t="shared" si="13"/>
        <v>0</v>
      </c>
      <c r="H233" s="23" t="str">
        <f t="shared" si="14"/>
        <v>HS803405IO_Amps.Mode</v>
      </c>
      <c r="I233" s="23">
        <f t="shared" si="15"/>
        <v>0</v>
      </c>
    </row>
    <row r="234" spans="2:9" hidden="1" x14ac:dyDescent="0.25">
      <c r="B234" s="25" t="s">
        <v>16</v>
      </c>
      <c r="C234" s="25" t="s">
        <v>357</v>
      </c>
      <c r="D234" s="25">
        <v>0</v>
      </c>
      <c r="E234" s="25" t="s">
        <v>358</v>
      </c>
      <c r="F234" s="26" t="str">
        <f t="shared" si="12"/>
        <v>ST803414</v>
      </c>
      <c r="G234" s="26">
        <f t="shared" si="13"/>
        <v>0</v>
      </c>
      <c r="H234" s="23" t="str">
        <f t="shared" si="14"/>
        <v>HS803405IO_FB.Mode</v>
      </c>
      <c r="I234" s="23">
        <f t="shared" si="15"/>
        <v>0</v>
      </c>
    </row>
    <row r="235" spans="2:9" hidden="1" x14ac:dyDescent="0.25">
      <c r="B235" s="25" t="s">
        <v>16</v>
      </c>
      <c r="C235" s="25" t="s">
        <v>359</v>
      </c>
      <c r="D235" s="25">
        <v>0</v>
      </c>
      <c r="E235" s="25" t="s">
        <v>360</v>
      </c>
      <c r="F235" s="26" t="str">
        <f t="shared" si="12"/>
        <v>IT803408</v>
      </c>
      <c r="G235" s="26">
        <f t="shared" si="13"/>
        <v>0</v>
      </c>
      <c r="H235" s="23" t="str">
        <f t="shared" si="14"/>
        <v>HS803408IO_Amps.Mode</v>
      </c>
      <c r="I235" s="23">
        <f t="shared" si="15"/>
        <v>0</v>
      </c>
    </row>
    <row r="236" spans="2:9" hidden="1" x14ac:dyDescent="0.25">
      <c r="B236" s="25" t="s">
        <v>16</v>
      </c>
      <c r="C236" s="25" t="s">
        <v>361</v>
      </c>
      <c r="D236" s="25">
        <v>0</v>
      </c>
      <c r="E236" s="25" t="s">
        <v>362</v>
      </c>
      <c r="F236" s="26" t="str">
        <f t="shared" si="12"/>
        <v>ST803415</v>
      </c>
      <c r="G236" s="26">
        <f t="shared" si="13"/>
        <v>0</v>
      </c>
      <c r="H236" s="23" t="str">
        <f t="shared" si="14"/>
        <v>HS803408IO_FB.Mode</v>
      </c>
      <c r="I236" s="23">
        <f t="shared" si="15"/>
        <v>0</v>
      </c>
    </row>
    <row r="237" spans="2:9" hidden="1" x14ac:dyDescent="0.25">
      <c r="B237" s="25" t="s">
        <v>16</v>
      </c>
      <c r="C237" s="25" t="s">
        <v>363</v>
      </c>
      <c r="D237" s="25">
        <v>0</v>
      </c>
      <c r="E237" s="25" t="s">
        <v>364</v>
      </c>
      <c r="F237" s="26" t="str">
        <f t="shared" si="12"/>
        <v>IT803502</v>
      </c>
      <c r="G237" s="26">
        <f t="shared" si="13"/>
        <v>0</v>
      </c>
      <c r="H237" s="23" t="str">
        <f t="shared" si="14"/>
        <v>HS803502IO_Amps.Mode</v>
      </c>
      <c r="I237" s="23">
        <f t="shared" si="15"/>
        <v>0</v>
      </c>
    </row>
    <row r="238" spans="2:9" hidden="1" x14ac:dyDescent="0.25">
      <c r="B238" s="25" t="s">
        <v>16</v>
      </c>
      <c r="C238" s="25" t="s">
        <v>365</v>
      </c>
      <c r="D238" s="25">
        <v>0</v>
      </c>
      <c r="E238" s="25" t="s">
        <v>366</v>
      </c>
      <c r="F238" s="26" t="str">
        <f t="shared" si="12"/>
        <v>ST803505</v>
      </c>
      <c r="G238" s="26">
        <f t="shared" si="13"/>
        <v>0</v>
      </c>
      <c r="H238" s="23" t="str">
        <f t="shared" si="14"/>
        <v>HS803502IO_FB.Mode</v>
      </c>
      <c r="I238" s="23">
        <f t="shared" si="15"/>
        <v>0</v>
      </c>
    </row>
    <row r="239" spans="2:9" hidden="1" x14ac:dyDescent="0.25">
      <c r="B239" s="25" t="s">
        <v>16</v>
      </c>
      <c r="C239" s="25" t="s">
        <v>367</v>
      </c>
      <c r="D239" s="25">
        <v>0</v>
      </c>
      <c r="E239" s="25" t="s">
        <v>368</v>
      </c>
      <c r="F239" s="26" t="str">
        <f t="shared" si="12"/>
        <v>IT803512</v>
      </c>
      <c r="G239" s="26">
        <f t="shared" si="13"/>
        <v>0</v>
      </c>
      <c r="H239" s="23" t="str">
        <f t="shared" si="14"/>
        <v>HS803512IO_Amps.Mode</v>
      </c>
      <c r="I239" s="23">
        <f t="shared" si="15"/>
        <v>0</v>
      </c>
    </row>
    <row r="240" spans="2:9" hidden="1" x14ac:dyDescent="0.25">
      <c r="B240" s="25" t="s">
        <v>16</v>
      </c>
      <c r="C240" s="25" t="s">
        <v>369</v>
      </c>
      <c r="D240" s="25">
        <v>0</v>
      </c>
      <c r="E240" s="25" t="s">
        <v>368</v>
      </c>
      <c r="F240" s="26" t="str">
        <f t="shared" si="12"/>
        <v>IT803512</v>
      </c>
      <c r="G240" s="26">
        <f t="shared" si="13"/>
        <v>0</v>
      </c>
      <c r="H240" s="23" t="str">
        <f t="shared" si="14"/>
        <v>HS803512IO_Amps1.Mode</v>
      </c>
      <c r="I240" s="23">
        <f t="shared" si="15"/>
        <v>0</v>
      </c>
    </row>
    <row r="241" spans="2:9" hidden="1" x14ac:dyDescent="0.25">
      <c r="B241" s="25" t="s">
        <v>16</v>
      </c>
      <c r="C241" s="25" t="s">
        <v>370</v>
      </c>
      <c r="D241" s="25">
        <v>0</v>
      </c>
      <c r="E241" s="25" t="s">
        <v>371</v>
      </c>
      <c r="F241" s="26" t="str">
        <f t="shared" si="12"/>
        <v>ST803515</v>
      </c>
      <c r="G241" s="26">
        <f t="shared" si="13"/>
        <v>0</v>
      </c>
      <c r="H241" s="23" t="str">
        <f t="shared" si="14"/>
        <v>HS803512IO_FB.Mode</v>
      </c>
      <c r="I241" s="23">
        <f t="shared" si="15"/>
        <v>0</v>
      </c>
    </row>
    <row r="242" spans="2:9" hidden="1" x14ac:dyDescent="0.25">
      <c r="B242" s="25" t="s">
        <v>16</v>
      </c>
      <c r="C242" s="25" t="s">
        <v>372</v>
      </c>
      <c r="D242" s="25">
        <v>0</v>
      </c>
      <c r="E242" s="25" t="s">
        <v>373</v>
      </c>
      <c r="F242" s="26" t="str">
        <f t="shared" si="12"/>
        <v>IT803602</v>
      </c>
      <c r="G242" s="26">
        <f t="shared" si="13"/>
        <v>0</v>
      </c>
      <c r="H242" s="23" t="str">
        <f t="shared" si="14"/>
        <v>HS803602IO_Amps.Mode</v>
      </c>
      <c r="I242" s="23">
        <f t="shared" si="15"/>
        <v>0</v>
      </c>
    </row>
    <row r="243" spans="2:9" hidden="1" x14ac:dyDescent="0.25">
      <c r="B243" s="25" t="s">
        <v>16</v>
      </c>
      <c r="C243" s="25" t="s">
        <v>374</v>
      </c>
      <c r="D243" s="25">
        <v>0</v>
      </c>
      <c r="E243" s="25" t="s">
        <v>375</v>
      </c>
      <c r="F243" s="26" t="str">
        <f t="shared" si="12"/>
        <v>ST803609</v>
      </c>
      <c r="G243" s="26">
        <f t="shared" si="13"/>
        <v>0</v>
      </c>
      <c r="H243" s="23" t="str">
        <f t="shared" si="14"/>
        <v>HS803602IO_FB.Mode</v>
      </c>
      <c r="I243" s="23">
        <f t="shared" si="15"/>
        <v>0</v>
      </c>
    </row>
    <row r="244" spans="2:9" hidden="1" x14ac:dyDescent="0.25">
      <c r="B244" s="25" t="s">
        <v>16</v>
      </c>
      <c r="C244" s="25" t="s">
        <v>376</v>
      </c>
      <c r="D244" s="25">
        <v>0</v>
      </c>
      <c r="E244" s="25" t="s">
        <v>377</v>
      </c>
      <c r="F244" s="26" t="str">
        <f t="shared" si="12"/>
        <v>IT803605</v>
      </c>
      <c r="G244" s="26">
        <f t="shared" si="13"/>
        <v>0</v>
      </c>
      <c r="H244" s="23" t="str">
        <f t="shared" si="14"/>
        <v>HS803605IO_Amps.Mode</v>
      </c>
      <c r="I244" s="23">
        <f t="shared" si="15"/>
        <v>0</v>
      </c>
    </row>
    <row r="245" spans="2:9" hidden="1" x14ac:dyDescent="0.25">
      <c r="B245" s="25" t="s">
        <v>16</v>
      </c>
      <c r="C245" s="25" t="s">
        <v>378</v>
      </c>
      <c r="D245" s="25">
        <v>0</v>
      </c>
      <c r="E245" s="25" t="s">
        <v>379</v>
      </c>
      <c r="F245" s="26" t="str">
        <f t="shared" si="12"/>
        <v>ST803610</v>
      </c>
      <c r="G245" s="26">
        <f t="shared" si="13"/>
        <v>0</v>
      </c>
      <c r="H245" s="23" t="str">
        <f t="shared" si="14"/>
        <v>HS803605IO_FB.Mode</v>
      </c>
      <c r="I245" s="23">
        <f t="shared" si="15"/>
        <v>0</v>
      </c>
    </row>
    <row r="246" spans="2:9" hidden="1" x14ac:dyDescent="0.25">
      <c r="B246" s="25" t="s">
        <v>16</v>
      </c>
      <c r="C246" s="25" t="s">
        <v>380</v>
      </c>
      <c r="D246" s="25">
        <v>0</v>
      </c>
      <c r="E246" s="25" t="s">
        <v>381</v>
      </c>
      <c r="F246" s="26" t="str">
        <f t="shared" si="12"/>
        <v>JT805006</v>
      </c>
      <c r="G246" s="26">
        <f t="shared" si="13"/>
        <v>0</v>
      </c>
      <c r="H246" s="23" t="str">
        <f t="shared" si="14"/>
        <v>HS805006IO_Amps.Mode</v>
      </c>
      <c r="I246" s="23">
        <f t="shared" si="15"/>
        <v>0</v>
      </c>
    </row>
    <row r="247" spans="2:9" hidden="1" x14ac:dyDescent="0.25">
      <c r="B247" s="25" t="s">
        <v>16</v>
      </c>
      <c r="C247" s="25" t="s">
        <v>382</v>
      </c>
      <c r="D247" s="25">
        <v>0</v>
      </c>
      <c r="E247" s="25" t="s">
        <v>383</v>
      </c>
      <c r="F247" s="26" t="str">
        <f t="shared" si="12"/>
        <v>JT805014</v>
      </c>
      <c r="G247" s="26">
        <f t="shared" si="13"/>
        <v>0</v>
      </c>
      <c r="H247" s="23" t="str">
        <f t="shared" si="14"/>
        <v>HS805014IO_Amps.Mode</v>
      </c>
      <c r="I247" s="23">
        <f t="shared" si="15"/>
        <v>0</v>
      </c>
    </row>
    <row r="248" spans="2:9" hidden="1" x14ac:dyDescent="0.25">
      <c r="B248" s="25" t="s">
        <v>16</v>
      </c>
      <c r="C248" s="25" t="s">
        <v>384</v>
      </c>
      <c r="D248" s="25">
        <v>0</v>
      </c>
      <c r="E248" s="25" t="s">
        <v>385</v>
      </c>
      <c r="F248" s="26" t="str">
        <f t="shared" si="12"/>
        <v>JT807012</v>
      </c>
      <c r="G248" s="26">
        <f t="shared" si="13"/>
        <v>0</v>
      </c>
      <c r="H248" s="23" t="str">
        <f t="shared" si="14"/>
        <v>HS807012IO_Amps.Mode</v>
      </c>
      <c r="I248" s="23">
        <f t="shared" si="15"/>
        <v>0</v>
      </c>
    </row>
    <row r="249" spans="2:9" hidden="1" x14ac:dyDescent="0.25">
      <c r="B249" s="25" t="s">
        <v>16</v>
      </c>
      <c r="C249" s="25" t="s">
        <v>386</v>
      </c>
      <c r="D249" s="25">
        <v>0</v>
      </c>
      <c r="E249" s="25" t="s">
        <v>387</v>
      </c>
      <c r="F249" s="26" t="str">
        <f t="shared" si="12"/>
        <v>JT808107</v>
      </c>
      <c r="G249" s="26">
        <f t="shared" si="13"/>
        <v>0</v>
      </c>
      <c r="H249" s="23" t="str">
        <f t="shared" si="14"/>
        <v>HS808107IO_Amps.Mode</v>
      </c>
      <c r="I249" s="23">
        <f t="shared" si="15"/>
        <v>0</v>
      </c>
    </row>
    <row r="250" spans="2:9" hidden="1" x14ac:dyDescent="0.25">
      <c r="B250" s="25" t="s">
        <v>16</v>
      </c>
      <c r="C250" s="25" t="s">
        <v>388</v>
      </c>
      <c r="D250" s="25">
        <v>0</v>
      </c>
      <c r="E250" s="25" t="s">
        <v>389</v>
      </c>
      <c r="F250" s="26" t="str">
        <f t="shared" si="12"/>
        <v>JT808206</v>
      </c>
      <c r="G250" s="26">
        <f t="shared" si="13"/>
        <v>0</v>
      </c>
      <c r="H250" s="23" t="str">
        <f t="shared" si="14"/>
        <v>HS808206IO_Amps.Mode</v>
      </c>
      <c r="I250" s="23">
        <f t="shared" si="15"/>
        <v>0</v>
      </c>
    </row>
    <row r="251" spans="2:9" hidden="1" x14ac:dyDescent="0.25">
      <c r="B251" s="25" t="s">
        <v>16</v>
      </c>
      <c r="C251" s="25" t="s">
        <v>390</v>
      </c>
      <c r="D251" s="25">
        <v>0</v>
      </c>
      <c r="E251" s="25" t="s">
        <v>391</v>
      </c>
      <c r="F251" s="26" t="str">
        <f t="shared" si="12"/>
        <v>JT808310</v>
      </c>
      <c r="G251" s="26">
        <f t="shared" si="13"/>
        <v>0</v>
      </c>
      <c r="H251" s="23" t="str">
        <f t="shared" si="14"/>
        <v>HS808310IO_Amps.Mode</v>
      </c>
      <c r="I251" s="23">
        <f t="shared" si="15"/>
        <v>0</v>
      </c>
    </row>
    <row r="252" spans="2:9" hidden="1" x14ac:dyDescent="0.25">
      <c r="B252" s="25" t="s">
        <v>16</v>
      </c>
      <c r="C252" s="25" t="s">
        <v>392</v>
      </c>
      <c r="D252" s="25">
        <v>0</v>
      </c>
      <c r="E252" s="25" t="s">
        <v>393</v>
      </c>
      <c r="F252" s="26" t="str">
        <f t="shared" si="12"/>
        <v>JT809006</v>
      </c>
      <c r="G252" s="26">
        <f t="shared" si="13"/>
        <v>0</v>
      </c>
      <c r="H252" s="23" t="str">
        <f t="shared" si="14"/>
        <v>HS809006IO_Amps.Mode</v>
      </c>
      <c r="I252" s="23">
        <f t="shared" si="15"/>
        <v>0</v>
      </c>
    </row>
    <row r="253" spans="2:9" hidden="1" x14ac:dyDescent="0.25">
      <c r="B253" s="25" t="s">
        <v>16</v>
      </c>
      <c r="C253" s="25" t="s">
        <v>394</v>
      </c>
      <c r="D253" s="25">
        <v>0</v>
      </c>
      <c r="E253" s="25" t="s">
        <v>395</v>
      </c>
      <c r="F253" s="26" t="str">
        <f t="shared" si="12"/>
        <v>JT809106</v>
      </c>
      <c r="G253" s="26">
        <f t="shared" si="13"/>
        <v>0</v>
      </c>
      <c r="H253" s="23" t="str">
        <f t="shared" si="14"/>
        <v>HS809106IO_Amps.Mode</v>
      </c>
      <c r="I253" s="23">
        <f t="shared" si="15"/>
        <v>0</v>
      </c>
    </row>
    <row r="254" spans="2:9" hidden="1" x14ac:dyDescent="0.25">
      <c r="B254" s="25" t="s">
        <v>16</v>
      </c>
      <c r="C254" s="25" t="s">
        <v>396</v>
      </c>
      <c r="D254" s="25">
        <v>0</v>
      </c>
      <c r="E254" s="25" t="s">
        <v>397</v>
      </c>
      <c r="F254" s="26" t="str">
        <f t="shared" si="12"/>
        <v>JT809206</v>
      </c>
      <c r="G254" s="26">
        <f t="shared" si="13"/>
        <v>0</v>
      </c>
      <c r="H254" s="23" t="str">
        <f t="shared" si="14"/>
        <v>HS809206IO_Amps.Mode</v>
      </c>
      <c r="I254" s="23">
        <f t="shared" si="15"/>
        <v>0</v>
      </c>
    </row>
    <row r="255" spans="2:9" hidden="1" x14ac:dyDescent="0.25">
      <c r="B255" s="25" t="s">
        <v>16</v>
      </c>
      <c r="C255" s="25" t="s">
        <v>398</v>
      </c>
      <c r="D255" s="25">
        <v>0</v>
      </c>
      <c r="E255" s="25" t="s">
        <v>399</v>
      </c>
      <c r="F255" s="26" t="str">
        <f t="shared" si="12"/>
        <v>JT810404</v>
      </c>
      <c r="G255" s="26">
        <f t="shared" si="13"/>
        <v>0</v>
      </c>
      <c r="H255" s="23" t="str">
        <f t="shared" si="14"/>
        <v>HS810404IO_Amps.Mode</v>
      </c>
      <c r="I255" s="23">
        <f t="shared" si="15"/>
        <v>0</v>
      </c>
    </row>
    <row r="256" spans="2:9" hidden="1" x14ac:dyDescent="0.25">
      <c r="B256" s="25" t="s">
        <v>16</v>
      </c>
      <c r="C256" s="25" t="s">
        <v>400</v>
      </c>
      <c r="D256" s="25">
        <v>0</v>
      </c>
      <c r="E256" s="25" t="s">
        <v>401</v>
      </c>
      <c r="F256" s="26" t="str">
        <f t="shared" si="12"/>
        <v>IT810509A</v>
      </c>
      <c r="G256" s="26">
        <f t="shared" si="13"/>
        <v>0</v>
      </c>
      <c r="H256" s="23" t="str">
        <f t="shared" si="14"/>
        <v>HS810509IO_Amps.Mode</v>
      </c>
      <c r="I256" s="23">
        <f t="shared" si="15"/>
        <v>0</v>
      </c>
    </row>
    <row r="257" spans="2:9" hidden="1" x14ac:dyDescent="0.25">
      <c r="B257" s="25" t="s">
        <v>16</v>
      </c>
      <c r="C257" s="25" t="s">
        <v>402</v>
      </c>
      <c r="D257" s="25">
        <v>0</v>
      </c>
      <c r="E257" s="25" t="s">
        <v>403</v>
      </c>
      <c r="F257" s="26" t="str">
        <f t="shared" si="12"/>
        <v>JT810632</v>
      </c>
      <c r="G257" s="26">
        <f t="shared" si="13"/>
        <v>0</v>
      </c>
      <c r="H257" s="23" t="str">
        <f t="shared" si="14"/>
        <v>HS810632IO_Amps.Mode</v>
      </c>
      <c r="I257" s="23">
        <f t="shared" si="15"/>
        <v>0</v>
      </c>
    </row>
    <row r="258" spans="2:9" hidden="1" x14ac:dyDescent="0.25">
      <c r="B258" s="25" t="s">
        <v>16</v>
      </c>
      <c r="C258" s="25" t="s">
        <v>404</v>
      </c>
      <c r="D258" s="25">
        <v>0</v>
      </c>
      <c r="E258" s="25" t="s">
        <v>405</v>
      </c>
      <c r="F258" s="26" t="str">
        <f t="shared" ref="F258:F321" si="16">+LEFT(E258,FIND(".",E258,1)-1)</f>
        <v>JT810713</v>
      </c>
      <c r="G258" s="26">
        <f t="shared" ref="G258:G321" si="17">+IFERROR(IF(VLOOKUP(F258,DI,2,FALSE)="IO",2,0),"N/A")</f>
        <v>0</v>
      </c>
      <c r="H258" s="23" t="str">
        <f t="shared" ref="H258:H321" si="18">+CONCATENATE(C258,".Mode")</f>
        <v>HS810713IO_Amps.Mode</v>
      </c>
      <c r="I258" s="23">
        <f t="shared" si="15"/>
        <v>0</v>
      </c>
    </row>
    <row r="259" spans="2:9" hidden="1" x14ac:dyDescent="0.25">
      <c r="B259" s="25" t="s">
        <v>16</v>
      </c>
      <c r="C259" s="25" t="s">
        <v>406</v>
      </c>
      <c r="D259" s="25">
        <v>0</v>
      </c>
      <c r="E259" s="25" t="s">
        <v>407</v>
      </c>
      <c r="F259" s="26" t="str">
        <f t="shared" si="16"/>
        <v>JT811006</v>
      </c>
      <c r="G259" s="26">
        <f t="shared" si="17"/>
        <v>0</v>
      </c>
      <c r="H259" s="23" t="str">
        <f t="shared" si="18"/>
        <v>HS811006IO_Amps.Mode</v>
      </c>
      <c r="I259" s="23">
        <f t="shared" ref="I259:I322" si="19">+G259</f>
        <v>0</v>
      </c>
    </row>
    <row r="260" spans="2:9" hidden="1" x14ac:dyDescent="0.25">
      <c r="B260" s="25" t="s">
        <v>16</v>
      </c>
      <c r="C260" s="25" t="s">
        <v>408</v>
      </c>
      <c r="D260" s="25">
        <v>0</v>
      </c>
      <c r="E260" s="25" t="s">
        <v>409</v>
      </c>
      <c r="F260" s="26" t="str">
        <f t="shared" si="16"/>
        <v>JT811106</v>
      </c>
      <c r="G260" s="26">
        <f t="shared" si="17"/>
        <v>0</v>
      </c>
      <c r="H260" s="23" t="str">
        <f t="shared" si="18"/>
        <v>HS811106IO_Amps.Mode</v>
      </c>
      <c r="I260" s="23">
        <f t="shared" si="19"/>
        <v>0</v>
      </c>
    </row>
    <row r="261" spans="2:9" hidden="1" x14ac:dyDescent="0.25">
      <c r="B261" s="25" t="s">
        <v>16</v>
      </c>
      <c r="C261" s="25" t="s">
        <v>410</v>
      </c>
      <c r="D261" s="25">
        <v>0</v>
      </c>
      <c r="E261" s="25" t="s">
        <v>411</v>
      </c>
      <c r="F261" s="26" t="str">
        <f t="shared" si="16"/>
        <v>IT812001</v>
      </c>
      <c r="G261" s="26">
        <f t="shared" si="17"/>
        <v>0</v>
      </c>
      <c r="H261" s="23" t="str">
        <f t="shared" si="18"/>
        <v>HS812001IO_Amps.Mode</v>
      </c>
      <c r="I261" s="23">
        <f t="shared" si="19"/>
        <v>0</v>
      </c>
    </row>
    <row r="262" spans="2:9" hidden="1" x14ac:dyDescent="0.25">
      <c r="B262" s="25" t="s">
        <v>16</v>
      </c>
      <c r="C262" s="25" t="s">
        <v>412</v>
      </c>
      <c r="D262" s="25">
        <v>0</v>
      </c>
      <c r="E262" s="25" t="s">
        <v>413</v>
      </c>
      <c r="F262" s="26" t="str">
        <f t="shared" si="16"/>
        <v>JT812108</v>
      </c>
      <c r="G262" s="26">
        <f t="shared" si="17"/>
        <v>0</v>
      </c>
      <c r="H262" s="23" t="str">
        <f t="shared" si="18"/>
        <v>HS812108IO_Amps.Mode</v>
      </c>
      <c r="I262" s="23">
        <f t="shared" si="19"/>
        <v>0</v>
      </c>
    </row>
    <row r="263" spans="2:9" hidden="1" x14ac:dyDescent="0.25">
      <c r="B263" s="25" t="s">
        <v>16</v>
      </c>
      <c r="C263" s="25" t="s">
        <v>414</v>
      </c>
      <c r="D263" s="25">
        <v>0</v>
      </c>
      <c r="E263" s="25" t="s">
        <v>415</v>
      </c>
      <c r="F263" s="26" t="str">
        <f t="shared" si="16"/>
        <v>IT812223</v>
      </c>
      <c r="G263" s="26">
        <f t="shared" si="17"/>
        <v>0</v>
      </c>
      <c r="H263" s="23" t="str">
        <f t="shared" si="18"/>
        <v>HS812223IO_Amps.Mode</v>
      </c>
      <c r="I263" s="23">
        <f t="shared" si="19"/>
        <v>0</v>
      </c>
    </row>
    <row r="264" spans="2:9" hidden="1" x14ac:dyDescent="0.25">
      <c r="B264" s="25" t="s">
        <v>16</v>
      </c>
      <c r="C264" s="25" t="s">
        <v>416</v>
      </c>
      <c r="D264" s="25">
        <v>0</v>
      </c>
      <c r="E264" s="25" t="s">
        <v>417</v>
      </c>
      <c r="F264" s="26" t="str">
        <f t="shared" si="16"/>
        <v>JT820414</v>
      </c>
      <c r="G264" s="26">
        <f t="shared" si="17"/>
        <v>0</v>
      </c>
      <c r="H264" s="23" t="str">
        <f t="shared" si="18"/>
        <v>HS820414IO_Amps.Mode</v>
      </c>
      <c r="I264" s="23">
        <f t="shared" si="19"/>
        <v>0</v>
      </c>
    </row>
    <row r="265" spans="2:9" hidden="1" x14ac:dyDescent="0.25">
      <c r="B265" s="25" t="s">
        <v>16</v>
      </c>
      <c r="C265" s="25" t="s">
        <v>418</v>
      </c>
      <c r="D265" s="25">
        <v>0</v>
      </c>
      <c r="E265" s="25" t="s">
        <v>419</v>
      </c>
      <c r="F265" s="26" t="str">
        <f t="shared" si="16"/>
        <v>IT820509A</v>
      </c>
      <c r="G265" s="26">
        <f t="shared" si="17"/>
        <v>0</v>
      </c>
      <c r="H265" s="23" t="str">
        <f t="shared" si="18"/>
        <v>HS820509IO_Amps.Mode</v>
      </c>
      <c r="I265" s="23">
        <f t="shared" si="19"/>
        <v>0</v>
      </c>
    </row>
    <row r="266" spans="2:9" hidden="1" x14ac:dyDescent="0.25">
      <c r="B266" s="25" t="s">
        <v>16</v>
      </c>
      <c r="C266" s="25" t="s">
        <v>420</v>
      </c>
      <c r="D266" s="25">
        <v>0</v>
      </c>
      <c r="E266" s="25" t="s">
        <v>419</v>
      </c>
      <c r="F266" s="26" t="str">
        <f t="shared" si="16"/>
        <v>IT820509A</v>
      </c>
      <c r="G266" s="26">
        <f t="shared" si="17"/>
        <v>0</v>
      </c>
      <c r="H266" s="23" t="str">
        <f t="shared" si="18"/>
        <v>HS820509IO_FB.Mode</v>
      </c>
      <c r="I266" s="23">
        <f t="shared" si="19"/>
        <v>0</v>
      </c>
    </row>
    <row r="267" spans="2:9" hidden="1" x14ac:dyDescent="0.25">
      <c r="B267" s="25" t="s">
        <v>16</v>
      </c>
      <c r="C267" s="25" t="s">
        <v>421</v>
      </c>
      <c r="D267" s="25">
        <v>0</v>
      </c>
      <c r="E267" s="25" t="s">
        <v>422</v>
      </c>
      <c r="F267" s="26" t="str">
        <f t="shared" si="16"/>
        <v>JT820632</v>
      </c>
      <c r="G267" s="26">
        <f t="shared" si="17"/>
        <v>0</v>
      </c>
      <c r="H267" s="23" t="str">
        <f t="shared" si="18"/>
        <v>HS820632IO_Amps.Mode</v>
      </c>
      <c r="I267" s="23">
        <f t="shared" si="19"/>
        <v>0</v>
      </c>
    </row>
    <row r="268" spans="2:9" hidden="1" x14ac:dyDescent="0.25">
      <c r="B268" s="25" t="s">
        <v>16</v>
      </c>
      <c r="C268" s="25" t="s">
        <v>423</v>
      </c>
      <c r="D268" s="25">
        <v>0</v>
      </c>
      <c r="E268" s="25" t="s">
        <v>424</v>
      </c>
      <c r="F268" s="26" t="str">
        <f t="shared" si="16"/>
        <v>JT820713</v>
      </c>
      <c r="G268" s="26">
        <f t="shared" si="17"/>
        <v>0</v>
      </c>
      <c r="H268" s="23" t="str">
        <f t="shared" si="18"/>
        <v>HS820713IO_Amps.Mode</v>
      </c>
      <c r="I268" s="23">
        <f t="shared" si="19"/>
        <v>0</v>
      </c>
    </row>
    <row r="269" spans="2:9" hidden="1" x14ac:dyDescent="0.25">
      <c r="B269" s="25" t="s">
        <v>16</v>
      </c>
      <c r="C269" s="25" t="s">
        <v>425</v>
      </c>
      <c r="D269" s="25">
        <v>0</v>
      </c>
      <c r="E269" s="25" t="s">
        <v>426</v>
      </c>
      <c r="F269" s="26" t="str">
        <f t="shared" si="16"/>
        <v>JT820823</v>
      </c>
      <c r="G269" s="26">
        <f t="shared" si="17"/>
        <v>0</v>
      </c>
      <c r="H269" s="23" t="str">
        <f t="shared" si="18"/>
        <v>HS820823IO_Amps.Mode</v>
      </c>
      <c r="I269" s="23">
        <f t="shared" si="19"/>
        <v>0</v>
      </c>
    </row>
    <row r="270" spans="2:9" hidden="1" x14ac:dyDescent="0.25">
      <c r="B270" s="25" t="s">
        <v>16</v>
      </c>
      <c r="C270" s="25" t="s">
        <v>427</v>
      </c>
      <c r="D270" s="25">
        <v>0</v>
      </c>
      <c r="E270" s="25" t="s">
        <v>428</v>
      </c>
      <c r="F270" s="26" t="str">
        <f t="shared" si="16"/>
        <v>JT821417</v>
      </c>
      <c r="G270" s="26">
        <f t="shared" si="17"/>
        <v>0</v>
      </c>
      <c r="H270" s="23" t="str">
        <f t="shared" si="18"/>
        <v>HS821417IO_Amps.Mode</v>
      </c>
      <c r="I270" s="23">
        <f t="shared" si="19"/>
        <v>0</v>
      </c>
    </row>
    <row r="271" spans="2:9" hidden="1" x14ac:dyDescent="0.25">
      <c r="B271" s="25" t="s">
        <v>16</v>
      </c>
      <c r="C271" s="25" t="s">
        <v>429</v>
      </c>
      <c r="D271" s="25">
        <v>0</v>
      </c>
      <c r="E271" s="25" t="s">
        <v>430</v>
      </c>
      <c r="F271" s="26" t="str">
        <f t="shared" si="16"/>
        <v>JT821511</v>
      </c>
      <c r="G271" s="26">
        <f t="shared" si="17"/>
        <v>0</v>
      </c>
      <c r="H271" s="23" t="str">
        <f t="shared" si="18"/>
        <v>HS821511IO_Amps.Mode</v>
      </c>
      <c r="I271" s="23">
        <f t="shared" si="19"/>
        <v>0</v>
      </c>
    </row>
    <row r="272" spans="2:9" hidden="1" x14ac:dyDescent="0.25">
      <c r="B272" s="25" t="s">
        <v>16</v>
      </c>
      <c r="C272" s="25" t="s">
        <v>431</v>
      </c>
      <c r="D272" s="25">
        <v>0</v>
      </c>
      <c r="E272" s="25" t="s">
        <v>432</v>
      </c>
      <c r="F272" s="26" t="str">
        <f t="shared" si="16"/>
        <v>JT821908</v>
      </c>
      <c r="G272" s="26">
        <f t="shared" si="17"/>
        <v>0</v>
      </c>
      <c r="H272" s="23" t="str">
        <f t="shared" si="18"/>
        <v>HS821908IO_Amps.Mode</v>
      </c>
      <c r="I272" s="23">
        <f t="shared" si="19"/>
        <v>0</v>
      </c>
    </row>
    <row r="273" spans="2:9" hidden="1" x14ac:dyDescent="0.25">
      <c r="B273" s="25" t="s">
        <v>16</v>
      </c>
      <c r="C273" s="25" t="s">
        <v>433</v>
      </c>
      <c r="D273" s="25">
        <v>0</v>
      </c>
      <c r="E273" s="25" t="s">
        <v>434</v>
      </c>
      <c r="F273" s="26" t="str">
        <f t="shared" si="16"/>
        <v>JT822120</v>
      </c>
      <c r="G273" s="26">
        <f t="shared" si="17"/>
        <v>0</v>
      </c>
      <c r="H273" s="23" t="str">
        <f t="shared" si="18"/>
        <v>HS822120IO_Amps.Mode</v>
      </c>
      <c r="I273" s="23">
        <f t="shared" si="19"/>
        <v>0</v>
      </c>
    </row>
    <row r="274" spans="2:9" hidden="1" x14ac:dyDescent="0.25">
      <c r="B274" s="25" t="s">
        <v>16</v>
      </c>
      <c r="C274" s="25" t="s">
        <v>435</v>
      </c>
      <c r="D274" s="25">
        <v>0</v>
      </c>
      <c r="E274" s="25" t="s">
        <v>436</v>
      </c>
      <c r="F274" s="26" t="str">
        <f t="shared" si="16"/>
        <v>IT822308</v>
      </c>
      <c r="G274" s="26">
        <f t="shared" si="17"/>
        <v>0</v>
      </c>
      <c r="H274" s="23" t="str">
        <f t="shared" si="18"/>
        <v>HS822308IO_Amps.Mode</v>
      </c>
      <c r="I274" s="23">
        <f t="shared" si="19"/>
        <v>0</v>
      </c>
    </row>
    <row r="275" spans="2:9" hidden="1" x14ac:dyDescent="0.25">
      <c r="B275" s="25" t="s">
        <v>16</v>
      </c>
      <c r="C275" s="25" t="s">
        <v>437</v>
      </c>
      <c r="D275" s="25">
        <v>0</v>
      </c>
      <c r="E275" s="25" t="s">
        <v>438</v>
      </c>
      <c r="F275" s="26" t="str">
        <f t="shared" si="16"/>
        <v>ST822327</v>
      </c>
      <c r="G275" s="26">
        <f t="shared" si="17"/>
        <v>0</v>
      </c>
      <c r="H275" s="23" t="str">
        <f t="shared" si="18"/>
        <v>HS822308IO_FB.Mode</v>
      </c>
      <c r="I275" s="23">
        <f t="shared" si="19"/>
        <v>0</v>
      </c>
    </row>
    <row r="276" spans="2:9" hidden="1" x14ac:dyDescent="0.25">
      <c r="B276" s="25" t="s">
        <v>16</v>
      </c>
      <c r="C276" s="25" t="s">
        <v>439</v>
      </c>
      <c r="D276" s="25">
        <v>0</v>
      </c>
      <c r="E276" s="25" t="s">
        <v>440</v>
      </c>
      <c r="F276" s="26" t="str">
        <f t="shared" si="16"/>
        <v>IT822408</v>
      </c>
      <c r="G276" s="26">
        <f t="shared" si="17"/>
        <v>0</v>
      </c>
      <c r="H276" s="23" t="str">
        <f t="shared" si="18"/>
        <v>HS822408IO_Amps.Mode</v>
      </c>
      <c r="I276" s="23">
        <f t="shared" si="19"/>
        <v>0</v>
      </c>
    </row>
    <row r="277" spans="2:9" hidden="1" x14ac:dyDescent="0.25">
      <c r="B277" s="25" t="s">
        <v>16</v>
      </c>
      <c r="C277" s="25" t="s">
        <v>441</v>
      </c>
      <c r="D277" s="25">
        <v>0</v>
      </c>
      <c r="E277" s="25" t="s">
        <v>442</v>
      </c>
      <c r="F277" s="26" t="str">
        <f t="shared" si="16"/>
        <v>ST822429</v>
      </c>
      <c r="G277" s="26">
        <f t="shared" si="17"/>
        <v>0</v>
      </c>
      <c r="H277" s="23" t="str">
        <f t="shared" si="18"/>
        <v>HS822408IO_FB.Mode</v>
      </c>
      <c r="I277" s="23">
        <f t="shared" si="19"/>
        <v>0</v>
      </c>
    </row>
    <row r="278" spans="2:9" hidden="1" x14ac:dyDescent="0.25">
      <c r="B278" s="25" t="s">
        <v>16</v>
      </c>
      <c r="C278" s="25" t="s">
        <v>443</v>
      </c>
      <c r="D278" s="25">
        <v>0</v>
      </c>
      <c r="E278" s="25" t="s">
        <v>444</v>
      </c>
      <c r="F278" s="26" t="str">
        <f t="shared" si="16"/>
        <v>JT822904</v>
      </c>
      <c r="G278" s="26">
        <f t="shared" si="17"/>
        <v>0</v>
      </c>
      <c r="H278" s="23" t="str">
        <f t="shared" si="18"/>
        <v>HS822904IO_Amps.Mode</v>
      </c>
      <c r="I278" s="23">
        <f t="shared" si="19"/>
        <v>0</v>
      </c>
    </row>
    <row r="279" spans="2:9" hidden="1" x14ac:dyDescent="0.25">
      <c r="B279" s="25" t="s">
        <v>16</v>
      </c>
      <c r="C279" s="25" t="s">
        <v>445</v>
      </c>
      <c r="D279" s="25">
        <v>0</v>
      </c>
      <c r="E279" s="25" t="s">
        <v>446</v>
      </c>
      <c r="F279" s="26" t="str">
        <f t="shared" si="16"/>
        <v>JT823004</v>
      </c>
      <c r="G279" s="26">
        <f t="shared" si="17"/>
        <v>0</v>
      </c>
      <c r="H279" s="23" t="str">
        <f t="shared" si="18"/>
        <v>HS823004IO_Amps.Mode</v>
      </c>
      <c r="I279" s="23">
        <f t="shared" si="19"/>
        <v>0</v>
      </c>
    </row>
    <row r="280" spans="2:9" hidden="1" x14ac:dyDescent="0.25">
      <c r="B280" s="25" t="s">
        <v>16</v>
      </c>
      <c r="C280" s="25" t="s">
        <v>447</v>
      </c>
      <c r="D280" s="25">
        <v>0</v>
      </c>
      <c r="E280" s="25" t="s">
        <v>448</v>
      </c>
      <c r="F280" s="26" t="str">
        <f t="shared" si="16"/>
        <v>IT823101</v>
      </c>
      <c r="G280" s="26">
        <f t="shared" si="17"/>
        <v>0</v>
      </c>
      <c r="H280" s="23" t="str">
        <f t="shared" si="18"/>
        <v>HS823101IO_Amps.Mode</v>
      </c>
      <c r="I280" s="23">
        <f t="shared" si="19"/>
        <v>0</v>
      </c>
    </row>
    <row r="281" spans="2:9" hidden="1" x14ac:dyDescent="0.25">
      <c r="B281" s="25" t="s">
        <v>16</v>
      </c>
      <c r="C281" s="25" t="s">
        <v>449</v>
      </c>
      <c r="D281" s="25">
        <v>0</v>
      </c>
      <c r="E281" s="25" t="s">
        <v>450</v>
      </c>
      <c r="F281" s="26" t="str">
        <f t="shared" si="16"/>
        <v>JT823208</v>
      </c>
      <c r="G281" s="26">
        <f t="shared" si="17"/>
        <v>0</v>
      </c>
      <c r="H281" s="23" t="str">
        <f t="shared" si="18"/>
        <v>HS823208IO_Amps.Mode</v>
      </c>
      <c r="I281" s="23">
        <f t="shared" si="19"/>
        <v>0</v>
      </c>
    </row>
    <row r="282" spans="2:9" hidden="1" x14ac:dyDescent="0.25">
      <c r="B282" s="25" t="s">
        <v>16</v>
      </c>
      <c r="C282" s="25" t="s">
        <v>451</v>
      </c>
      <c r="D282" s="25">
        <v>0</v>
      </c>
      <c r="E282" s="25" t="s">
        <v>452</v>
      </c>
      <c r="F282" s="26" t="str">
        <f t="shared" si="16"/>
        <v>IT823212</v>
      </c>
      <c r="G282" s="26">
        <f t="shared" si="17"/>
        <v>0</v>
      </c>
      <c r="H282" s="23" t="str">
        <f t="shared" si="18"/>
        <v>HS823212IO_Amps.Mode</v>
      </c>
      <c r="I282" s="23">
        <f t="shared" si="19"/>
        <v>0</v>
      </c>
    </row>
    <row r="283" spans="2:9" hidden="1" x14ac:dyDescent="0.25">
      <c r="B283" s="25" t="s">
        <v>16</v>
      </c>
      <c r="C283" s="25" t="s">
        <v>453</v>
      </c>
      <c r="D283" s="25">
        <v>0</v>
      </c>
      <c r="E283" s="25" t="s">
        <v>454</v>
      </c>
      <c r="F283" s="26" t="str">
        <f t="shared" si="16"/>
        <v>IT823324</v>
      </c>
      <c r="G283" s="26">
        <f t="shared" si="17"/>
        <v>0</v>
      </c>
      <c r="H283" s="23" t="str">
        <f t="shared" si="18"/>
        <v>HS823324IO_Amps.Mode</v>
      </c>
      <c r="I283" s="23">
        <f t="shared" si="19"/>
        <v>0</v>
      </c>
    </row>
    <row r="284" spans="2:9" hidden="1" x14ac:dyDescent="0.25">
      <c r="B284" s="25" t="s">
        <v>16</v>
      </c>
      <c r="C284" s="25" t="s">
        <v>455</v>
      </c>
      <c r="D284" s="25">
        <v>0</v>
      </c>
      <c r="E284" s="25" t="s">
        <v>456</v>
      </c>
      <c r="F284" s="26" t="str">
        <f t="shared" si="16"/>
        <v>IT823352</v>
      </c>
      <c r="G284" s="26">
        <f t="shared" si="17"/>
        <v>0</v>
      </c>
      <c r="H284" s="23" t="str">
        <f t="shared" si="18"/>
        <v>HS823352IO_Amps.Mode</v>
      </c>
      <c r="I284" s="23">
        <f t="shared" si="19"/>
        <v>0</v>
      </c>
    </row>
    <row r="285" spans="2:9" hidden="1" x14ac:dyDescent="0.25">
      <c r="B285" s="25" t="s">
        <v>16</v>
      </c>
      <c r="C285" s="25" t="s">
        <v>457</v>
      </c>
      <c r="D285" s="25">
        <v>0</v>
      </c>
      <c r="E285" s="25" t="s">
        <v>458</v>
      </c>
      <c r="F285" s="26" t="str">
        <f t="shared" si="16"/>
        <v>JT830103</v>
      </c>
      <c r="G285" s="26">
        <f t="shared" si="17"/>
        <v>0</v>
      </c>
      <c r="H285" s="23" t="str">
        <f t="shared" si="18"/>
        <v>HS830103IO_Amps.Mode</v>
      </c>
      <c r="I285" s="23">
        <f t="shared" si="19"/>
        <v>0</v>
      </c>
    </row>
    <row r="286" spans="2:9" hidden="1" x14ac:dyDescent="0.25">
      <c r="B286" s="25" t="s">
        <v>16</v>
      </c>
      <c r="C286" s="25" t="s">
        <v>459</v>
      </c>
      <c r="D286" s="25">
        <v>0</v>
      </c>
      <c r="E286" s="25" t="s">
        <v>460</v>
      </c>
      <c r="F286" s="26" t="str">
        <f t="shared" si="16"/>
        <v>JT830201</v>
      </c>
      <c r="G286" s="26">
        <f t="shared" si="17"/>
        <v>0</v>
      </c>
      <c r="H286" s="23" t="str">
        <f t="shared" si="18"/>
        <v>HS830201IO_Amps.Mode</v>
      </c>
      <c r="I286" s="23">
        <f t="shared" si="19"/>
        <v>0</v>
      </c>
    </row>
    <row r="287" spans="2:9" hidden="1" x14ac:dyDescent="0.25">
      <c r="B287" s="25" t="s">
        <v>16</v>
      </c>
      <c r="C287" s="25" t="s">
        <v>461</v>
      </c>
      <c r="D287" s="25">
        <v>0</v>
      </c>
      <c r="E287" s="25" t="s">
        <v>462</v>
      </c>
      <c r="F287" s="26" t="str">
        <f t="shared" si="16"/>
        <v>JT830210</v>
      </c>
      <c r="G287" s="26">
        <f t="shared" si="17"/>
        <v>0</v>
      </c>
      <c r="H287" s="23" t="str">
        <f t="shared" si="18"/>
        <v>HS830210IO_Amps.Mode</v>
      </c>
      <c r="I287" s="23">
        <f t="shared" si="19"/>
        <v>0</v>
      </c>
    </row>
    <row r="288" spans="2:9" hidden="1" x14ac:dyDescent="0.25">
      <c r="B288" s="25" t="s">
        <v>16</v>
      </c>
      <c r="C288" s="25" t="s">
        <v>463</v>
      </c>
      <c r="D288" s="25">
        <v>0</v>
      </c>
      <c r="E288" s="25" t="s">
        <v>464</v>
      </c>
      <c r="F288" s="26" t="str">
        <f t="shared" si="16"/>
        <v>JT830510</v>
      </c>
      <c r="G288" s="26">
        <f t="shared" si="17"/>
        <v>0</v>
      </c>
      <c r="H288" s="23" t="str">
        <f t="shared" si="18"/>
        <v>HS830510IO_Amps.Mode</v>
      </c>
      <c r="I288" s="23">
        <f t="shared" si="19"/>
        <v>0</v>
      </c>
    </row>
    <row r="289" spans="2:9" hidden="1" x14ac:dyDescent="0.25">
      <c r="B289" s="25" t="s">
        <v>16</v>
      </c>
      <c r="C289" s="25" t="s">
        <v>465</v>
      </c>
      <c r="D289" s="25">
        <v>0</v>
      </c>
      <c r="E289" s="25" t="s">
        <v>466</v>
      </c>
      <c r="F289" s="26" t="str">
        <f t="shared" si="16"/>
        <v>JT830616</v>
      </c>
      <c r="G289" s="26">
        <f t="shared" si="17"/>
        <v>0</v>
      </c>
      <c r="H289" s="23" t="str">
        <f t="shared" si="18"/>
        <v>HS830616IO_Amps.Mode</v>
      </c>
      <c r="I289" s="23">
        <f t="shared" si="19"/>
        <v>0</v>
      </c>
    </row>
    <row r="290" spans="2:9" hidden="1" x14ac:dyDescent="0.25">
      <c r="B290" s="25" t="s">
        <v>16</v>
      </c>
      <c r="C290" s="25" t="s">
        <v>467</v>
      </c>
      <c r="D290" s="25">
        <v>0</v>
      </c>
      <c r="E290" s="25" t="s">
        <v>468</v>
      </c>
      <c r="F290" s="26" t="str">
        <f t="shared" si="16"/>
        <v>JT830702</v>
      </c>
      <c r="G290" s="26">
        <f t="shared" si="17"/>
        <v>0</v>
      </c>
      <c r="H290" s="23" t="str">
        <f t="shared" si="18"/>
        <v>HS830702IO_Amps.Mode</v>
      </c>
      <c r="I290" s="23">
        <f t="shared" si="19"/>
        <v>0</v>
      </c>
    </row>
    <row r="291" spans="2:9" hidden="1" x14ac:dyDescent="0.25">
      <c r="B291" s="25" t="s">
        <v>16</v>
      </c>
      <c r="C291" s="25" t="s">
        <v>469</v>
      </c>
      <c r="D291" s="25">
        <v>0</v>
      </c>
      <c r="E291" s="25" t="s">
        <v>470</v>
      </c>
      <c r="F291" s="26" t="str">
        <f t="shared" si="16"/>
        <v>JT830832</v>
      </c>
      <c r="G291" s="26">
        <f t="shared" si="17"/>
        <v>0</v>
      </c>
      <c r="H291" s="23" t="str">
        <f t="shared" si="18"/>
        <v>HS830832IO_Amps.Mode</v>
      </c>
      <c r="I291" s="23">
        <f t="shared" si="19"/>
        <v>0</v>
      </c>
    </row>
    <row r="292" spans="2:9" hidden="1" x14ac:dyDescent="0.25">
      <c r="B292" s="25" t="s">
        <v>16</v>
      </c>
      <c r="C292" s="25" t="s">
        <v>471</v>
      </c>
      <c r="D292" s="25">
        <v>0</v>
      </c>
      <c r="E292" s="25" t="s">
        <v>472</v>
      </c>
      <c r="F292" s="26" t="str">
        <f t="shared" si="16"/>
        <v>JT830916</v>
      </c>
      <c r="G292" s="26">
        <f t="shared" si="17"/>
        <v>0</v>
      </c>
      <c r="H292" s="23" t="str">
        <f t="shared" si="18"/>
        <v>HS830916IO_Amps.Mode</v>
      </c>
      <c r="I292" s="23">
        <f t="shared" si="19"/>
        <v>0</v>
      </c>
    </row>
    <row r="293" spans="2:9" hidden="1" x14ac:dyDescent="0.25">
      <c r="B293" s="25" t="s">
        <v>16</v>
      </c>
      <c r="C293" s="25" t="s">
        <v>473</v>
      </c>
      <c r="D293" s="25">
        <v>0</v>
      </c>
      <c r="E293" s="25" t="s">
        <v>474</v>
      </c>
      <c r="F293" s="26" t="str">
        <f t="shared" si="16"/>
        <v>IT831106</v>
      </c>
      <c r="G293" s="26">
        <f t="shared" si="17"/>
        <v>0</v>
      </c>
      <c r="H293" s="23" t="str">
        <f t="shared" si="18"/>
        <v>HS831106IO_Amps.Mode</v>
      </c>
      <c r="I293" s="23">
        <f t="shared" si="19"/>
        <v>0</v>
      </c>
    </row>
    <row r="294" spans="2:9" hidden="1" x14ac:dyDescent="0.25">
      <c r="B294" s="25" t="s">
        <v>16</v>
      </c>
      <c r="C294" s="25" t="s">
        <v>475</v>
      </c>
      <c r="D294" s="25">
        <v>0</v>
      </c>
      <c r="E294" s="25" t="s">
        <v>476</v>
      </c>
      <c r="F294" s="26" t="str">
        <f t="shared" si="16"/>
        <v>ST831129</v>
      </c>
      <c r="G294" s="26">
        <f t="shared" si="17"/>
        <v>0</v>
      </c>
      <c r="H294" s="23" t="str">
        <f t="shared" si="18"/>
        <v>HS831106IO_FB.Mode</v>
      </c>
      <c r="I294" s="23">
        <f t="shared" si="19"/>
        <v>0</v>
      </c>
    </row>
    <row r="295" spans="2:9" hidden="1" x14ac:dyDescent="0.25">
      <c r="B295" s="25" t="s">
        <v>16</v>
      </c>
      <c r="C295" s="25" t="s">
        <v>477</v>
      </c>
      <c r="D295" s="25">
        <v>0</v>
      </c>
      <c r="E295" s="25" t="s">
        <v>478</v>
      </c>
      <c r="F295" s="26" t="str">
        <f t="shared" si="16"/>
        <v>IT831206</v>
      </c>
      <c r="G295" s="26">
        <f t="shared" si="17"/>
        <v>0</v>
      </c>
      <c r="H295" s="23" t="str">
        <f t="shared" si="18"/>
        <v>HS831206IO_Amps.Mode</v>
      </c>
      <c r="I295" s="23">
        <f t="shared" si="19"/>
        <v>0</v>
      </c>
    </row>
    <row r="296" spans="2:9" hidden="1" x14ac:dyDescent="0.25">
      <c r="B296" s="25" t="s">
        <v>16</v>
      </c>
      <c r="C296" s="25" t="s">
        <v>479</v>
      </c>
      <c r="D296" s="25">
        <v>0</v>
      </c>
      <c r="E296" s="25" t="s">
        <v>480</v>
      </c>
      <c r="F296" s="26" t="str">
        <f t="shared" si="16"/>
        <v>ST831220</v>
      </c>
      <c r="G296" s="26">
        <f t="shared" si="17"/>
        <v>0</v>
      </c>
      <c r="H296" s="23" t="str">
        <f t="shared" si="18"/>
        <v>HS831206IO_FB.Mode</v>
      </c>
      <c r="I296" s="23">
        <f t="shared" si="19"/>
        <v>0</v>
      </c>
    </row>
    <row r="297" spans="2:9" hidden="1" x14ac:dyDescent="0.25">
      <c r="B297" s="25" t="s">
        <v>16</v>
      </c>
      <c r="C297" s="25" t="s">
        <v>481</v>
      </c>
      <c r="D297" s="25">
        <v>0</v>
      </c>
      <c r="E297" s="25" t="s">
        <v>482</v>
      </c>
      <c r="F297" s="26" t="str">
        <f t="shared" si="16"/>
        <v>JT832104</v>
      </c>
      <c r="G297" s="26">
        <f t="shared" si="17"/>
        <v>0</v>
      </c>
      <c r="H297" s="23" t="str">
        <f t="shared" si="18"/>
        <v>HS832104IO_Amps.Mode</v>
      </c>
      <c r="I297" s="23">
        <f t="shared" si="19"/>
        <v>0</v>
      </c>
    </row>
    <row r="298" spans="2:9" hidden="1" x14ac:dyDescent="0.25">
      <c r="B298" s="25" t="s">
        <v>16</v>
      </c>
      <c r="C298" s="25" t="s">
        <v>483</v>
      </c>
      <c r="D298" s="25">
        <v>0</v>
      </c>
      <c r="E298" s="25" t="s">
        <v>484</v>
      </c>
      <c r="F298" s="26" t="str">
        <f t="shared" si="16"/>
        <v>IT832201</v>
      </c>
      <c r="G298" s="26">
        <f t="shared" si="17"/>
        <v>0</v>
      </c>
      <c r="H298" s="23" t="str">
        <f t="shared" si="18"/>
        <v>HS832201IO_Amps.Mode</v>
      </c>
      <c r="I298" s="23">
        <f t="shared" si="19"/>
        <v>0</v>
      </c>
    </row>
    <row r="299" spans="2:9" hidden="1" x14ac:dyDescent="0.25">
      <c r="B299" s="25" t="s">
        <v>16</v>
      </c>
      <c r="C299" s="25" t="s">
        <v>485</v>
      </c>
      <c r="D299" s="25">
        <v>0</v>
      </c>
      <c r="E299" s="25" t="s">
        <v>486</v>
      </c>
      <c r="F299" s="26" t="str">
        <f t="shared" si="16"/>
        <v>JT832308</v>
      </c>
      <c r="G299" s="26">
        <f t="shared" si="17"/>
        <v>0</v>
      </c>
      <c r="H299" s="23" t="str">
        <f t="shared" si="18"/>
        <v>HS832308IO_Amps.Mode</v>
      </c>
      <c r="I299" s="23">
        <f t="shared" si="19"/>
        <v>0</v>
      </c>
    </row>
    <row r="300" spans="2:9" hidden="1" x14ac:dyDescent="0.25">
      <c r="B300" s="25" t="s">
        <v>16</v>
      </c>
      <c r="C300" s="25" t="s">
        <v>487</v>
      </c>
      <c r="D300" s="25">
        <v>0</v>
      </c>
      <c r="E300" s="25" t="s">
        <v>488</v>
      </c>
      <c r="F300" s="26" t="str">
        <f t="shared" si="16"/>
        <v>IT832322</v>
      </c>
      <c r="G300" s="26">
        <f t="shared" si="17"/>
        <v>0</v>
      </c>
      <c r="H300" s="23" t="str">
        <f t="shared" si="18"/>
        <v>HS832322IO_Amps.Mode</v>
      </c>
      <c r="I300" s="23">
        <f t="shared" si="19"/>
        <v>0</v>
      </c>
    </row>
    <row r="301" spans="2:9" hidden="1" x14ac:dyDescent="0.25">
      <c r="B301" s="25" t="s">
        <v>16</v>
      </c>
      <c r="C301" s="25" t="s">
        <v>489</v>
      </c>
      <c r="D301" s="25">
        <v>0</v>
      </c>
      <c r="E301" s="25" t="s">
        <v>490</v>
      </c>
      <c r="F301" s="26" t="str">
        <f t="shared" si="16"/>
        <v>IT832332</v>
      </c>
      <c r="G301" s="26">
        <f t="shared" si="17"/>
        <v>0</v>
      </c>
      <c r="H301" s="23" t="str">
        <f t="shared" si="18"/>
        <v>HS832332IO_Amps.Mode</v>
      </c>
      <c r="I301" s="23">
        <f t="shared" si="19"/>
        <v>0</v>
      </c>
    </row>
    <row r="302" spans="2:9" hidden="1" x14ac:dyDescent="0.25">
      <c r="B302" s="25" t="s">
        <v>16</v>
      </c>
      <c r="C302" s="25" t="s">
        <v>491</v>
      </c>
      <c r="D302" s="25">
        <v>0</v>
      </c>
      <c r="E302" s="25" t="s">
        <v>492</v>
      </c>
      <c r="F302" s="26" t="str">
        <f t="shared" si="16"/>
        <v>IT832423</v>
      </c>
      <c r="G302" s="26">
        <f t="shared" si="17"/>
        <v>0</v>
      </c>
      <c r="H302" s="23" t="str">
        <f t="shared" si="18"/>
        <v>HS832423IO_Amps.Mode</v>
      </c>
      <c r="I302" s="23">
        <f t="shared" si="19"/>
        <v>0</v>
      </c>
    </row>
    <row r="303" spans="2:9" hidden="1" x14ac:dyDescent="0.25">
      <c r="B303" s="25" t="s">
        <v>16</v>
      </c>
      <c r="C303" s="25" t="s">
        <v>493</v>
      </c>
      <c r="D303" s="25">
        <v>0</v>
      </c>
      <c r="E303" s="25" t="s">
        <v>494</v>
      </c>
      <c r="F303" s="26" t="str">
        <f t="shared" si="16"/>
        <v>IT832523</v>
      </c>
      <c r="G303" s="26">
        <f t="shared" si="17"/>
        <v>0</v>
      </c>
      <c r="H303" s="23" t="str">
        <f t="shared" si="18"/>
        <v>HS832523IO_Amps.Mode</v>
      </c>
      <c r="I303" s="23">
        <f t="shared" si="19"/>
        <v>0</v>
      </c>
    </row>
    <row r="304" spans="2:9" hidden="1" x14ac:dyDescent="0.25">
      <c r="B304" s="25" t="s">
        <v>16</v>
      </c>
      <c r="C304" s="25" t="s">
        <v>495</v>
      </c>
      <c r="D304" s="25">
        <v>0</v>
      </c>
      <c r="E304" s="25" t="s">
        <v>496</v>
      </c>
      <c r="F304" s="26" t="str">
        <f t="shared" si="16"/>
        <v>JT842906</v>
      </c>
      <c r="G304" s="26">
        <f t="shared" si="17"/>
        <v>0</v>
      </c>
      <c r="H304" s="23" t="str">
        <f t="shared" si="18"/>
        <v>HS842906IO_Amps.Mode</v>
      </c>
      <c r="I304" s="23">
        <f t="shared" si="19"/>
        <v>0</v>
      </c>
    </row>
    <row r="305" spans="2:9" hidden="1" x14ac:dyDescent="0.25">
      <c r="B305" s="25" t="s">
        <v>16</v>
      </c>
      <c r="C305" s="25" t="s">
        <v>497</v>
      </c>
      <c r="D305" s="25">
        <v>0</v>
      </c>
      <c r="E305" s="25" t="s">
        <v>498</v>
      </c>
      <c r="F305" s="26" t="str">
        <f t="shared" si="16"/>
        <v>JT842907</v>
      </c>
      <c r="G305" s="26">
        <f t="shared" si="17"/>
        <v>0</v>
      </c>
      <c r="H305" s="23" t="str">
        <f t="shared" si="18"/>
        <v>HS842907IO_Amps.Mode</v>
      </c>
      <c r="I305" s="23">
        <f t="shared" si="19"/>
        <v>0</v>
      </c>
    </row>
    <row r="306" spans="2:9" hidden="1" x14ac:dyDescent="0.25">
      <c r="B306" s="25" t="s">
        <v>16</v>
      </c>
      <c r="C306" s="25" t="s">
        <v>499</v>
      </c>
      <c r="D306" s="25">
        <v>0</v>
      </c>
      <c r="E306" s="25" t="s">
        <v>500</v>
      </c>
      <c r="F306" s="26" t="str">
        <f t="shared" si="16"/>
        <v>JT850006</v>
      </c>
      <c r="G306" s="26">
        <f t="shared" si="17"/>
        <v>0</v>
      </c>
      <c r="H306" s="23" t="str">
        <f t="shared" si="18"/>
        <v>HS850006IO_Amps.Mode</v>
      </c>
      <c r="I306" s="23">
        <f t="shared" si="19"/>
        <v>0</v>
      </c>
    </row>
    <row r="307" spans="2:9" hidden="1" x14ac:dyDescent="0.25">
      <c r="B307" s="25" t="s">
        <v>16</v>
      </c>
      <c r="C307" s="25" t="s">
        <v>501</v>
      </c>
      <c r="D307" s="25">
        <v>0</v>
      </c>
      <c r="E307" s="25" t="s">
        <v>502</v>
      </c>
      <c r="F307" s="26" t="str">
        <f t="shared" si="16"/>
        <v>JT850017</v>
      </c>
      <c r="G307" s="26">
        <f t="shared" si="17"/>
        <v>0</v>
      </c>
      <c r="H307" s="23" t="str">
        <f t="shared" si="18"/>
        <v>HS850017IO_Amps.Mode</v>
      </c>
      <c r="I307" s="23">
        <f t="shared" si="19"/>
        <v>0</v>
      </c>
    </row>
    <row r="308" spans="2:9" hidden="1" x14ac:dyDescent="0.25">
      <c r="B308" s="25" t="s">
        <v>16</v>
      </c>
      <c r="C308" s="25" t="s">
        <v>503</v>
      </c>
      <c r="D308" s="25">
        <v>0</v>
      </c>
      <c r="E308" s="25" t="s">
        <v>504</v>
      </c>
      <c r="F308" s="26" t="str">
        <f t="shared" si="16"/>
        <v>JT850106</v>
      </c>
      <c r="G308" s="26">
        <f t="shared" si="17"/>
        <v>0</v>
      </c>
      <c r="H308" s="23" t="str">
        <f t="shared" si="18"/>
        <v>HS850106IO_Amps.Mode</v>
      </c>
      <c r="I308" s="23">
        <f t="shared" si="19"/>
        <v>0</v>
      </c>
    </row>
    <row r="309" spans="2:9" hidden="1" x14ac:dyDescent="0.25">
      <c r="B309" s="25" t="s">
        <v>16</v>
      </c>
      <c r="C309" s="25" t="s">
        <v>505</v>
      </c>
      <c r="D309" s="25">
        <v>0</v>
      </c>
      <c r="E309" s="25" t="s">
        <v>506</v>
      </c>
      <c r="F309" s="26" t="str">
        <f t="shared" si="16"/>
        <v>JT850120</v>
      </c>
      <c r="G309" s="26">
        <f t="shared" si="17"/>
        <v>0</v>
      </c>
      <c r="H309" s="23" t="str">
        <f t="shared" si="18"/>
        <v>HS850120IO_Amps.Mode</v>
      </c>
      <c r="I309" s="23">
        <f t="shared" si="19"/>
        <v>0</v>
      </c>
    </row>
    <row r="310" spans="2:9" hidden="1" x14ac:dyDescent="0.25">
      <c r="B310" s="25" t="s">
        <v>16</v>
      </c>
      <c r="C310" s="25" t="s">
        <v>507</v>
      </c>
      <c r="D310" s="25">
        <v>0</v>
      </c>
      <c r="E310" s="25" t="s">
        <v>508</v>
      </c>
      <c r="F310" s="26" t="str">
        <f t="shared" si="16"/>
        <v>IT850206</v>
      </c>
      <c r="G310" s="26">
        <f t="shared" si="17"/>
        <v>0</v>
      </c>
      <c r="H310" s="23" t="str">
        <f t="shared" si="18"/>
        <v>HS850206IO_Amps.Mode</v>
      </c>
      <c r="I310" s="23">
        <f t="shared" si="19"/>
        <v>0</v>
      </c>
    </row>
    <row r="311" spans="2:9" hidden="1" x14ac:dyDescent="0.25">
      <c r="B311" s="25" t="s">
        <v>16</v>
      </c>
      <c r="C311" s="25" t="s">
        <v>509</v>
      </c>
      <c r="D311" s="25">
        <v>0</v>
      </c>
      <c r="E311" s="25" t="s">
        <v>508</v>
      </c>
      <c r="F311" s="26" t="str">
        <f t="shared" si="16"/>
        <v>IT850206</v>
      </c>
      <c r="G311" s="26">
        <f t="shared" si="17"/>
        <v>0</v>
      </c>
      <c r="H311" s="23" t="str">
        <f t="shared" si="18"/>
        <v>HS850206IO_FB.Mode</v>
      </c>
      <c r="I311" s="23">
        <f t="shared" si="19"/>
        <v>0</v>
      </c>
    </row>
    <row r="312" spans="2:9" hidden="1" x14ac:dyDescent="0.25">
      <c r="B312" s="25" t="s">
        <v>16</v>
      </c>
      <c r="C312" s="25" t="s">
        <v>510</v>
      </c>
      <c r="D312" s="25">
        <v>0</v>
      </c>
      <c r="E312" s="25" t="s">
        <v>511</v>
      </c>
      <c r="F312" s="26" t="str">
        <f t="shared" si="16"/>
        <v>JT852006</v>
      </c>
      <c r="G312" s="26">
        <f t="shared" si="17"/>
        <v>0</v>
      </c>
      <c r="H312" s="23" t="str">
        <f t="shared" si="18"/>
        <v>HS852006IO_Amps.Mode</v>
      </c>
      <c r="I312" s="23">
        <f t="shared" si="19"/>
        <v>0</v>
      </c>
    </row>
    <row r="313" spans="2:9" hidden="1" x14ac:dyDescent="0.25">
      <c r="B313" s="25" t="s">
        <v>16</v>
      </c>
      <c r="C313" s="25" t="s">
        <v>512</v>
      </c>
      <c r="D313" s="25">
        <v>0</v>
      </c>
      <c r="E313" s="25" t="s">
        <v>513</v>
      </c>
      <c r="F313" s="26" t="str">
        <f t="shared" si="16"/>
        <v>JT859001</v>
      </c>
      <c r="G313" s="26">
        <f t="shared" si="17"/>
        <v>0</v>
      </c>
      <c r="H313" s="23" t="str">
        <f t="shared" si="18"/>
        <v>HS859001IO_Amps.Mode</v>
      </c>
      <c r="I313" s="23">
        <f t="shared" si="19"/>
        <v>0</v>
      </c>
    </row>
    <row r="314" spans="2:9" hidden="1" x14ac:dyDescent="0.25">
      <c r="B314" s="25" t="s">
        <v>16</v>
      </c>
      <c r="C314" s="25" t="s">
        <v>514</v>
      </c>
      <c r="D314" s="25">
        <v>0</v>
      </c>
      <c r="E314" s="25" t="s">
        <v>515</v>
      </c>
      <c r="F314" s="26" t="str">
        <f t="shared" si="16"/>
        <v>JT859002</v>
      </c>
      <c r="G314" s="26">
        <f t="shared" si="17"/>
        <v>0</v>
      </c>
      <c r="H314" s="23" t="str">
        <f t="shared" si="18"/>
        <v>HS859002IO_Amps.Mode</v>
      </c>
      <c r="I314" s="23">
        <f t="shared" si="19"/>
        <v>0</v>
      </c>
    </row>
    <row r="315" spans="2:9" hidden="1" x14ac:dyDescent="0.25">
      <c r="B315" s="25" t="s">
        <v>16</v>
      </c>
      <c r="C315" s="25" t="s">
        <v>516</v>
      </c>
      <c r="D315" s="25">
        <v>0</v>
      </c>
      <c r="E315" s="25" t="s">
        <v>517</v>
      </c>
      <c r="F315" s="26" t="str">
        <f t="shared" si="16"/>
        <v>JT896013</v>
      </c>
      <c r="G315" s="26">
        <f t="shared" si="17"/>
        <v>0</v>
      </c>
      <c r="H315" s="23" t="str">
        <f t="shared" si="18"/>
        <v>HS896013IO_Amps.Mode</v>
      </c>
      <c r="I315" s="23">
        <f t="shared" si="19"/>
        <v>0</v>
      </c>
    </row>
    <row r="316" spans="2:9" hidden="1" x14ac:dyDescent="0.25">
      <c r="B316" s="25" t="s">
        <v>16</v>
      </c>
      <c r="C316" s="25" t="s">
        <v>518</v>
      </c>
      <c r="D316" s="25">
        <v>0</v>
      </c>
      <c r="E316" s="25" t="s">
        <v>519</v>
      </c>
      <c r="F316" s="26" t="str">
        <f t="shared" si="16"/>
        <v>JT896101</v>
      </c>
      <c r="G316" s="26">
        <f t="shared" si="17"/>
        <v>0</v>
      </c>
      <c r="H316" s="23" t="str">
        <f t="shared" si="18"/>
        <v>HS896101IO_Amps.Mode</v>
      </c>
      <c r="I316" s="23">
        <f t="shared" si="19"/>
        <v>0</v>
      </c>
    </row>
    <row r="317" spans="2:9" hidden="1" x14ac:dyDescent="0.25">
      <c r="B317" s="25" t="s">
        <v>16</v>
      </c>
      <c r="C317" s="25" t="s">
        <v>520</v>
      </c>
      <c r="D317" s="25">
        <v>0</v>
      </c>
      <c r="E317" s="25" t="s">
        <v>521</v>
      </c>
      <c r="F317" s="26" t="str">
        <f t="shared" si="16"/>
        <v>JT896102</v>
      </c>
      <c r="G317" s="26">
        <f t="shared" si="17"/>
        <v>0</v>
      </c>
      <c r="H317" s="23" t="str">
        <f t="shared" si="18"/>
        <v>HS896102IO_Amps.Mode</v>
      </c>
      <c r="I317" s="23">
        <f t="shared" si="19"/>
        <v>0</v>
      </c>
    </row>
    <row r="318" spans="2:9" hidden="1" x14ac:dyDescent="0.25">
      <c r="B318" s="25" t="s">
        <v>16</v>
      </c>
      <c r="C318" s="25" t="s">
        <v>522</v>
      </c>
      <c r="D318" s="25">
        <v>0</v>
      </c>
      <c r="E318" s="25" t="s">
        <v>523</v>
      </c>
      <c r="F318" s="26" t="str">
        <f t="shared" si="16"/>
        <v>JT899004</v>
      </c>
      <c r="G318" s="26">
        <f t="shared" si="17"/>
        <v>0</v>
      </c>
      <c r="H318" s="23" t="str">
        <f t="shared" si="18"/>
        <v>HS899004IO_Amps.Mode</v>
      </c>
      <c r="I318" s="23">
        <f t="shared" si="19"/>
        <v>0</v>
      </c>
    </row>
    <row r="319" spans="2:9" hidden="1" x14ac:dyDescent="0.25">
      <c r="B319" s="25" t="s">
        <v>16</v>
      </c>
      <c r="C319" s="25" t="s">
        <v>524</v>
      </c>
      <c r="D319" s="25">
        <v>0</v>
      </c>
      <c r="E319" s="25" t="s">
        <v>525</v>
      </c>
      <c r="F319" s="26" t="str">
        <f t="shared" si="16"/>
        <v>JT899005</v>
      </c>
      <c r="G319" s="26">
        <f t="shared" si="17"/>
        <v>0</v>
      </c>
      <c r="H319" s="23" t="str">
        <f t="shared" si="18"/>
        <v>HS899005IO_Amps.Mode</v>
      </c>
      <c r="I319" s="23">
        <f t="shared" si="19"/>
        <v>0</v>
      </c>
    </row>
    <row r="320" spans="2:9" x14ac:dyDescent="0.25">
      <c r="B320" s="25" t="s">
        <v>16</v>
      </c>
      <c r="C320" s="25" t="s">
        <v>1745</v>
      </c>
      <c r="D320" s="25">
        <v>0</v>
      </c>
      <c r="E320" s="25" t="s">
        <v>1746</v>
      </c>
      <c r="F320" s="26" t="str">
        <f t="shared" si="16"/>
        <v>IT897987</v>
      </c>
      <c r="G320" s="26">
        <f t="shared" si="17"/>
        <v>2</v>
      </c>
      <c r="H320" s="23" t="str">
        <f t="shared" si="18"/>
        <v>II897987IO.Mode</v>
      </c>
      <c r="I320" s="23">
        <f t="shared" si="19"/>
        <v>2</v>
      </c>
    </row>
    <row r="321" spans="2:9" x14ac:dyDescent="0.25">
      <c r="B321" s="25" t="s">
        <v>16</v>
      </c>
      <c r="C321" s="25" t="s">
        <v>1747</v>
      </c>
      <c r="D321" s="25">
        <v>0</v>
      </c>
      <c r="E321" s="25" t="s">
        <v>1748</v>
      </c>
      <c r="F321" s="26" t="str">
        <f t="shared" si="16"/>
        <v>IT897988</v>
      </c>
      <c r="G321" s="26">
        <f t="shared" si="17"/>
        <v>2</v>
      </c>
      <c r="H321" s="23" t="str">
        <f t="shared" si="18"/>
        <v>II897988IO.Mode</v>
      </c>
      <c r="I321" s="23">
        <f t="shared" si="19"/>
        <v>2</v>
      </c>
    </row>
    <row r="322" spans="2:9" x14ac:dyDescent="0.25">
      <c r="B322" s="25" t="s">
        <v>16</v>
      </c>
      <c r="C322" s="25" t="s">
        <v>1749</v>
      </c>
      <c r="D322" s="25">
        <v>0</v>
      </c>
      <c r="E322" s="25" t="s">
        <v>1750</v>
      </c>
      <c r="F322" s="26" t="str">
        <f t="shared" ref="F322:F385" si="20">+LEFT(E322,FIND(".",E322,1)-1)</f>
        <v>IT897991</v>
      </c>
      <c r="G322" s="26">
        <f t="shared" ref="G322:G385" si="21">+IFERROR(IF(VLOOKUP(F322,DI,2,FALSE)="IO",2,0),"N/A")</f>
        <v>2</v>
      </c>
      <c r="H322" s="23" t="str">
        <f t="shared" ref="H322:H385" si="22">+CONCATENATE(C322,".Mode")</f>
        <v>II897991IO.Mode</v>
      </c>
      <c r="I322" s="23">
        <f t="shared" si="19"/>
        <v>2</v>
      </c>
    </row>
    <row r="323" spans="2:9" x14ac:dyDescent="0.25">
      <c r="B323" s="25" t="s">
        <v>16</v>
      </c>
      <c r="C323" s="25" t="s">
        <v>1751</v>
      </c>
      <c r="D323" s="25">
        <v>0</v>
      </c>
      <c r="E323" s="25" t="s">
        <v>1752</v>
      </c>
      <c r="F323" s="26" t="str">
        <f t="shared" si="20"/>
        <v>IT897992</v>
      </c>
      <c r="G323" s="26">
        <f t="shared" si="21"/>
        <v>2</v>
      </c>
      <c r="H323" s="23" t="str">
        <f t="shared" si="22"/>
        <v>II897992IO.Mode</v>
      </c>
      <c r="I323" s="23">
        <f t="shared" ref="I323:I386" si="23">+G323</f>
        <v>2</v>
      </c>
    </row>
    <row r="324" spans="2:9" hidden="1" x14ac:dyDescent="0.25">
      <c r="B324" s="25" t="s">
        <v>16</v>
      </c>
      <c r="C324" s="25" t="s">
        <v>526</v>
      </c>
      <c r="D324" s="25">
        <v>0</v>
      </c>
      <c r="E324" s="25" t="s">
        <v>527</v>
      </c>
      <c r="F324" s="26" t="str">
        <f t="shared" si="20"/>
        <v>IT810509B</v>
      </c>
      <c r="G324" s="26">
        <f t="shared" si="21"/>
        <v>0</v>
      </c>
      <c r="H324" s="23" t="str">
        <f t="shared" si="22"/>
        <v>IT810509BIO.Mode</v>
      </c>
      <c r="I324" s="23">
        <f t="shared" si="23"/>
        <v>0</v>
      </c>
    </row>
    <row r="325" spans="2:9" hidden="1" x14ac:dyDescent="0.25">
      <c r="B325" s="25" t="s">
        <v>16</v>
      </c>
      <c r="C325" s="25" t="s">
        <v>528</v>
      </c>
      <c r="D325" s="25">
        <v>0</v>
      </c>
      <c r="E325" s="25" t="s">
        <v>529</v>
      </c>
      <c r="F325" s="26" t="str">
        <f t="shared" si="20"/>
        <v>IT820509B</v>
      </c>
      <c r="G325" s="26">
        <f t="shared" si="21"/>
        <v>0</v>
      </c>
      <c r="H325" s="23" t="str">
        <f t="shared" si="22"/>
        <v>IT820509BIO.Mode</v>
      </c>
      <c r="I325" s="23">
        <f t="shared" si="23"/>
        <v>0</v>
      </c>
    </row>
    <row r="326" spans="2:9" x14ac:dyDescent="0.25">
      <c r="B326" s="25" t="s">
        <v>16</v>
      </c>
      <c r="C326" s="25" t="s">
        <v>1753</v>
      </c>
      <c r="D326" s="25">
        <v>0</v>
      </c>
      <c r="E326" s="25" t="s">
        <v>1754</v>
      </c>
      <c r="F326" s="26" t="str">
        <f t="shared" si="20"/>
        <v>LSH803015</v>
      </c>
      <c r="G326" s="26">
        <f t="shared" si="21"/>
        <v>2</v>
      </c>
      <c r="H326" s="23" t="str">
        <f t="shared" si="22"/>
        <v>LAH803015IO.Mode</v>
      </c>
      <c r="I326" s="23">
        <f t="shared" si="23"/>
        <v>2</v>
      </c>
    </row>
    <row r="327" spans="2:9" x14ac:dyDescent="0.25">
      <c r="B327" s="25" t="s">
        <v>16</v>
      </c>
      <c r="C327" s="25" t="s">
        <v>1755</v>
      </c>
      <c r="D327" s="25">
        <v>0</v>
      </c>
      <c r="E327" s="25" t="s">
        <v>1756</v>
      </c>
      <c r="F327" s="26" t="str">
        <f t="shared" si="20"/>
        <v>LSH803116</v>
      </c>
      <c r="G327" s="26">
        <f t="shared" si="21"/>
        <v>2</v>
      </c>
      <c r="H327" s="23" t="str">
        <f t="shared" si="22"/>
        <v>LAH803116IO.Mode</v>
      </c>
      <c r="I327" s="23">
        <f t="shared" si="23"/>
        <v>2</v>
      </c>
    </row>
    <row r="328" spans="2:9" x14ac:dyDescent="0.25">
      <c r="B328" s="25" t="s">
        <v>16</v>
      </c>
      <c r="C328" s="25" t="s">
        <v>1757</v>
      </c>
      <c r="D328" s="25">
        <v>0</v>
      </c>
      <c r="E328" s="25" t="s">
        <v>1758</v>
      </c>
      <c r="F328" s="26" t="str">
        <f t="shared" si="20"/>
        <v>LSH803215</v>
      </c>
      <c r="G328" s="26">
        <f t="shared" si="21"/>
        <v>2</v>
      </c>
      <c r="H328" s="23" t="str">
        <f t="shared" si="22"/>
        <v>LAH803215IO.Mode</v>
      </c>
      <c r="I328" s="23">
        <f t="shared" si="23"/>
        <v>2</v>
      </c>
    </row>
    <row r="329" spans="2:9" hidden="1" x14ac:dyDescent="0.25">
      <c r="B329" s="25" t="s">
        <v>16</v>
      </c>
      <c r="C329" s="25" t="s">
        <v>530</v>
      </c>
      <c r="D329" s="25">
        <v>0</v>
      </c>
      <c r="E329" s="25" t="s">
        <v>531</v>
      </c>
      <c r="F329" s="26" t="str">
        <f t="shared" si="20"/>
        <v>LSH810413</v>
      </c>
      <c r="G329" s="26">
        <f t="shared" si="21"/>
        <v>0</v>
      </c>
      <c r="H329" s="23" t="str">
        <f t="shared" si="22"/>
        <v>LAH810413IO.Mode</v>
      </c>
      <c r="I329" s="23">
        <f t="shared" si="23"/>
        <v>0</v>
      </c>
    </row>
    <row r="330" spans="2:9" hidden="1" x14ac:dyDescent="0.25">
      <c r="B330" s="25" t="s">
        <v>16</v>
      </c>
      <c r="C330" s="25" t="s">
        <v>532</v>
      </c>
      <c r="D330" s="25">
        <v>0</v>
      </c>
      <c r="E330" s="25" t="s">
        <v>533</v>
      </c>
      <c r="F330" s="26" t="str">
        <f t="shared" si="20"/>
        <v>LSH810524</v>
      </c>
      <c r="G330" s="26">
        <f t="shared" si="21"/>
        <v>0</v>
      </c>
      <c r="H330" s="23" t="str">
        <f t="shared" si="22"/>
        <v>LAH810524_1oo1IO.Mode</v>
      </c>
      <c r="I330" s="23">
        <f t="shared" si="23"/>
        <v>0</v>
      </c>
    </row>
    <row r="331" spans="2:9" hidden="1" x14ac:dyDescent="0.25">
      <c r="B331" s="25" t="s">
        <v>16</v>
      </c>
      <c r="C331" s="25" t="s">
        <v>534</v>
      </c>
      <c r="D331" s="25">
        <v>0</v>
      </c>
      <c r="E331" s="25" t="s">
        <v>535</v>
      </c>
      <c r="F331" s="26" t="str">
        <f t="shared" si="20"/>
        <v>LSH810525</v>
      </c>
      <c r="G331" s="26">
        <f t="shared" si="21"/>
        <v>0</v>
      </c>
      <c r="H331" s="23" t="str">
        <f t="shared" si="22"/>
        <v>LAH810525_1oo1IO.Mode</v>
      </c>
      <c r="I331" s="23">
        <f t="shared" si="23"/>
        <v>0</v>
      </c>
    </row>
    <row r="332" spans="2:9" hidden="1" x14ac:dyDescent="0.25">
      <c r="B332" s="25" t="s">
        <v>16</v>
      </c>
      <c r="C332" s="25" t="s">
        <v>536</v>
      </c>
      <c r="D332" s="25">
        <v>0</v>
      </c>
      <c r="E332" s="25" t="s">
        <v>537</v>
      </c>
      <c r="F332" s="26" t="str">
        <f t="shared" si="20"/>
        <v>LSH810532</v>
      </c>
      <c r="G332" s="26">
        <f t="shared" si="21"/>
        <v>0</v>
      </c>
      <c r="H332" s="23" t="str">
        <f t="shared" si="22"/>
        <v>LAH810532_1oo1IO.Mode</v>
      </c>
      <c r="I332" s="23">
        <f t="shared" si="23"/>
        <v>0</v>
      </c>
    </row>
    <row r="333" spans="2:9" hidden="1" x14ac:dyDescent="0.25">
      <c r="B333" s="25" t="s">
        <v>16</v>
      </c>
      <c r="C333" s="25" t="s">
        <v>538</v>
      </c>
      <c r="D333" s="25">
        <v>0</v>
      </c>
      <c r="E333" s="25" t="s">
        <v>539</v>
      </c>
      <c r="F333" s="26" t="str">
        <f t="shared" si="20"/>
        <v>LSH812205</v>
      </c>
      <c r="G333" s="26">
        <f t="shared" si="21"/>
        <v>0</v>
      </c>
      <c r="H333" s="23" t="str">
        <f t="shared" si="22"/>
        <v>LAH812205IO.Mode</v>
      </c>
      <c r="I333" s="23">
        <f t="shared" si="23"/>
        <v>0</v>
      </c>
    </row>
    <row r="334" spans="2:9" hidden="1" x14ac:dyDescent="0.25">
      <c r="B334" s="25" t="s">
        <v>16</v>
      </c>
      <c r="C334" s="25" t="s">
        <v>540</v>
      </c>
      <c r="D334" s="25">
        <v>0</v>
      </c>
      <c r="E334" s="25" t="s">
        <v>541</v>
      </c>
      <c r="F334" s="26" t="str">
        <f t="shared" si="20"/>
        <v>LSH820421</v>
      </c>
      <c r="G334" s="26">
        <f t="shared" si="21"/>
        <v>0</v>
      </c>
      <c r="H334" s="23" t="str">
        <f t="shared" si="22"/>
        <v>LAH820421IO.Mode</v>
      </c>
      <c r="I334" s="23">
        <f t="shared" si="23"/>
        <v>0</v>
      </c>
    </row>
    <row r="335" spans="2:9" hidden="1" x14ac:dyDescent="0.25">
      <c r="B335" s="25" t="s">
        <v>16</v>
      </c>
      <c r="C335" s="25" t="s">
        <v>542</v>
      </c>
      <c r="D335" s="25">
        <v>0</v>
      </c>
      <c r="E335" s="25" t="s">
        <v>543</v>
      </c>
      <c r="F335" s="26" t="str">
        <f t="shared" si="20"/>
        <v>LSH820524</v>
      </c>
      <c r="G335" s="26">
        <f t="shared" si="21"/>
        <v>0</v>
      </c>
      <c r="H335" s="23" t="str">
        <f t="shared" si="22"/>
        <v>LAH820524_1oo1IO.Mode</v>
      </c>
      <c r="I335" s="23">
        <f t="shared" si="23"/>
        <v>0</v>
      </c>
    </row>
    <row r="336" spans="2:9" hidden="1" x14ac:dyDescent="0.25">
      <c r="B336" s="25" t="s">
        <v>16</v>
      </c>
      <c r="C336" s="25" t="s">
        <v>544</v>
      </c>
      <c r="D336" s="25">
        <v>0</v>
      </c>
      <c r="E336" s="25" t="s">
        <v>545</v>
      </c>
      <c r="F336" s="26" t="str">
        <f t="shared" si="20"/>
        <v>LSH820561</v>
      </c>
      <c r="G336" s="26">
        <f t="shared" si="21"/>
        <v>0</v>
      </c>
      <c r="H336" s="23" t="str">
        <f t="shared" si="22"/>
        <v>LAH820561_1oo1IO.Mode</v>
      </c>
      <c r="I336" s="23">
        <f t="shared" si="23"/>
        <v>0</v>
      </c>
    </row>
    <row r="337" spans="2:9" hidden="1" x14ac:dyDescent="0.25">
      <c r="B337" s="25" t="s">
        <v>16</v>
      </c>
      <c r="C337" s="25" t="s">
        <v>546</v>
      </c>
      <c r="D337" s="25">
        <v>0</v>
      </c>
      <c r="E337" s="25" t="s">
        <v>547</v>
      </c>
      <c r="F337" s="26" t="str">
        <f t="shared" si="20"/>
        <v>LSH820909</v>
      </c>
      <c r="G337" s="26">
        <f t="shared" si="21"/>
        <v>0</v>
      </c>
      <c r="H337" s="23" t="str">
        <f t="shared" si="22"/>
        <v>LAH820909IO.Mode</v>
      </c>
      <c r="I337" s="23">
        <f t="shared" si="23"/>
        <v>0</v>
      </c>
    </row>
    <row r="338" spans="2:9" hidden="1" x14ac:dyDescent="0.25">
      <c r="B338" s="25" t="s">
        <v>16</v>
      </c>
      <c r="C338" s="25" t="s">
        <v>548</v>
      </c>
      <c r="D338" s="25">
        <v>0</v>
      </c>
      <c r="E338" s="25" t="s">
        <v>549</v>
      </c>
      <c r="F338" s="26" t="str">
        <f t="shared" si="20"/>
        <v>LSH821017</v>
      </c>
      <c r="G338" s="26">
        <f t="shared" si="21"/>
        <v>0</v>
      </c>
      <c r="H338" s="23" t="str">
        <f t="shared" si="22"/>
        <v>LAH821017IO.Mode</v>
      </c>
      <c r="I338" s="23">
        <f t="shared" si="23"/>
        <v>0</v>
      </c>
    </row>
    <row r="339" spans="2:9" hidden="1" x14ac:dyDescent="0.25">
      <c r="B339" s="25" t="s">
        <v>16</v>
      </c>
      <c r="C339" s="25" t="s">
        <v>550</v>
      </c>
      <c r="D339" s="25">
        <v>0</v>
      </c>
      <c r="E339" s="25" t="s">
        <v>551</v>
      </c>
      <c r="F339" s="26" t="str">
        <f t="shared" si="20"/>
        <v>LSH821109</v>
      </c>
      <c r="G339" s="26">
        <f t="shared" si="21"/>
        <v>0</v>
      </c>
      <c r="H339" s="23" t="str">
        <f t="shared" si="22"/>
        <v>LAH821109IO.Mode</v>
      </c>
      <c r="I339" s="23">
        <f t="shared" si="23"/>
        <v>0</v>
      </c>
    </row>
    <row r="340" spans="2:9" hidden="1" x14ac:dyDescent="0.25">
      <c r="B340" s="25" t="s">
        <v>16</v>
      </c>
      <c r="C340" s="25" t="s">
        <v>552</v>
      </c>
      <c r="D340" s="25">
        <v>0</v>
      </c>
      <c r="E340" s="25" t="s">
        <v>553</v>
      </c>
      <c r="F340" s="26" t="str">
        <f t="shared" si="20"/>
        <v>LSH821214</v>
      </c>
      <c r="G340" s="26">
        <f t="shared" si="21"/>
        <v>0</v>
      </c>
      <c r="H340" s="23" t="str">
        <f t="shared" si="22"/>
        <v>LAH821214IO.Mode</v>
      </c>
      <c r="I340" s="23">
        <f t="shared" si="23"/>
        <v>0</v>
      </c>
    </row>
    <row r="341" spans="2:9" x14ac:dyDescent="0.25">
      <c r="B341" s="25" t="s">
        <v>16</v>
      </c>
      <c r="C341" s="25" t="s">
        <v>1759</v>
      </c>
      <c r="D341" s="25">
        <v>0</v>
      </c>
      <c r="E341" s="25" t="s">
        <v>1760</v>
      </c>
      <c r="F341" s="26" t="str">
        <f t="shared" si="20"/>
        <v>LSH821523</v>
      </c>
      <c r="G341" s="26">
        <f t="shared" si="21"/>
        <v>2</v>
      </c>
      <c r="H341" s="23" t="str">
        <f t="shared" si="22"/>
        <v>LAH821523IO.Mode</v>
      </c>
      <c r="I341" s="23">
        <f t="shared" si="23"/>
        <v>2</v>
      </c>
    </row>
    <row r="342" spans="2:9" hidden="1" x14ac:dyDescent="0.25">
      <c r="B342" s="25" t="s">
        <v>16</v>
      </c>
      <c r="C342" s="25" t="s">
        <v>554</v>
      </c>
      <c r="D342" s="25">
        <v>0</v>
      </c>
      <c r="E342" s="25" t="s">
        <v>555</v>
      </c>
      <c r="F342" s="26" t="str">
        <f t="shared" si="20"/>
        <v>LSH821611</v>
      </c>
      <c r="G342" s="26">
        <f t="shared" si="21"/>
        <v>0</v>
      </c>
      <c r="H342" s="23" t="str">
        <f t="shared" si="22"/>
        <v>LAH821611IO.Mode</v>
      </c>
      <c r="I342" s="23">
        <f t="shared" si="23"/>
        <v>0</v>
      </c>
    </row>
    <row r="343" spans="2:9" hidden="1" x14ac:dyDescent="0.25">
      <c r="B343" s="25" t="s">
        <v>16</v>
      </c>
      <c r="C343" s="25" t="s">
        <v>556</v>
      </c>
      <c r="D343" s="25">
        <v>0</v>
      </c>
      <c r="E343" s="25" t="s">
        <v>557</v>
      </c>
      <c r="F343" s="26" t="str">
        <f t="shared" si="20"/>
        <v>LSH822147</v>
      </c>
      <c r="G343" s="26">
        <f t="shared" si="21"/>
        <v>0</v>
      </c>
      <c r="H343" s="23" t="str">
        <f t="shared" si="22"/>
        <v>LAH822147IO.Mode</v>
      </c>
      <c r="I343" s="23">
        <f t="shared" si="23"/>
        <v>0</v>
      </c>
    </row>
    <row r="344" spans="2:9" hidden="1" x14ac:dyDescent="0.25">
      <c r="B344" s="25" t="s">
        <v>16</v>
      </c>
      <c r="C344" s="25" t="s">
        <v>558</v>
      </c>
      <c r="D344" s="25">
        <v>0</v>
      </c>
      <c r="E344" s="25" t="s">
        <v>559</v>
      </c>
      <c r="F344" s="26" t="str">
        <f t="shared" si="20"/>
        <v>LSH822319</v>
      </c>
      <c r="G344" s="26">
        <f t="shared" si="21"/>
        <v>0</v>
      </c>
      <c r="H344" s="23" t="str">
        <f t="shared" si="22"/>
        <v>LAH822319IO.Mode</v>
      </c>
      <c r="I344" s="23">
        <f t="shared" si="23"/>
        <v>0</v>
      </c>
    </row>
    <row r="345" spans="2:9" hidden="1" x14ac:dyDescent="0.25">
      <c r="B345" s="25" t="s">
        <v>16</v>
      </c>
      <c r="C345" s="25" t="s">
        <v>560</v>
      </c>
      <c r="D345" s="25">
        <v>0</v>
      </c>
      <c r="E345" s="25" t="s">
        <v>561</v>
      </c>
      <c r="F345" s="26" t="str">
        <f t="shared" si="20"/>
        <v>LSH822420</v>
      </c>
      <c r="G345" s="26">
        <f t="shared" si="21"/>
        <v>0</v>
      </c>
      <c r="H345" s="23" t="str">
        <f t="shared" si="22"/>
        <v>LAH822420IO.Mode</v>
      </c>
      <c r="I345" s="23">
        <f t="shared" si="23"/>
        <v>0</v>
      </c>
    </row>
    <row r="346" spans="2:9" hidden="1" x14ac:dyDescent="0.25">
      <c r="B346" s="25" t="s">
        <v>16</v>
      </c>
      <c r="C346" s="25" t="s">
        <v>562</v>
      </c>
      <c r="D346" s="25">
        <v>0</v>
      </c>
      <c r="E346" s="25" t="s">
        <v>563</v>
      </c>
      <c r="F346" s="26" t="str">
        <f t="shared" si="20"/>
        <v>LSH830534</v>
      </c>
      <c r="G346" s="26">
        <f t="shared" si="21"/>
        <v>0</v>
      </c>
      <c r="H346" s="23" t="str">
        <f t="shared" si="22"/>
        <v>LAH830534IO.Mode</v>
      </c>
      <c r="I346" s="23">
        <f t="shared" si="23"/>
        <v>0</v>
      </c>
    </row>
    <row r="347" spans="2:9" hidden="1" x14ac:dyDescent="0.25">
      <c r="B347" s="25" t="s">
        <v>16</v>
      </c>
      <c r="C347" s="25" t="s">
        <v>564</v>
      </c>
      <c r="D347" s="25">
        <v>0</v>
      </c>
      <c r="E347" s="25" t="s">
        <v>565</v>
      </c>
      <c r="F347" s="26" t="str">
        <f t="shared" si="20"/>
        <v>LSH830634</v>
      </c>
      <c r="G347" s="26">
        <f t="shared" si="21"/>
        <v>0</v>
      </c>
      <c r="H347" s="23" t="str">
        <f t="shared" si="22"/>
        <v>LAH830634IO.Mode</v>
      </c>
      <c r="I347" s="23">
        <f t="shared" si="23"/>
        <v>0</v>
      </c>
    </row>
    <row r="348" spans="2:9" hidden="1" x14ac:dyDescent="0.25">
      <c r="B348" s="25" t="s">
        <v>16</v>
      </c>
      <c r="C348" s="25" t="s">
        <v>566</v>
      </c>
      <c r="D348" s="25">
        <v>0</v>
      </c>
      <c r="E348" s="25" t="s">
        <v>567</v>
      </c>
      <c r="F348" s="26" t="str">
        <f t="shared" si="20"/>
        <v>LSH830948</v>
      </c>
      <c r="G348" s="26">
        <f t="shared" si="21"/>
        <v>0</v>
      </c>
      <c r="H348" s="23" t="str">
        <f t="shared" si="22"/>
        <v>LAH830948IO.Mode</v>
      </c>
      <c r="I348" s="23">
        <f t="shared" si="23"/>
        <v>0</v>
      </c>
    </row>
    <row r="349" spans="2:9" hidden="1" x14ac:dyDescent="0.25">
      <c r="B349" s="25" t="s">
        <v>16</v>
      </c>
      <c r="C349" s="25" t="s">
        <v>568</v>
      </c>
      <c r="D349" s="25">
        <v>0</v>
      </c>
      <c r="E349" s="25" t="s">
        <v>569</v>
      </c>
      <c r="F349" s="26" t="str">
        <f t="shared" si="20"/>
        <v>LSH830949</v>
      </c>
      <c r="G349" s="26">
        <f t="shared" si="21"/>
        <v>0</v>
      </c>
      <c r="H349" s="23" t="str">
        <f t="shared" si="22"/>
        <v>LAH830949IO.Mode</v>
      </c>
      <c r="I349" s="23">
        <f t="shared" si="23"/>
        <v>0</v>
      </c>
    </row>
    <row r="350" spans="2:9" hidden="1" x14ac:dyDescent="0.25">
      <c r="B350" s="25" t="s">
        <v>16</v>
      </c>
      <c r="C350" s="25" t="s">
        <v>570</v>
      </c>
      <c r="D350" s="25">
        <v>0</v>
      </c>
      <c r="E350" s="25" t="s">
        <v>571</v>
      </c>
      <c r="F350" s="26" t="str">
        <f t="shared" si="20"/>
        <v>LSH831118</v>
      </c>
      <c r="G350" s="26">
        <f t="shared" si="21"/>
        <v>0</v>
      </c>
      <c r="H350" s="23" t="str">
        <f t="shared" si="22"/>
        <v>LAH831118IO.Mode</v>
      </c>
      <c r="I350" s="23">
        <f t="shared" si="23"/>
        <v>0</v>
      </c>
    </row>
    <row r="351" spans="2:9" hidden="1" x14ac:dyDescent="0.25">
      <c r="B351" s="25" t="s">
        <v>16</v>
      </c>
      <c r="C351" s="25" t="s">
        <v>572</v>
      </c>
      <c r="D351" s="25">
        <v>0</v>
      </c>
      <c r="E351" s="25" t="s">
        <v>573</v>
      </c>
      <c r="F351" s="26" t="str">
        <f t="shared" si="20"/>
        <v>LSH831216</v>
      </c>
      <c r="G351" s="26">
        <f t="shared" si="21"/>
        <v>0</v>
      </c>
      <c r="H351" s="23" t="str">
        <f t="shared" si="22"/>
        <v>LAH831216IO.Mode</v>
      </c>
      <c r="I351" s="23">
        <f t="shared" si="23"/>
        <v>0</v>
      </c>
    </row>
    <row r="352" spans="2:9" x14ac:dyDescent="0.25">
      <c r="B352" s="25" t="s">
        <v>16</v>
      </c>
      <c r="C352" s="25" t="s">
        <v>1761</v>
      </c>
      <c r="D352" s="25">
        <v>0</v>
      </c>
      <c r="E352" s="25" t="s">
        <v>1762</v>
      </c>
      <c r="F352" s="26" t="str">
        <f t="shared" si="20"/>
        <v>LAL832405</v>
      </c>
      <c r="G352" s="26">
        <f t="shared" si="21"/>
        <v>2</v>
      </c>
      <c r="H352" s="23" t="str">
        <f t="shared" si="22"/>
        <v>LAH832405IO.Mode</v>
      </c>
      <c r="I352" s="23">
        <f t="shared" si="23"/>
        <v>2</v>
      </c>
    </row>
    <row r="353" spans="2:9" x14ac:dyDescent="0.25">
      <c r="B353" s="25" t="s">
        <v>16</v>
      </c>
      <c r="C353" s="25" t="s">
        <v>1763</v>
      </c>
      <c r="D353" s="25">
        <v>0</v>
      </c>
      <c r="E353" s="25" t="s">
        <v>1764</v>
      </c>
      <c r="F353" s="26" t="str">
        <f t="shared" si="20"/>
        <v>LAL832505</v>
      </c>
      <c r="G353" s="26">
        <f t="shared" si="21"/>
        <v>2</v>
      </c>
      <c r="H353" s="23" t="str">
        <f t="shared" si="22"/>
        <v>LAH832505IO.Mode</v>
      </c>
      <c r="I353" s="23">
        <f t="shared" si="23"/>
        <v>2</v>
      </c>
    </row>
    <row r="354" spans="2:9" hidden="1" x14ac:dyDescent="0.25">
      <c r="B354" s="25" t="s">
        <v>16</v>
      </c>
      <c r="C354" s="25" t="s">
        <v>574</v>
      </c>
      <c r="D354" s="25">
        <v>0</v>
      </c>
      <c r="E354" s="25" t="s">
        <v>575</v>
      </c>
      <c r="F354" s="26" t="str">
        <f t="shared" si="20"/>
        <v>LSH842905</v>
      </c>
      <c r="G354" s="26">
        <f t="shared" si="21"/>
        <v>0</v>
      </c>
      <c r="H354" s="23" t="str">
        <f t="shared" si="22"/>
        <v>LAH842905IO.Mode</v>
      </c>
      <c r="I354" s="23">
        <f t="shared" si="23"/>
        <v>0</v>
      </c>
    </row>
    <row r="355" spans="2:9" x14ac:dyDescent="0.25">
      <c r="B355" s="25" t="s">
        <v>16</v>
      </c>
      <c r="C355" s="25" t="s">
        <v>1765</v>
      </c>
      <c r="D355" s="25">
        <v>0</v>
      </c>
      <c r="E355" s="25" t="s">
        <v>1766</v>
      </c>
      <c r="F355" s="26" t="str">
        <f t="shared" si="20"/>
        <v>LSH896207</v>
      </c>
      <c r="G355" s="26">
        <f t="shared" si="21"/>
        <v>2</v>
      </c>
      <c r="H355" s="23" t="str">
        <f t="shared" si="22"/>
        <v>LAH896207IO.Mode</v>
      </c>
      <c r="I355" s="23">
        <f t="shared" si="23"/>
        <v>2</v>
      </c>
    </row>
    <row r="356" spans="2:9" x14ac:dyDescent="0.25">
      <c r="B356" s="25" t="s">
        <v>16</v>
      </c>
      <c r="C356" s="25" t="s">
        <v>1767</v>
      </c>
      <c r="D356" s="25">
        <v>0</v>
      </c>
      <c r="E356" s="25" t="s">
        <v>1768</v>
      </c>
      <c r="F356" s="26" t="str">
        <f t="shared" si="20"/>
        <v>LSH896208</v>
      </c>
      <c r="G356" s="26">
        <f t="shared" si="21"/>
        <v>2</v>
      </c>
      <c r="H356" s="23" t="str">
        <f t="shared" si="22"/>
        <v>LAH896208IO.Mode</v>
      </c>
      <c r="I356" s="23">
        <f t="shared" si="23"/>
        <v>2</v>
      </c>
    </row>
    <row r="357" spans="2:9" hidden="1" x14ac:dyDescent="0.25">
      <c r="B357" s="25" t="s">
        <v>16</v>
      </c>
      <c r="C357" s="25" t="s">
        <v>576</v>
      </c>
      <c r="D357" s="25">
        <v>0</v>
      </c>
      <c r="E357" s="25" t="s">
        <v>577</v>
      </c>
      <c r="F357" s="26" t="str">
        <f t="shared" si="20"/>
        <v>LSL808116</v>
      </c>
      <c r="G357" s="26">
        <f t="shared" si="21"/>
        <v>0</v>
      </c>
      <c r="H357" s="23" t="str">
        <f t="shared" si="22"/>
        <v>LAL808116IO.Mode</v>
      </c>
      <c r="I357" s="23">
        <f t="shared" si="23"/>
        <v>0</v>
      </c>
    </row>
    <row r="358" spans="2:9" hidden="1" x14ac:dyDescent="0.25">
      <c r="B358" s="25" t="s">
        <v>16</v>
      </c>
      <c r="C358" s="25" t="s">
        <v>578</v>
      </c>
      <c r="D358" s="25">
        <v>0</v>
      </c>
      <c r="E358" s="25" t="s">
        <v>579</v>
      </c>
      <c r="F358" s="26" t="str">
        <f t="shared" si="20"/>
        <v>LSL810412</v>
      </c>
      <c r="G358" s="26">
        <f t="shared" si="21"/>
        <v>0</v>
      </c>
      <c r="H358" s="23" t="str">
        <f t="shared" si="22"/>
        <v>LAL810412IO.Mode</v>
      </c>
      <c r="I358" s="23">
        <f t="shared" si="23"/>
        <v>0</v>
      </c>
    </row>
    <row r="359" spans="2:9" hidden="1" x14ac:dyDescent="0.25">
      <c r="B359" s="25" t="s">
        <v>16</v>
      </c>
      <c r="C359" s="25" t="s">
        <v>580</v>
      </c>
      <c r="D359" s="25">
        <v>0</v>
      </c>
      <c r="E359" s="25" t="s">
        <v>581</v>
      </c>
      <c r="F359" s="26" t="str">
        <f t="shared" si="20"/>
        <v>LSL810503</v>
      </c>
      <c r="G359" s="26">
        <f t="shared" si="21"/>
        <v>0</v>
      </c>
      <c r="H359" s="23" t="str">
        <f t="shared" si="22"/>
        <v>LAL810503IO.Mode</v>
      </c>
      <c r="I359" s="23">
        <f t="shared" si="23"/>
        <v>0</v>
      </c>
    </row>
    <row r="360" spans="2:9" x14ac:dyDescent="0.25">
      <c r="B360" s="25" t="s">
        <v>16</v>
      </c>
      <c r="C360" s="25" t="s">
        <v>1769</v>
      </c>
      <c r="D360" s="25">
        <v>2</v>
      </c>
      <c r="E360" s="25" t="s">
        <v>1770</v>
      </c>
      <c r="F360" s="26" t="str">
        <f t="shared" si="20"/>
        <v>LAL813118</v>
      </c>
      <c r="G360" s="26">
        <f t="shared" si="21"/>
        <v>2</v>
      </c>
      <c r="H360" s="23" t="str">
        <f t="shared" si="22"/>
        <v>LAL813118IO.Mode</v>
      </c>
      <c r="I360" s="23">
        <f t="shared" si="23"/>
        <v>2</v>
      </c>
    </row>
    <row r="361" spans="2:9" hidden="1" x14ac:dyDescent="0.25">
      <c r="B361" s="25" t="s">
        <v>16</v>
      </c>
      <c r="C361" s="25" t="s">
        <v>582</v>
      </c>
      <c r="D361" s="25">
        <v>0</v>
      </c>
      <c r="E361" s="25" t="s">
        <v>583</v>
      </c>
      <c r="F361" s="26" t="str">
        <f t="shared" si="20"/>
        <v>LSL820408</v>
      </c>
      <c r="G361" s="26">
        <f t="shared" si="21"/>
        <v>0</v>
      </c>
      <c r="H361" s="23" t="str">
        <f t="shared" si="22"/>
        <v>LAL820408IO.Mode</v>
      </c>
      <c r="I361" s="23">
        <f t="shared" si="23"/>
        <v>0</v>
      </c>
    </row>
    <row r="362" spans="2:9" hidden="1" x14ac:dyDescent="0.25">
      <c r="B362" s="25" t="s">
        <v>16</v>
      </c>
      <c r="C362" s="25" t="s">
        <v>584</v>
      </c>
      <c r="D362" s="25">
        <v>0</v>
      </c>
      <c r="E362" s="25" t="s">
        <v>585</v>
      </c>
      <c r="F362" s="26" t="str">
        <f t="shared" si="20"/>
        <v>LSL820503</v>
      </c>
      <c r="G362" s="26">
        <f t="shared" si="21"/>
        <v>0</v>
      </c>
      <c r="H362" s="23" t="str">
        <f t="shared" si="22"/>
        <v>LAL820503IO.Mode</v>
      </c>
      <c r="I362" s="23">
        <f t="shared" si="23"/>
        <v>0</v>
      </c>
    </row>
    <row r="363" spans="2:9" hidden="1" x14ac:dyDescent="0.25">
      <c r="B363" s="25" t="s">
        <v>16</v>
      </c>
      <c r="C363" s="25" t="s">
        <v>586</v>
      </c>
      <c r="D363" s="25">
        <v>0</v>
      </c>
      <c r="E363" s="25" t="s">
        <v>587</v>
      </c>
      <c r="F363" s="26" t="str">
        <f t="shared" si="20"/>
        <v>LSL821410</v>
      </c>
      <c r="G363" s="26">
        <f t="shared" si="21"/>
        <v>0</v>
      </c>
      <c r="H363" s="23" t="str">
        <f t="shared" si="22"/>
        <v>LAL821410IO.Mode</v>
      </c>
      <c r="I363" s="23">
        <f t="shared" si="23"/>
        <v>0</v>
      </c>
    </row>
    <row r="364" spans="2:9" hidden="1" x14ac:dyDescent="0.25">
      <c r="B364" s="25" t="s">
        <v>16</v>
      </c>
      <c r="C364" s="25" t="s">
        <v>588</v>
      </c>
      <c r="D364" s="25">
        <v>0</v>
      </c>
      <c r="E364" s="25" t="s">
        <v>589</v>
      </c>
      <c r="F364" s="26" t="str">
        <f t="shared" si="20"/>
        <v>LSL821510</v>
      </c>
      <c r="G364" s="26">
        <f t="shared" si="21"/>
        <v>0</v>
      </c>
      <c r="H364" s="23" t="str">
        <f t="shared" si="22"/>
        <v>LAL821510IO.Mode</v>
      </c>
      <c r="I364" s="23">
        <f t="shared" si="23"/>
        <v>0</v>
      </c>
    </row>
    <row r="365" spans="2:9" hidden="1" x14ac:dyDescent="0.25">
      <c r="B365" s="25" t="s">
        <v>16</v>
      </c>
      <c r="C365" s="25" t="s">
        <v>590</v>
      </c>
      <c r="D365" s="25">
        <v>0</v>
      </c>
      <c r="E365" s="25" t="s">
        <v>591</v>
      </c>
      <c r="F365" s="26" t="str">
        <f t="shared" si="20"/>
        <v>LSL821827</v>
      </c>
      <c r="G365" s="26">
        <f t="shared" si="21"/>
        <v>0</v>
      </c>
      <c r="H365" s="23" t="str">
        <f t="shared" si="22"/>
        <v>LAL821827IO.Mode</v>
      </c>
      <c r="I365" s="23">
        <f t="shared" si="23"/>
        <v>0</v>
      </c>
    </row>
    <row r="366" spans="2:9" hidden="1" x14ac:dyDescent="0.25">
      <c r="B366" s="25" t="s">
        <v>16</v>
      </c>
      <c r="C366" s="25" t="s">
        <v>592</v>
      </c>
      <c r="D366" s="25">
        <v>0</v>
      </c>
      <c r="E366" s="25" t="s">
        <v>593</v>
      </c>
      <c r="F366" s="26" t="str">
        <f t="shared" si="20"/>
        <v>LSL821830</v>
      </c>
      <c r="G366" s="26">
        <f t="shared" si="21"/>
        <v>0</v>
      </c>
      <c r="H366" s="23" t="str">
        <f t="shared" si="22"/>
        <v>LAL821830IO.Mode</v>
      </c>
      <c r="I366" s="23">
        <f t="shared" si="23"/>
        <v>0</v>
      </c>
    </row>
    <row r="367" spans="2:9" hidden="1" x14ac:dyDescent="0.25">
      <c r="B367" s="25" t="s">
        <v>16</v>
      </c>
      <c r="C367" s="25" t="s">
        <v>594</v>
      </c>
      <c r="D367" s="25">
        <v>1</v>
      </c>
      <c r="E367" s="25" t="s">
        <v>595</v>
      </c>
      <c r="F367" s="26" t="str">
        <f t="shared" si="20"/>
        <v>LSL821910</v>
      </c>
      <c r="G367" s="26">
        <f t="shared" si="21"/>
        <v>0</v>
      </c>
      <c r="H367" s="23" t="str">
        <f t="shared" si="22"/>
        <v>LAL821910IO.Mode</v>
      </c>
      <c r="I367" s="23">
        <f t="shared" si="23"/>
        <v>0</v>
      </c>
    </row>
    <row r="368" spans="2:9" hidden="1" x14ac:dyDescent="0.25">
      <c r="B368" s="25" t="s">
        <v>16</v>
      </c>
      <c r="C368" s="25" t="s">
        <v>596</v>
      </c>
      <c r="D368" s="25">
        <v>0</v>
      </c>
      <c r="E368" s="25" t="s">
        <v>597</v>
      </c>
      <c r="F368" s="26" t="str">
        <f t="shared" si="20"/>
        <v>LSL822117</v>
      </c>
      <c r="G368" s="26">
        <f t="shared" si="21"/>
        <v>0</v>
      </c>
      <c r="H368" s="23" t="str">
        <f t="shared" si="22"/>
        <v>LAL822117IO.Mode</v>
      </c>
      <c r="I368" s="23">
        <f t="shared" si="23"/>
        <v>0</v>
      </c>
    </row>
    <row r="369" spans="2:9" hidden="1" x14ac:dyDescent="0.25">
      <c r="B369" s="25" t="s">
        <v>16</v>
      </c>
      <c r="C369" s="25" t="s">
        <v>598</v>
      </c>
      <c r="D369" s="25">
        <v>0</v>
      </c>
      <c r="E369" s="25" t="s">
        <v>599</v>
      </c>
      <c r="F369" s="26" t="str">
        <f t="shared" si="20"/>
        <v>LSL822310</v>
      </c>
      <c r="G369" s="26">
        <f t="shared" si="21"/>
        <v>0</v>
      </c>
      <c r="H369" s="23" t="str">
        <f t="shared" si="22"/>
        <v>LAL822310IO.Mode</v>
      </c>
      <c r="I369" s="23">
        <f t="shared" si="23"/>
        <v>0</v>
      </c>
    </row>
    <row r="370" spans="2:9" hidden="1" x14ac:dyDescent="0.25">
      <c r="B370" s="25" t="s">
        <v>16</v>
      </c>
      <c r="C370" s="25" t="s">
        <v>600</v>
      </c>
      <c r="D370" s="25">
        <v>0</v>
      </c>
      <c r="E370" s="25" t="s">
        <v>601</v>
      </c>
      <c r="F370" s="26" t="str">
        <f t="shared" si="20"/>
        <v>LSL822410</v>
      </c>
      <c r="G370" s="26">
        <f t="shared" si="21"/>
        <v>0</v>
      </c>
      <c r="H370" s="23" t="str">
        <f t="shared" si="22"/>
        <v>LAL822410IO.Mode</v>
      </c>
      <c r="I370" s="23">
        <f t="shared" si="23"/>
        <v>0</v>
      </c>
    </row>
    <row r="371" spans="2:9" hidden="1" x14ac:dyDescent="0.25">
      <c r="B371" s="25" t="s">
        <v>16</v>
      </c>
      <c r="C371" s="25" t="s">
        <v>602</v>
      </c>
      <c r="D371" s="25">
        <v>0</v>
      </c>
      <c r="E371" s="25" t="s">
        <v>603</v>
      </c>
      <c r="F371" s="26" t="str">
        <f t="shared" si="20"/>
        <v>LSL822419</v>
      </c>
      <c r="G371" s="26">
        <f t="shared" si="21"/>
        <v>0</v>
      </c>
      <c r="H371" s="23" t="str">
        <f t="shared" si="22"/>
        <v>LAL822419IO.Mode</v>
      </c>
      <c r="I371" s="23">
        <f t="shared" si="23"/>
        <v>0</v>
      </c>
    </row>
    <row r="372" spans="2:9" hidden="1" x14ac:dyDescent="0.25">
      <c r="B372" s="25" t="s">
        <v>16</v>
      </c>
      <c r="C372" s="25" t="s">
        <v>604</v>
      </c>
      <c r="D372" s="25">
        <v>0</v>
      </c>
      <c r="E372" s="25" t="s">
        <v>605</v>
      </c>
      <c r="F372" s="26" t="str">
        <f t="shared" si="20"/>
        <v>LSL830105</v>
      </c>
      <c r="G372" s="26">
        <f t="shared" si="21"/>
        <v>0</v>
      </c>
      <c r="H372" s="23" t="str">
        <f t="shared" si="22"/>
        <v>LAL830105IO.Mode</v>
      </c>
      <c r="I372" s="23">
        <f t="shared" si="23"/>
        <v>0</v>
      </c>
    </row>
    <row r="373" spans="2:9" hidden="1" x14ac:dyDescent="0.25">
      <c r="B373" s="25" t="s">
        <v>16</v>
      </c>
      <c r="C373" s="25" t="s">
        <v>606</v>
      </c>
      <c r="D373" s="25">
        <v>0</v>
      </c>
      <c r="E373" s="25" t="s">
        <v>607</v>
      </c>
      <c r="F373" s="26" t="str">
        <f t="shared" si="20"/>
        <v>LSL830511</v>
      </c>
      <c r="G373" s="26">
        <f t="shared" si="21"/>
        <v>0</v>
      </c>
      <c r="H373" s="23" t="str">
        <f t="shared" si="22"/>
        <v>LAL830511IO.Mode</v>
      </c>
      <c r="I373" s="23">
        <f t="shared" si="23"/>
        <v>0</v>
      </c>
    </row>
    <row r="374" spans="2:9" hidden="1" x14ac:dyDescent="0.25">
      <c r="B374" s="25" t="s">
        <v>16</v>
      </c>
      <c r="C374" s="25" t="s">
        <v>608</v>
      </c>
      <c r="D374" s="25">
        <v>0</v>
      </c>
      <c r="E374" s="25" t="s">
        <v>609</v>
      </c>
      <c r="F374" s="26" t="str">
        <f t="shared" si="20"/>
        <v>LSL830515</v>
      </c>
      <c r="G374" s="26">
        <f t="shared" si="21"/>
        <v>0</v>
      </c>
      <c r="H374" s="23" t="str">
        <f t="shared" si="22"/>
        <v>LAL830515IO.Mode</v>
      </c>
      <c r="I374" s="23">
        <f t="shared" si="23"/>
        <v>0</v>
      </c>
    </row>
    <row r="375" spans="2:9" hidden="1" x14ac:dyDescent="0.25">
      <c r="B375" s="25" t="s">
        <v>16</v>
      </c>
      <c r="C375" s="25" t="s">
        <v>610</v>
      </c>
      <c r="D375" s="25">
        <v>0</v>
      </c>
      <c r="E375" s="25" t="s">
        <v>611</v>
      </c>
      <c r="F375" s="26" t="str">
        <f t="shared" si="20"/>
        <v>LSL830610</v>
      </c>
      <c r="G375" s="26">
        <f t="shared" si="21"/>
        <v>0</v>
      </c>
      <c r="H375" s="23" t="str">
        <f t="shared" si="22"/>
        <v>LAL830610IO.Mode</v>
      </c>
      <c r="I375" s="23">
        <f t="shared" si="23"/>
        <v>0</v>
      </c>
    </row>
    <row r="376" spans="2:9" hidden="1" x14ac:dyDescent="0.25">
      <c r="B376" s="25" t="s">
        <v>16</v>
      </c>
      <c r="C376" s="25" t="s">
        <v>612</v>
      </c>
      <c r="D376" s="25">
        <v>0</v>
      </c>
      <c r="E376" s="25" t="s">
        <v>613</v>
      </c>
      <c r="F376" s="26" t="str">
        <f t="shared" si="20"/>
        <v>LSL830925</v>
      </c>
      <c r="G376" s="26">
        <f t="shared" si="21"/>
        <v>0</v>
      </c>
      <c r="H376" s="23" t="str">
        <f t="shared" si="22"/>
        <v>LAL830925IO.Mode</v>
      </c>
      <c r="I376" s="23">
        <f t="shared" si="23"/>
        <v>0</v>
      </c>
    </row>
    <row r="377" spans="2:9" hidden="1" x14ac:dyDescent="0.25">
      <c r="B377" s="25" t="s">
        <v>16</v>
      </c>
      <c r="C377" s="25" t="s">
        <v>614</v>
      </c>
      <c r="D377" s="25">
        <v>0</v>
      </c>
      <c r="E377" s="25" t="s">
        <v>615</v>
      </c>
      <c r="F377" s="26" t="str">
        <f t="shared" si="20"/>
        <v>LSL831119</v>
      </c>
      <c r="G377" s="26">
        <f t="shared" si="21"/>
        <v>0</v>
      </c>
      <c r="H377" s="23" t="str">
        <f t="shared" si="22"/>
        <v>LAL831119IO.Mode</v>
      </c>
      <c r="I377" s="23">
        <f t="shared" si="23"/>
        <v>0</v>
      </c>
    </row>
    <row r="378" spans="2:9" hidden="1" x14ac:dyDescent="0.25">
      <c r="B378" s="25" t="s">
        <v>16</v>
      </c>
      <c r="C378" s="25" t="s">
        <v>616</v>
      </c>
      <c r="D378" s="25">
        <v>0</v>
      </c>
      <c r="E378" s="25" t="s">
        <v>617</v>
      </c>
      <c r="F378" s="26" t="str">
        <f t="shared" si="20"/>
        <v>LSL831208</v>
      </c>
      <c r="G378" s="26">
        <f t="shared" si="21"/>
        <v>0</v>
      </c>
      <c r="H378" s="23" t="str">
        <f t="shared" si="22"/>
        <v>LAL831208IO.Mode</v>
      </c>
      <c r="I378" s="23">
        <f t="shared" si="23"/>
        <v>0</v>
      </c>
    </row>
    <row r="379" spans="2:9" hidden="1" x14ac:dyDescent="0.25">
      <c r="B379" s="25" t="s">
        <v>16</v>
      </c>
      <c r="C379" s="25" t="s">
        <v>618</v>
      </c>
      <c r="D379" s="25">
        <v>0</v>
      </c>
      <c r="E379" s="25" t="s">
        <v>619</v>
      </c>
      <c r="F379" s="26" t="str">
        <f t="shared" si="20"/>
        <v>LSL831225</v>
      </c>
      <c r="G379" s="26">
        <f t="shared" si="21"/>
        <v>0</v>
      </c>
      <c r="H379" s="23" t="str">
        <f t="shared" si="22"/>
        <v>LAL831225IO.Mode</v>
      </c>
      <c r="I379" s="23">
        <f t="shared" si="23"/>
        <v>0</v>
      </c>
    </row>
    <row r="380" spans="2:9" hidden="1" x14ac:dyDescent="0.25">
      <c r="B380" s="25" t="s">
        <v>16</v>
      </c>
      <c r="C380" s="25" t="s">
        <v>620</v>
      </c>
      <c r="D380" s="25">
        <v>0</v>
      </c>
      <c r="E380" s="25" t="s">
        <v>621</v>
      </c>
      <c r="F380" s="26" t="str">
        <f t="shared" si="20"/>
        <v>LT800301A</v>
      </c>
      <c r="G380" s="26">
        <f t="shared" si="21"/>
        <v>0</v>
      </c>
      <c r="H380" s="23" t="str">
        <f t="shared" si="22"/>
        <v>LI800301AIO.Mode</v>
      </c>
      <c r="I380" s="23">
        <f t="shared" si="23"/>
        <v>0</v>
      </c>
    </row>
    <row r="381" spans="2:9" hidden="1" x14ac:dyDescent="0.25">
      <c r="B381" s="25" t="s">
        <v>16</v>
      </c>
      <c r="C381" s="25" t="s">
        <v>622</v>
      </c>
      <c r="D381" s="25">
        <v>0</v>
      </c>
      <c r="E381" s="25" t="s">
        <v>623</v>
      </c>
      <c r="F381" s="26" t="str">
        <f t="shared" si="20"/>
        <v>LT800301B</v>
      </c>
      <c r="G381" s="26">
        <f t="shared" si="21"/>
        <v>0</v>
      </c>
      <c r="H381" s="23" t="str">
        <f t="shared" si="22"/>
        <v>LI800301BIO.Mode</v>
      </c>
      <c r="I381" s="23">
        <f t="shared" si="23"/>
        <v>0</v>
      </c>
    </row>
    <row r="382" spans="2:9" hidden="1" x14ac:dyDescent="0.25">
      <c r="B382" s="25" t="s">
        <v>16</v>
      </c>
      <c r="C382" s="25" t="s">
        <v>624</v>
      </c>
      <c r="D382" s="25">
        <v>0</v>
      </c>
      <c r="E382" s="25" t="s">
        <v>625</v>
      </c>
      <c r="F382" s="26" t="str">
        <f t="shared" si="20"/>
        <v>LIT800401A</v>
      </c>
      <c r="G382" s="26">
        <f t="shared" si="21"/>
        <v>0</v>
      </c>
      <c r="H382" s="23" t="str">
        <f t="shared" si="22"/>
        <v>LI800401AIO.Mode</v>
      </c>
      <c r="I382" s="23">
        <f t="shared" si="23"/>
        <v>0</v>
      </c>
    </row>
    <row r="383" spans="2:9" hidden="1" x14ac:dyDescent="0.25">
      <c r="B383" s="25" t="s">
        <v>16</v>
      </c>
      <c r="C383" s="25" t="s">
        <v>626</v>
      </c>
      <c r="D383" s="25">
        <v>0</v>
      </c>
      <c r="E383" s="25" t="s">
        <v>627</v>
      </c>
      <c r="F383" s="26" t="str">
        <f t="shared" si="20"/>
        <v>LIT800401B</v>
      </c>
      <c r="G383" s="26">
        <f t="shared" si="21"/>
        <v>0</v>
      </c>
      <c r="H383" s="23" t="str">
        <f t="shared" si="22"/>
        <v>LI800401BIO.Mode</v>
      </c>
      <c r="I383" s="23">
        <f t="shared" si="23"/>
        <v>0</v>
      </c>
    </row>
    <row r="384" spans="2:9" hidden="1" x14ac:dyDescent="0.25">
      <c r="B384" s="25" t="s">
        <v>16</v>
      </c>
      <c r="C384" s="25" t="s">
        <v>628</v>
      </c>
      <c r="D384" s="25">
        <v>0</v>
      </c>
      <c r="E384" s="25" t="s">
        <v>629</v>
      </c>
      <c r="F384" s="26" t="str">
        <f t="shared" si="20"/>
        <v>LT800501A</v>
      </c>
      <c r="G384" s="26">
        <f t="shared" si="21"/>
        <v>0</v>
      </c>
      <c r="H384" s="23" t="str">
        <f t="shared" si="22"/>
        <v>LI800501AIO.Mode</v>
      </c>
      <c r="I384" s="23">
        <f t="shared" si="23"/>
        <v>0</v>
      </c>
    </row>
    <row r="385" spans="2:9" hidden="1" x14ac:dyDescent="0.25">
      <c r="B385" s="25" t="s">
        <v>16</v>
      </c>
      <c r="C385" s="25" t="s">
        <v>630</v>
      </c>
      <c r="D385" s="25">
        <v>0</v>
      </c>
      <c r="E385" s="25" t="s">
        <v>631</v>
      </c>
      <c r="F385" s="26" t="str">
        <f t="shared" si="20"/>
        <v>LT800501B</v>
      </c>
      <c r="G385" s="26">
        <f t="shared" si="21"/>
        <v>0</v>
      </c>
      <c r="H385" s="23" t="str">
        <f t="shared" si="22"/>
        <v>LI800501BIO.Mode</v>
      </c>
      <c r="I385" s="23">
        <f t="shared" si="23"/>
        <v>0</v>
      </c>
    </row>
    <row r="386" spans="2:9" hidden="1" x14ac:dyDescent="0.25">
      <c r="B386" s="25" t="s">
        <v>16</v>
      </c>
      <c r="C386" s="25" t="s">
        <v>632</v>
      </c>
      <c r="D386" s="25">
        <v>0</v>
      </c>
      <c r="E386" s="25" t="s">
        <v>633</v>
      </c>
      <c r="F386" s="26" t="str">
        <f t="shared" ref="F386:F449" si="24">+LEFT(E386,FIND(".",E386,1)-1)</f>
        <v>LT800601A</v>
      </c>
      <c r="G386" s="26">
        <f t="shared" ref="G386:G449" si="25">+IFERROR(IF(VLOOKUP(F386,DI,2,FALSE)="IO",2,0),"N/A")</f>
        <v>0</v>
      </c>
      <c r="H386" s="23" t="str">
        <f t="shared" ref="H386:H449" si="26">+CONCATENATE(C386,".Mode")</f>
        <v>LI800601AIO.Mode</v>
      </c>
      <c r="I386" s="23">
        <f t="shared" si="23"/>
        <v>0</v>
      </c>
    </row>
    <row r="387" spans="2:9" hidden="1" x14ac:dyDescent="0.25">
      <c r="B387" s="25" t="s">
        <v>16</v>
      </c>
      <c r="C387" s="25" t="s">
        <v>634</v>
      </c>
      <c r="D387" s="25">
        <v>0</v>
      </c>
      <c r="E387" s="25" t="s">
        <v>635</v>
      </c>
      <c r="F387" s="26" t="str">
        <f t="shared" si="24"/>
        <v>LT800601B</v>
      </c>
      <c r="G387" s="26">
        <f t="shared" si="25"/>
        <v>0</v>
      </c>
      <c r="H387" s="23" t="str">
        <f t="shared" si="26"/>
        <v>LI800601BIO.Mode</v>
      </c>
      <c r="I387" s="23">
        <f t="shared" ref="I387:I450" si="27">+G387</f>
        <v>0</v>
      </c>
    </row>
    <row r="388" spans="2:9" hidden="1" x14ac:dyDescent="0.25">
      <c r="B388" s="25" t="s">
        <v>16</v>
      </c>
      <c r="C388" s="25" t="s">
        <v>636</v>
      </c>
      <c r="D388" s="25">
        <v>0</v>
      </c>
      <c r="E388" s="25" t="s">
        <v>637</v>
      </c>
      <c r="F388" s="26" t="str">
        <f t="shared" si="24"/>
        <v>LT800705A</v>
      </c>
      <c r="G388" s="26">
        <f t="shared" si="25"/>
        <v>0</v>
      </c>
      <c r="H388" s="23" t="str">
        <f t="shared" si="26"/>
        <v>LI800705AIO.Mode</v>
      </c>
      <c r="I388" s="23">
        <f t="shared" si="27"/>
        <v>0</v>
      </c>
    </row>
    <row r="389" spans="2:9" hidden="1" x14ac:dyDescent="0.25">
      <c r="B389" s="25" t="s">
        <v>16</v>
      </c>
      <c r="C389" s="25" t="s">
        <v>638</v>
      </c>
      <c r="D389" s="25">
        <v>0</v>
      </c>
      <c r="E389" s="25" t="s">
        <v>639</v>
      </c>
      <c r="F389" s="26" t="str">
        <f t="shared" si="24"/>
        <v>LT800705B</v>
      </c>
      <c r="G389" s="26">
        <f t="shared" si="25"/>
        <v>0</v>
      </c>
      <c r="H389" s="23" t="str">
        <f t="shared" si="26"/>
        <v>LI800705BIO.Mode</v>
      </c>
      <c r="I389" s="23">
        <f t="shared" si="27"/>
        <v>0</v>
      </c>
    </row>
    <row r="390" spans="2:9" hidden="1" x14ac:dyDescent="0.25">
      <c r="B390" s="25" t="s">
        <v>16</v>
      </c>
      <c r="C390" s="25" t="s">
        <v>640</v>
      </c>
      <c r="D390" s="25">
        <v>0</v>
      </c>
      <c r="E390" s="25" t="s">
        <v>641</v>
      </c>
      <c r="F390" s="26" t="str">
        <f t="shared" si="24"/>
        <v>LT800801A</v>
      </c>
      <c r="G390" s="26">
        <f t="shared" si="25"/>
        <v>0</v>
      </c>
      <c r="H390" s="23" t="str">
        <f t="shared" si="26"/>
        <v>LI800801AIO.Mode</v>
      </c>
      <c r="I390" s="23">
        <f t="shared" si="27"/>
        <v>0</v>
      </c>
    </row>
    <row r="391" spans="2:9" hidden="1" x14ac:dyDescent="0.25">
      <c r="B391" s="25" t="s">
        <v>16</v>
      </c>
      <c r="C391" s="25" t="s">
        <v>642</v>
      </c>
      <c r="D391" s="25">
        <v>0</v>
      </c>
      <c r="E391" s="25" t="s">
        <v>643</v>
      </c>
      <c r="F391" s="26" t="str">
        <f t="shared" si="24"/>
        <v>LT800801B</v>
      </c>
      <c r="G391" s="26">
        <f t="shared" si="25"/>
        <v>0</v>
      </c>
      <c r="H391" s="23" t="str">
        <f t="shared" si="26"/>
        <v>LI800801BIO.Mode</v>
      </c>
      <c r="I391" s="23">
        <f t="shared" si="27"/>
        <v>0</v>
      </c>
    </row>
    <row r="392" spans="2:9" hidden="1" x14ac:dyDescent="0.25">
      <c r="B392" s="25" t="s">
        <v>16</v>
      </c>
      <c r="C392" s="25" t="s">
        <v>644</v>
      </c>
      <c r="D392" s="25">
        <v>0</v>
      </c>
      <c r="E392" s="25" t="s">
        <v>645</v>
      </c>
      <c r="F392" s="26" t="str">
        <f t="shared" si="24"/>
        <v>LT803001A</v>
      </c>
      <c r="G392" s="26">
        <f t="shared" si="25"/>
        <v>0</v>
      </c>
      <c r="H392" s="23" t="str">
        <f t="shared" si="26"/>
        <v>LI803001AIO.Mode</v>
      </c>
      <c r="I392" s="23">
        <f t="shared" si="27"/>
        <v>0</v>
      </c>
    </row>
    <row r="393" spans="2:9" hidden="1" x14ac:dyDescent="0.25">
      <c r="B393" s="25" t="s">
        <v>16</v>
      </c>
      <c r="C393" s="25" t="s">
        <v>646</v>
      </c>
      <c r="D393" s="25">
        <v>0</v>
      </c>
      <c r="E393" s="25" t="s">
        <v>647</v>
      </c>
      <c r="F393" s="26" t="str">
        <f t="shared" si="24"/>
        <v>LT803001B</v>
      </c>
      <c r="G393" s="26">
        <f t="shared" si="25"/>
        <v>0</v>
      </c>
      <c r="H393" s="23" t="str">
        <f t="shared" si="26"/>
        <v>LI803001BIO.Mode</v>
      </c>
      <c r="I393" s="23">
        <f t="shared" si="27"/>
        <v>0</v>
      </c>
    </row>
    <row r="394" spans="2:9" hidden="1" x14ac:dyDescent="0.25">
      <c r="B394" s="25" t="s">
        <v>16</v>
      </c>
      <c r="C394" s="25" t="s">
        <v>648</v>
      </c>
      <c r="D394" s="25">
        <v>0</v>
      </c>
      <c r="E394" s="25" t="s">
        <v>649</v>
      </c>
      <c r="F394" s="26" t="str">
        <f t="shared" si="24"/>
        <v>LT803101A</v>
      </c>
      <c r="G394" s="26">
        <f t="shared" si="25"/>
        <v>0</v>
      </c>
      <c r="H394" s="23" t="str">
        <f t="shared" si="26"/>
        <v>LI803101AIO.Mode</v>
      </c>
      <c r="I394" s="23">
        <f t="shared" si="27"/>
        <v>0</v>
      </c>
    </row>
    <row r="395" spans="2:9" hidden="1" x14ac:dyDescent="0.25">
      <c r="B395" s="25" t="s">
        <v>16</v>
      </c>
      <c r="C395" s="25" t="s">
        <v>650</v>
      </c>
      <c r="D395" s="25">
        <v>0</v>
      </c>
      <c r="E395" s="25" t="s">
        <v>651</v>
      </c>
      <c r="F395" s="26" t="str">
        <f t="shared" si="24"/>
        <v>LT803101B</v>
      </c>
      <c r="G395" s="26">
        <f t="shared" si="25"/>
        <v>0</v>
      </c>
      <c r="H395" s="23" t="str">
        <f t="shared" si="26"/>
        <v>LI803101BIO.Mode</v>
      </c>
      <c r="I395" s="23">
        <f t="shared" si="27"/>
        <v>0</v>
      </c>
    </row>
    <row r="396" spans="2:9" hidden="1" x14ac:dyDescent="0.25">
      <c r="B396" s="25" t="s">
        <v>16</v>
      </c>
      <c r="C396" s="25" t="s">
        <v>652</v>
      </c>
      <c r="D396" s="25">
        <v>0</v>
      </c>
      <c r="E396" s="25" t="s">
        <v>653</v>
      </c>
      <c r="F396" s="26" t="str">
        <f t="shared" si="24"/>
        <v>LT803201A</v>
      </c>
      <c r="G396" s="26">
        <f t="shared" si="25"/>
        <v>0</v>
      </c>
      <c r="H396" s="23" t="str">
        <f t="shared" si="26"/>
        <v>LI803201AIO.Mode</v>
      </c>
      <c r="I396" s="23">
        <f t="shared" si="27"/>
        <v>0</v>
      </c>
    </row>
    <row r="397" spans="2:9" hidden="1" x14ac:dyDescent="0.25">
      <c r="B397" s="25" t="s">
        <v>16</v>
      </c>
      <c r="C397" s="25" t="s">
        <v>654</v>
      </c>
      <c r="D397" s="25">
        <v>0</v>
      </c>
      <c r="E397" s="25" t="s">
        <v>655</v>
      </c>
      <c r="F397" s="26" t="str">
        <f t="shared" si="24"/>
        <v>LT803201B</v>
      </c>
      <c r="G397" s="26">
        <f t="shared" si="25"/>
        <v>0</v>
      </c>
      <c r="H397" s="23" t="str">
        <f t="shared" si="26"/>
        <v>LI803201BIO.Mode</v>
      </c>
      <c r="I397" s="23">
        <f t="shared" si="27"/>
        <v>0</v>
      </c>
    </row>
    <row r="398" spans="2:9" hidden="1" x14ac:dyDescent="0.25">
      <c r="B398" s="25" t="s">
        <v>16</v>
      </c>
      <c r="C398" s="25" t="s">
        <v>656</v>
      </c>
      <c r="D398" s="25">
        <v>0</v>
      </c>
      <c r="E398" s="25" t="s">
        <v>657</v>
      </c>
      <c r="F398" s="26" t="str">
        <f t="shared" si="24"/>
        <v>LIT805002A</v>
      </c>
      <c r="G398" s="26">
        <f t="shared" si="25"/>
        <v>0</v>
      </c>
      <c r="H398" s="23" t="str">
        <f t="shared" si="26"/>
        <v>LI805002AIO.Mode</v>
      </c>
      <c r="I398" s="23">
        <f t="shared" si="27"/>
        <v>0</v>
      </c>
    </row>
    <row r="399" spans="2:9" hidden="1" x14ac:dyDescent="0.25">
      <c r="B399" s="25" t="s">
        <v>16</v>
      </c>
      <c r="C399" s="25" t="s">
        <v>658</v>
      </c>
      <c r="D399" s="25">
        <v>0</v>
      </c>
      <c r="E399" s="25" t="s">
        <v>659</v>
      </c>
      <c r="F399" s="26" t="str">
        <f t="shared" si="24"/>
        <v>LIT805002B</v>
      </c>
      <c r="G399" s="26">
        <f t="shared" si="25"/>
        <v>0</v>
      </c>
      <c r="H399" s="23" t="str">
        <f t="shared" si="26"/>
        <v>LI805002BIO.Mode</v>
      </c>
      <c r="I399" s="23">
        <f t="shared" si="27"/>
        <v>0</v>
      </c>
    </row>
    <row r="400" spans="2:9" hidden="1" x14ac:dyDescent="0.25">
      <c r="B400" s="25" t="s">
        <v>16</v>
      </c>
      <c r="C400" s="25" t="s">
        <v>660</v>
      </c>
      <c r="D400" s="25">
        <v>0</v>
      </c>
      <c r="E400" s="25" t="s">
        <v>661</v>
      </c>
      <c r="F400" s="26" t="str">
        <f t="shared" si="24"/>
        <v>LIT805010A</v>
      </c>
      <c r="G400" s="26">
        <f t="shared" si="25"/>
        <v>0</v>
      </c>
      <c r="H400" s="23" t="str">
        <f t="shared" si="26"/>
        <v>LI805010AIO.Mode</v>
      </c>
      <c r="I400" s="23">
        <f t="shared" si="27"/>
        <v>0</v>
      </c>
    </row>
    <row r="401" spans="2:9" hidden="1" x14ac:dyDescent="0.25">
      <c r="B401" s="25" t="s">
        <v>16</v>
      </c>
      <c r="C401" s="25" t="s">
        <v>662</v>
      </c>
      <c r="D401" s="25">
        <v>0</v>
      </c>
      <c r="E401" s="25" t="s">
        <v>663</v>
      </c>
      <c r="F401" s="26" t="str">
        <f t="shared" si="24"/>
        <v>LIT805010B</v>
      </c>
      <c r="G401" s="26">
        <f t="shared" si="25"/>
        <v>0</v>
      </c>
      <c r="H401" s="23" t="str">
        <f t="shared" si="26"/>
        <v>LI805010BIO.Mode</v>
      </c>
      <c r="I401" s="23">
        <f t="shared" si="27"/>
        <v>0</v>
      </c>
    </row>
    <row r="402" spans="2:9" hidden="1" x14ac:dyDescent="0.25">
      <c r="B402" s="25" t="s">
        <v>16</v>
      </c>
      <c r="C402" s="25" t="s">
        <v>664</v>
      </c>
      <c r="D402" s="25">
        <v>0</v>
      </c>
      <c r="E402" s="25" t="s">
        <v>665</v>
      </c>
      <c r="F402" s="26" t="str">
        <f t="shared" si="24"/>
        <v>LT807002A</v>
      </c>
      <c r="G402" s="26">
        <f t="shared" si="25"/>
        <v>0</v>
      </c>
      <c r="H402" s="23" t="str">
        <f t="shared" si="26"/>
        <v>LI807002AIO.Mode</v>
      </c>
      <c r="I402" s="23">
        <f t="shared" si="27"/>
        <v>0</v>
      </c>
    </row>
    <row r="403" spans="2:9" hidden="1" x14ac:dyDescent="0.25">
      <c r="B403" s="25" t="s">
        <v>16</v>
      </c>
      <c r="C403" s="25" t="s">
        <v>666</v>
      </c>
      <c r="D403" s="25">
        <v>0</v>
      </c>
      <c r="E403" s="25" t="s">
        <v>667</v>
      </c>
      <c r="F403" s="26" t="str">
        <f t="shared" si="24"/>
        <v>LT807002B</v>
      </c>
      <c r="G403" s="26">
        <f t="shared" si="25"/>
        <v>0</v>
      </c>
      <c r="H403" s="23" t="str">
        <f t="shared" si="26"/>
        <v>LI807002BIO.Mode</v>
      </c>
      <c r="I403" s="23">
        <f t="shared" si="27"/>
        <v>0</v>
      </c>
    </row>
    <row r="404" spans="2:9" x14ac:dyDescent="0.25">
      <c r="B404" s="25" t="s">
        <v>16</v>
      </c>
      <c r="C404" s="25" t="s">
        <v>1771</v>
      </c>
      <c r="D404" s="25">
        <v>0</v>
      </c>
      <c r="E404" s="25" t="s">
        <v>1772</v>
      </c>
      <c r="F404" s="26" t="str">
        <f t="shared" si="24"/>
        <v>LT807029</v>
      </c>
      <c r="G404" s="26">
        <f t="shared" si="25"/>
        <v>2</v>
      </c>
      <c r="H404" s="23" t="str">
        <f t="shared" si="26"/>
        <v>LI807029IO.Mode</v>
      </c>
      <c r="I404" s="23">
        <f t="shared" si="27"/>
        <v>2</v>
      </c>
    </row>
    <row r="405" spans="2:9" hidden="1" x14ac:dyDescent="0.25">
      <c r="B405" s="25" t="s">
        <v>16</v>
      </c>
      <c r="C405" s="25" t="s">
        <v>668</v>
      </c>
      <c r="D405" s="25">
        <v>0</v>
      </c>
      <c r="E405" s="25" t="s">
        <v>669</v>
      </c>
      <c r="F405" s="26" t="str">
        <f t="shared" si="24"/>
        <v>LT808108A</v>
      </c>
      <c r="G405" s="26">
        <f t="shared" si="25"/>
        <v>0</v>
      </c>
      <c r="H405" s="23" t="str">
        <f t="shared" si="26"/>
        <v>LI808108AIO.Mode</v>
      </c>
      <c r="I405" s="23">
        <f t="shared" si="27"/>
        <v>0</v>
      </c>
    </row>
    <row r="406" spans="2:9" hidden="1" x14ac:dyDescent="0.25">
      <c r="B406" s="25" t="s">
        <v>16</v>
      </c>
      <c r="C406" s="25" t="s">
        <v>670</v>
      </c>
      <c r="D406" s="25">
        <v>0</v>
      </c>
      <c r="E406" s="25" t="s">
        <v>671</v>
      </c>
      <c r="F406" s="26" t="str">
        <f t="shared" si="24"/>
        <v>LT808108B</v>
      </c>
      <c r="G406" s="26">
        <f t="shared" si="25"/>
        <v>0</v>
      </c>
      <c r="H406" s="23" t="str">
        <f t="shared" si="26"/>
        <v>LI808108BIO.Mode</v>
      </c>
      <c r="I406" s="23">
        <f t="shared" si="27"/>
        <v>0</v>
      </c>
    </row>
    <row r="407" spans="2:9" x14ac:dyDescent="0.25">
      <c r="B407" s="25" t="s">
        <v>16</v>
      </c>
      <c r="C407" s="25" t="s">
        <v>1773</v>
      </c>
      <c r="D407" s="25">
        <v>0</v>
      </c>
      <c r="E407" s="25" t="s">
        <v>1774</v>
      </c>
      <c r="F407" s="26" t="str">
        <f t="shared" si="24"/>
        <v>LT808120</v>
      </c>
      <c r="G407" s="26">
        <f t="shared" si="25"/>
        <v>2</v>
      </c>
      <c r="H407" s="23" t="str">
        <f t="shared" si="26"/>
        <v>LI808120IO.Mode</v>
      </c>
      <c r="I407" s="23">
        <f t="shared" si="27"/>
        <v>2</v>
      </c>
    </row>
    <row r="408" spans="2:9" hidden="1" x14ac:dyDescent="0.25">
      <c r="B408" s="25" t="s">
        <v>16</v>
      </c>
      <c r="C408" s="25" t="s">
        <v>672</v>
      </c>
      <c r="D408" s="25">
        <v>0</v>
      </c>
      <c r="E408" s="25" t="s">
        <v>673</v>
      </c>
      <c r="F408" s="26" t="str">
        <f t="shared" si="24"/>
        <v>LT808201A</v>
      </c>
      <c r="G408" s="26">
        <f t="shared" si="25"/>
        <v>0</v>
      </c>
      <c r="H408" s="23" t="str">
        <f t="shared" si="26"/>
        <v>LI808201AIO.Mode</v>
      </c>
      <c r="I408" s="23">
        <f t="shared" si="27"/>
        <v>0</v>
      </c>
    </row>
    <row r="409" spans="2:9" hidden="1" x14ac:dyDescent="0.25">
      <c r="B409" s="25" t="s">
        <v>16</v>
      </c>
      <c r="C409" s="25" t="s">
        <v>674</v>
      </c>
      <c r="D409" s="25">
        <v>0</v>
      </c>
      <c r="E409" s="25" t="s">
        <v>675</v>
      </c>
      <c r="F409" s="26" t="str">
        <f t="shared" si="24"/>
        <v>LT808201B</v>
      </c>
      <c r="G409" s="26">
        <f t="shared" si="25"/>
        <v>0</v>
      </c>
      <c r="H409" s="23" t="str">
        <f t="shared" si="26"/>
        <v>LI808201BIO.Mode</v>
      </c>
      <c r="I409" s="23">
        <f t="shared" si="27"/>
        <v>0</v>
      </c>
    </row>
    <row r="410" spans="2:9" hidden="1" x14ac:dyDescent="0.25">
      <c r="B410" s="25" t="s">
        <v>16</v>
      </c>
      <c r="C410" s="25" t="s">
        <v>676</v>
      </c>
      <c r="D410" s="25">
        <v>0</v>
      </c>
      <c r="E410" s="25" t="s">
        <v>677</v>
      </c>
      <c r="F410" s="26" t="str">
        <f t="shared" si="24"/>
        <v>LIT808305A</v>
      </c>
      <c r="G410" s="26">
        <f t="shared" si="25"/>
        <v>0</v>
      </c>
      <c r="H410" s="23" t="str">
        <f t="shared" si="26"/>
        <v>LI808305AIO.Mode</v>
      </c>
      <c r="I410" s="23">
        <f t="shared" si="27"/>
        <v>0</v>
      </c>
    </row>
    <row r="411" spans="2:9" hidden="1" x14ac:dyDescent="0.25">
      <c r="B411" s="25" t="s">
        <v>16</v>
      </c>
      <c r="C411" s="25" t="s">
        <v>678</v>
      </c>
      <c r="D411" s="25">
        <v>0</v>
      </c>
      <c r="E411" s="25" t="s">
        <v>679</v>
      </c>
      <c r="F411" s="26" t="str">
        <f t="shared" si="24"/>
        <v>LIT808305B</v>
      </c>
      <c r="G411" s="26">
        <f t="shared" si="25"/>
        <v>0</v>
      </c>
      <c r="H411" s="23" t="str">
        <f t="shared" si="26"/>
        <v>LI808305BIO.Mode</v>
      </c>
      <c r="I411" s="23">
        <f t="shared" si="27"/>
        <v>0</v>
      </c>
    </row>
    <row r="412" spans="2:9" hidden="1" x14ac:dyDescent="0.25">
      <c r="B412" s="25" t="s">
        <v>16</v>
      </c>
      <c r="C412" s="25" t="s">
        <v>680</v>
      </c>
      <c r="D412" s="25">
        <v>0</v>
      </c>
      <c r="E412" s="25" t="s">
        <v>681</v>
      </c>
      <c r="F412" s="26" t="str">
        <f t="shared" si="24"/>
        <v>LIT809001A</v>
      </c>
      <c r="G412" s="26">
        <f t="shared" si="25"/>
        <v>0</v>
      </c>
      <c r="H412" s="23" t="str">
        <f t="shared" si="26"/>
        <v>LI809001AIO.Mode</v>
      </c>
      <c r="I412" s="23">
        <f t="shared" si="27"/>
        <v>0</v>
      </c>
    </row>
    <row r="413" spans="2:9" hidden="1" x14ac:dyDescent="0.25">
      <c r="B413" s="25" t="s">
        <v>16</v>
      </c>
      <c r="C413" s="25" t="s">
        <v>682</v>
      </c>
      <c r="D413" s="25">
        <v>0</v>
      </c>
      <c r="E413" s="25" t="s">
        <v>683</v>
      </c>
      <c r="F413" s="26" t="str">
        <f t="shared" si="24"/>
        <v>LIT809001B</v>
      </c>
      <c r="G413" s="26">
        <f t="shared" si="25"/>
        <v>0</v>
      </c>
      <c r="H413" s="23" t="str">
        <f t="shared" si="26"/>
        <v>LI809001BIO.Mode</v>
      </c>
      <c r="I413" s="23">
        <f t="shared" si="27"/>
        <v>0</v>
      </c>
    </row>
    <row r="414" spans="2:9" hidden="1" x14ac:dyDescent="0.25">
      <c r="B414" s="25" t="s">
        <v>16</v>
      </c>
      <c r="C414" s="25" t="s">
        <v>684</v>
      </c>
      <c r="D414" s="25">
        <v>0</v>
      </c>
      <c r="E414" s="25" t="s">
        <v>685</v>
      </c>
      <c r="F414" s="26" t="str">
        <f t="shared" si="24"/>
        <v>LIT809101A</v>
      </c>
      <c r="G414" s="26">
        <f t="shared" si="25"/>
        <v>0</v>
      </c>
      <c r="H414" s="23" t="str">
        <f t="shared" si="26"/>
        <v>LI809101AIO.Mode</v>
      </c>
      <c r="I414" s="23">
        <f t="shared" si="27"/>
        <v>0</v>
      </c>
    </row>
    <row r="415" spans="2:9" hidden="1" x14ac:dyDescent="0.25">
      <c r="B415" s="25" t="s">
        <v>16</v>
      </c>
      <c r="C415" s="25" t="s">
        <v>686</v>
      </c>
      <c r="D415" s="25">
        <v>0</v>
      </c>
      <c r="E415" s="25" t="s">
        <v>687</v>
      </c>
      <c r="F415" s="26" t="str">
        <f t="shared" si="24"/>
        <v>LIT809101B</v>
      </c>
      <c r="G415" s="26">
        <f t="shared" si="25"/>
        <v>0</v>
      </c>
      <c r="H415" s="23" t="str">
        <f t="shared" si="26"/>
        <v>LI809101BIO.Mode</v>
      </c>
      <c r="I415" s="23">
        <f t="shared" si="27"/>
        <v>0</v>
      </c>
    </row>
    <row r="416" spans="2:9" hidden="1" x14ac:dyDescent="0.25">
      <c r="B416" s="25" t="s">
        <v>16</v>
      </c>
      <c r="C416" s="25" t="s">
        <v>688</v>
      </c>
      <c r="D416" s="25">
        <v>0</v>
      </c>
      <c r="E416" s="25" t="s">
        <v>689</v>
      </c>
      <c r="F416" s="26" t="str">
        <f t="shared" si="24"/>
        <v>LIT809201A</v>
      </c>
      <c r="G416" s="26">
        <f t="shared" si="25"/>
        <v>0</v>
      </c>
      <c r="H416" s="23" t="str">
        <f t="shared" si="26"/>
        <v>LI809201AIO.Mode</v>
      </c>
      <c r="I416" s="23">
        <f t="shared" si="27"/>
        <v>0</v>
      </c>
    </row>
    <row r="417" spans="2:9" hidden="1" x14ac:dyDescent="0.25">
      <c r="B417" s="25" t="s">
        <v>16</v>
      </c>
      <c r="C417" s="25" t="s">
        <v>690</v>
      </c>
      <c r="D417" s="25">
        <v>0</v>
      </c>
      <c r="E417" s="25" t="s">
        <v>691</v>
      </c>
      <c r="F417" s="26" t="str">
        <f t="shared" si="24"/>
        <v>LIT809201B</v>
      </c>
      <c r="G417" s="26">
        <f t="shared" si="25"/>
        <v>0</v>
      </c>
      <c r="H417" s="23" t="str">
        <f t="shared" si="26"/>
        <v>LI809201BIO.Mode</v>
      </c>
      <c r="I417" s="23">
        <f t="shared" si="27"/>
        <v>0</v>
      </c>
    </row>
    <row r="418" spans="2:9" hidden="1" x14ac:dyDescent="0.25">
      <c r="B418" s="25" t="s">
        <v>16</v>
      </c>
      <c r="C418" s="25" t="s">
        <v>692</v>
      </c>
      <c r="D418" s="25">
        <v>0</v>
      </c>
      <c r="E418" s="25" t="s">
        <v>693</v>
      </c>
      <c r="F418" s="26" t="str">
        <f t="shared" si="24"/>
        <v>LIT810410</v>
      </c>
      <c r="G418" s="26">
        <f t="shared" si="25"/>
        <v>0</v>
      </c>
      <c r="H418" s="23" t="str">
        <f t="shared" si="26"/>
        <v>LI810410_1oo2IO_MA2.Mode</v>
      </c>
      <c r="I418" s="23">
        <f t="shared" si="27"/>
        <v>0</v>
      </c>
    </row>
    <row r="419" spans="2:9" hidden="1" x14ac:dyDescent="0.25">
      <c r="B419" s="25" t="s">
        <v>16</v>
      </c>
      <c r="C419" s="25" t="s">
        <v>694</v>
      </c>
      <c r="D419" s="25">
        <v>0</v>
      </c>
      <c r="E419" s="25" t="s">
        <v>693</v>
      </c>
      <c r="F419" s="26" t="str">
        <f t="shared" si="24"/>
        <v>LIT810410</v>
      </c>
      <c r="G419" s="26">
        <f t="shared" si="25"/>
        <v>0</v>
      </c>
      <c r="H419" s="23" t="str">
        <f t="shared" si="26"/>
        <v>LI810410IO.Mode</v>
      </c>
      <c r="I419" s="23">
        <f t="shared" si="27"/>
        <v>0</v>
      </c>
    </row>
    <row r="420" spans="2:9" x14ac:dyDescent="0.25">
      <c r="B420" s="25" t="s">
        <v>16</v>
      </c>
      <c r="C420" s="25" t="s">
        <v>1775</v>
      </c>
      <c r="D420" s="25">
        <v>0</v>
      </c>
      <c r="E420" s="25" t="s">
        <v>1776</v>
      </c>
      <c r="F420" s="26" t="str">
        <f t="shared" si="24"/>
        <v>LT810531</v>
      </c>
      <c r="G420" s="26">
        <f t="shared" si="25"/>
        <v>2</v>
      </c>
      <c r="H420" s="23" t="str">
        <f t="shared" si="26"/>
        <v>LI810531IO.Mode</v>
      </c>
      <c r="I420" s="23">
        <f t="shared" si="27"/>
        <v>2</v>
      </c>
    </row>
    <row r="421" spans="2:9" hidden="1" x14ac:dyDescent="0.25">
      <c r="B421" s="25" t="s">
        <v>16</v>
      </c>
      <c r="C421" s="25" t="s">
        <v>695</v>
      </c>
      <c r="D421" s="25">
        <v>0</v>
      </c>
      <c r="E421" s="25" t="s">
        <v>696</v>
      </c>
      <c r="F421" s="26" t="str">
        <f t="shared" si="24"/>
        <v>LIT810653A</v>
      </c>
      <c r="G421" s="26">
        <f t="shared" si="25"/>
        <v>0</v>
      </c>
      <c r="H421" s="23" t="str">
        <f t="shared" si="26"/>
        <v>LI810653AIO.Mode</v>
      </c>
      <c r="I421" s="23">
        <f t="shared" si="27"/>
        <v>0</v>
      </c>
    </row>
    <row r="422" spans="2:9" hidden="1" x14ac:dyDescent="0.25">
      <c r="B422" s="25" t="s">
        <v>16</v>
      </c>
      <c r="C422" s="25" t="s">
        <v>697</v>
      </c>
      <c r="D422" s="25">
        <v>0</v>
      </c>
      <c r="E422" s="25" t="s">
        <v>698</v>
      </c>
      <c r="F422" s="26" t="str">
        <f t="shared" si="24"/>
        <v>LIT810653B</v>
      </c>
      <c r="G422" s="26">
        <f t="shared" si="25"/>
        <v>0</v>
      </c>
      <c r="H422" s="23" t="str">
        <f t="shared" si="26"/>
        <v>LI810653BIO.Mode</v>
      </c>
      <c r="I422" s="23">
        <f t="shared" si="27"/>
        <v>0</v>
      </c>
    </row>
    <row r="423" spans="2:9" x14ac:dyDescent="0.25">
      <c r="B423" s="25" t="s">
        <v>16</v>
      </c>
      <c r="C423" s="25" t="s">
        <v>1777</v>
      </c>
      <c r="D423" s="25">
        <v>0</v>
      </c>
      <c r="E423" s="25" t="s">
        <v>1778</v>
      </c>
      <c r="F423" s="26" t="str">
        <f t="shared" si="24"/>
        <v>LT810734</v>
      </c>
      <c r="G423" s="26">
        <f t="shared" si="25"/>
        <v>2</v>
      </c>
      <c r="H423" s="23" t="str">
        <f t="shared" si="26"/>
        <v>LI810734IO.Mode</v>
      </c>
      <c r="I423" s="23">
        <f t="shared" si="27"/>
        <v>2</v>
      </c>
    </row>
    <row r="424" spans="2:9" hidden="1" x14ac:dyDescent="0.25">
      <c r="B424" s="25" t="s">
        <v>16</v>
      </c>
      <c r="C424" s="25" t="s">
        <v>699</v>
      </c>
      <c r="D424" s="25">
        <v>0</v>
      </c>
      <c r="E424" s="25" t="s">
        <v>700</v>
      </c>
      <c r="F424" s="26" t="str">
        <f t="shared" si="24"/>
        <v>LT811001A</v>
      </c>
      <c r="G424" s="26">
        <f t="shared" si="25"/>
        <v>0</v>
      </c>
      <c r="H424" s="23" t="str">
        <f t="shared" si="26"/>
        <v>LI811001AIO.Mode</v>
      </c>
      <c r="I424" s="23">
        <f t="shared" si="27"/>
        <v>0</v>
      </c>
    </row>
    <row r="425" spans="2:9" hidden="1" x14ac:dyDescent="0.25">
      <c r="B425" s="25" t="s">
        <v>16</v>
      </c>
      <c r="C425" s="25" t="s">
        <v>701</v>
      </c>
      <c r="D425" s="25">
        <v>0</v>
      </c>
      <c r="E425" s="25" t="s">
        <v>702</v>
      </c>
      <c r="F425" s="26" t="str">
        <f t="shared" si="24"/>
        <v>LT811001B</v>
      </c>
      <c r="G425" s="26">
        <f t="shared" si="25"/>
        <v>0</v>
      </c>
      <c r="H425" s="23" t="str">
        <f t="shared" si="26"/>
        <v>LI811001BIO.Mode</v>
      </c>
      <c r="I425" s="23">
        <f t="shared" si="27"/>
        <v>0</v>
      </c>
    </row>
    <row r="426" spans="2:9" x14ac:dyDescent="0.25">
      <c r="B426" s="25" t="s">
        <v>16</v>
      </c>
      <c r="C426" s="25" t="s">
        <v>1779</v>
      </c>
      <c r="D426" s="25">
        <v>0</v>
      </c>
      <c r="E426" s="25" t="s">
        <v>1780</v>
      </c>
      <c r="F426" s="26" t="str">
        <f t="shared" si="24"/>
        <v>LT811017</v>
      </c>
      <c r="G426" s="26">
        <f t="shared" si="25"/>
        <v>2</v>
      </c>
      <c r="H426" s="23" t="str">
        <f t="shared" si="26"/>
        <v>LI811017IO.Mode</v>
      </c>
      <c r="I426" s="23">
        <f t="shared" si="27"/>
        <v>2</v>
      </c>
    </row>
    <row r="427" spans="2:9" hidden="1" x14ac:dyDescent="0.25">
      <c r="B427" s="25" t="s">
        <v>16</v>
      </c>
      <c r="C427" s="25" t="s">
        <v>703</v>
      </c>
      <c r="D427" s="25">
        <v>0</v>
      </c>
      <c r="E427" s="25" t="s">
        <v>704</v>
      </c>
      <c r="F427" s="26" t="str">
        <f t="shared" si="24"/>
        <v>LT811101A</v>
      </c>
      <c r="G427" s="26">
        <f t="shared" si="25"/>
        <v>0</v>
      </c>
      <c r="H427" s="23" t="str">
        <f t="shared" si="26"/>
        <v>LI811101AIO.Mode</v>
      </c>
      <c r="I427" s="23">
        <f t="shared" si="27"/>
        <v>0</v>
      </c>
    </row>
    <row r="428" spans="2:9" hidden="1" x14ac:dyDescent="0.25">
      <c r="B428" s="25" t="s">
        <v>16</v>
      </c>
      <c r="C428" s="25" t="s">
        <v>705</v>
      </c>
      <c r="D428" s="25">
        <v>0</v>
      </c>
      <c r="E428" s="25" t="s">
        <v>706</v>
      </c>
      <c r="F428" s="26" t="str">
        <f t="shared" si="24"/>
        <v>LT811101B</v>
      </c>
      <c r="G428" s="26">
        <f t="shared" si="25"/>
        <v>0</v>
      </c>
      <c r="H428" s="23" t="str">
        <f t="shared" si="26"/>
        <v>LI811101BIO.Mode</v>
      </c>
      <c r="I428" s="23">
        <f t="shared" si="27"/>
        <v>0</v>
      </c>
    </row>
    <row r="429" spans="2:9" hidden="1" x14ac:dyDescent="0.25">
      <c r="B429" s="25" t="s">
        <v>16</v>
      </c>
      <c r="C429" s="25" t="s">
        <v>707</v>
      </c>
      <c r="D429" s="25">
        <v>0</v>
      </c>
      <c r="E429" s="25" t="s">
        <v>708</v>
      </c>
      <c r="F429" s="26" t="str">
        <f t="shared" si="24"/>
        <v>LIT812105A</v>
      </c>
      <c r="G429" s="26">
        <f t="shared" si="25"/>
        <v>0</v>
      </c>
      <c r="H429" s="23" t="str">
        <f t="shared" si="26"/>
        <v>LI812105AIO.Mode</v>
      </c>
      <c r="I429" s="23">
        <f t="shared" si="27"/>
        <v>0</v>
      </c>
    </row>
    <row r="430" spans="2:9" hidden="1" x14ac:dyDescent="0.25">
      <c r="B430" s="25" t="s">
        <v>16</v>
      </c>
      <c r="C430" s="25" t="s">
        <v>709</v>
      </c>
      <c r="D430" s="25">
        <v>0</v>
      </c>
      <c r="E430" s="25" t="s">
        <v>710</v>
      </c>
      <c r="F430" s="26" t="str">
        <f t="shared" si="24"/>
        <v>LIT812105B</v>
      </c>
      <c r="G430" s="26">
        <f t="shared" si="25"/>
        <v>0</v>
      </c>
      <c r="H430" s="23" t="str">
        <f t="shared" si="26"/>
        <v>LI812105BIO.Mode</v>
      </c>
      <c r="I430" s="23">
        <f t="shared" si="27"/>
        <v>0</v>
      </c>
    </row>
    <row r="431" spans="2:9" hidden="1" x14ac:dyDescent="0.25">
      <c r="B431" s="25" t="s">
        <v>16</v>
      </c>
      <c r="C431" s="25" t="s">
        <v>711</v>
      </c>
      <c r="D431" s="25">
        <v>0</v>
      </c>
      <c r="E431" s="25" t="s">
        <v>712</v>
      </c>
      <c r="F431" s="26" t="str">
        <f t="shared" si="24"/>
        <v>LIT820416</v>
      </c>
      <c r="G431" s="26">
        <f t="shared" si="25"/>
        <v>0</v>
      </c>
      <c r="H431" s="23" t="str">
        <f t="shared" si="26"/>
        <v>LI820416_1oo2IO_MA1.Mode</v>
      </c>
      <c r="I431" s="23">
        <f t="shared" si="27"/>
        <v>0</v>
      </c>
    </row>
    <row r="432" spans="2:9" hidden="1" x14ac:dyDescent="0.25">
      <c r="B432" s="25" t="s">
        <v>16</v>
      </c>
      <c r="C432" s="25" t="s">
        <v>713</v>
      </c>
      <c r="D432" s="25">
        <v>0</v>
      </c>
      <c r="E432" s="25" t="s">
        <v>712</v>
      </c>
      <c r="F432" s="26" t="str">
        <f t="shared" si="24"/>
        <v>LIT820416</v>
      </c>
      <c r="G432" s="26">
        <f t="shared" si="25"/>
        <v>0</v>
      </c>
      <c r="H432" s="23" t="str">
        <f t="shared" si="26"/>
        <v>LI820416_1oo2IO_MA2.Mode</v>
      </c>
      <c r="I432" s="23">
        <f t="shared" si="27"/>
        <v>0</v>
      </c>
    </row>
    <row r="433" spans="2:9" hidden="1" x14ac:dyDescent="0.25">
      <c r="B433" s="25" t="s">
        <v>16</v>
      </c>
      <c r="C433" s="25" t="s">
        <v>714</v>
      </c>
      <c r="D433" s="25">
        <v>0</v>
      </c>
      <c r="E433" s="25" t="s">
        <v>712</v>
      </c>
      <c r="F433" s="26" t="str">
        <f t="shared" si="24"/>
        <v>LIT820416</v>
      </c>
      <c r="G433" s="26">
        <f t="shared" si="25"/>
        <v>0</v>
      </c>
      <c r="H433" s="23" t="str">
        <f t="shared" si="26"/>
        <v>LI820416IO.Mode</v>
      </c>
      <c r="I433" s="23">
        <f t="shared" si="27"/>
        <v>0</v>
      </c>
    </row>
    <row r="434" spans="2:9" hidden="1" x14ac:dyDescent="0.25">
      <c r="B434" s="25" t="s">
        <v>16</v>
      </c>
      <c r="C434" s="25" t="s">
        <v>715</v>
      </c>
      <c r="D434" s="25">
        <v>0</v>
      </c>
      <c r="E434" s="25" t="s">
        <v>716</v>
      </c>
      <c r="F434" s="26" t="str">
        <f t="shared" si="24"/>
        <v>LT820420</v>
      </c>
      <c r="G434" s="26">
        <f t="shared" si="25"/>
        <v>0</v>
      </c>
      <c r="H434" s="23" t="str">
        <f t="shared" si="26"/>
        <v>LI820420IO.Mode</v>
      </c>
      <c r="I434" s="23">
        <f t="shared" si="27"/>
        <v>0</v>
      </c>
    </row>
    <row r="435" spans="2:9" x14ac:dyDescent="0.25">
      <c r="B435" s="25" t="s">
        <v>16</v>
      </c>
      <c r="C435" s="25" t="s">
        <v>1781</v>
      </c>
      <c r="D435" s="25">
        <v>0</v>
      </c>
      <c r="E435" s="25" t="s">
        <v>1782</v>
      </c>
      <c r="F435" s="26" t="str">
        <f t="shared" si="24"/>
        <v>LT820531</v>
      </c>
      <c r="G435" s="26">
        <f t="shared" si="25"/>
        <v>2</v>
      </c>
      <c r="H435" s="23" t="str">
        <f t="shared" si="26"/>
        <v>LI820531IO.Mode</v>
      </c>
      <c r="I435" s="23">
        <f t="shared" si="27"/>
        <v>2</v>
      </c>
    </row>
    <row r="436" spans="2:9" hidden="1" x14ac:dyDescent="0.25">
      <c r="B436" s="25" t="s">
        <v>16</v>
      </c>
      <c r="C436" s="25" t="s">
        <v>717</v>
      </c>
      <c r="D436" s="25">
        <v>0</v>
      </c>
      <c r="E436" s="25" t="s">
        <v>718</v>
      </c>
      <c r="F436" s="26" t="str">
        <f t="shared" si="24"/>
        <v>LIT820653A</v>
      </c>
      <c r="G436" s="26">
        <f t="shared" si="25"/>
        <v>0</v>
      </c>
      <c r="H436" s="23" t="str">
        <f t="shared" si="26"/>
        <v>LI820653AIO.Mode</v>
      </c>
      <c r="I436" s="23">
        <f t="shared" si="27"/>
        <v>0</v>
      </c>
    </row>
    <row r="437" spans="2:9" hidden="1" x14ac:dyDescent="0.25">
      <c r="B437" s="25" t="s">
        <v>16</v>
      </c>
      <c r="C437" s="25" t="s">
        <v>719</v>
      </c>
      <c r="D437" s="25">
        <v>0</v>
      </c>
      <c r="E437" s="25" t="s">
        <v>720</v>
      </c>
      <c r="F437" s="26" t="str">
        <f t="shared" si="24"/>
        <v>LIT820653B</v>
      </c>
      <c r="G437" s="26">
        <f t="shared" si="25"/>
        <v>0</v>
      </c>
      <c r="H437" s="23" t="str">
        <f t="shared" si="26"/>
        <v>LI820653BIO.Mode</v>
      </c>
      <c r="I437" s="23">
        <f t="shared" si="27"/>
        <v>0</v>
      </c>
    </row>
    <row r="438" spans="2:9" x14ac:dyDescent="0.25">
      <c r="B438" s="25" t="s">
        <v>16</v>
      </c>
      <c r="C438" s="25" t="s">
        <v>1783</v>
      </c>
      <c r="D438" s="25">
        <v>0</v>
      </c>
      <c r="E438" s="25" t="s">
        <v>1784</v>
      </c>
      <c r="F438" s="26" t="str">
        <f t="shared" si="24"/>
        <v>LT820734</v>
      </c>
      <c r="G438" s="26">
        <f t="shared" si="25"/>
        <v>2</v>
      </c>
      <c r="H438" s="23" t="str">
        <f t="shared" si="26"/>
        <v>LI820734IO.Mode</v>
      </c>
      <c r="I438" s="23">
        <f t="shared" si="27"/>
        <v>2</v>
      </c>
    </row>
    <row r="439" spans="2:9" hidden="1" x14ac:dyDescent="0.25">
      <c r="B439" s="25" t="s">
        <v>16</v>
      </c>
      <c r="C439" s="25" t="s">
        <v>721</v>
      </c>
      <c r="D439" s="25">
        <v>0</v>
      </c>
      <c r="E439" s="25" t="s">
        <v>722</v>
      </c>
      <c r="F439" s="26" t="str">
        <f t="shared" si="24"/>
        <v>LT820812A</v>
      </c>
      <c r="G439" s="26">
        <f t="shared" si="25"/>
        <v>0</v>
      </c>
      <c r="H439" s="23" t="str">
        <f t="shared" si="26"/>
        <v>LI820812AIO.Mode</v>
      </c>
      <c r="I439" s="23">
        <f t="shared" si="27"/>
        <v>0</v>
      </c>
    </row>
    <row r="440" spans="2:9" hidden="1" x14ac:dyDescent="0.25">
      <c r="B440" s="25" t="s">
        <v>16</v>
      </c>
      <c r="C440" s="25" t="s">
        <v>723</v>
      </c>
      <c r="D440" s="25">
        <v>0</v>
      </c>
      <c r="E440" s="25" t="s">
        <v>724</v>
      </c>
      <c r="F440" s="26" t="str">
        <f t="shared" si="24"/>
        <v>LT820812B</v>
      </c>
      <c r="G440" s="26">
        <f t="shared" si="25"/>
        <v>0</v>
      </c>
      <c r="H440" s="23" t="str">
        <f t="shared" si="26"/>
        <v>LI820812BIO.Mode</v>
      </c>
      <c r="I440" s="23">
        <f t="shared" si="27"/>
        <v>0</v>
      </c>
    </row>
    <row r="441" spans="2:9" x14ac:dyDescent="0.25">
      <c r="B441" s="25" t="s">
        <v>16</v>
      </c>
      <c r="C441" s="25" t="s">
        <v>1785</v>
      </c>
      <c r="D441" s="25">
        <v>0</v>
      </c>
      <c r="E441" s="25" t="s">
        <v>1786</v>
      </c>
      <c r="F441" s="26" t="str">
        <f t="shared" si="24"/>
        <v>LT820817</v>
      </c>
      <c r="G441" s="26">
        <f t="shared" si="25"/>
        <v>2</v>
      </c>
      <c r="H441" s="23" t="str">
        <f t="shared" si="26"/>
        <v>LI820817IO.Mode</v>
      </c>
      <c r="I441" s="23">
        <f t="shared" si="27"/>
        <v>2</v>
      </c>
    </row>
    <row r="442" spans="2:9" hidden="1" x14ac:dyDescent="0.25">
      <c r="B442" s="25" t="s">
        <v>16</v>
      </c>
      <c r="C442" s="25" t="s">
        <v>725</v>
      </c>
      <c r="D442" s="25">
        <v>0</v>
      </c>
      <c r="E442" s="25" t="s">
        <v>726</v>
      </c>
      <c r="F442" s="26" t="str">
        <f t="shared" si="24"/>
        <v>LT821201A</v>
      </c>
      <c r="G442" s="26">
        <f t="shared" si="25"/>
        <v>0</v>
      </c>
      <c r="H442" s="23" t="str">
        <f t="shared" si="26"/>
        <v>LI821201AIO.Mode</v>
      </c>
      <c r="I442" s="23">
        <f t="shared" si="27"/>
        <v>0</v>
      </c>
    </row>
    <row r="443" spans="2:9" hidden="1" x14ac:dyDescent="0.25">
      <c r="B443" s="25" t="s">
        <v>16</v>
      </c>
      <c r="C443" s="25" t="s">
        <v>727</v>
      </c>
      <c r="D443" s="25">
        <v>0</v>
      </c>
      <c r="E443" s="25" t="s">
        <v>728</v>
      </c>
      <c r="F443" s="26" t="str">
        <f t="shared" si="24"/>
        <v>LT821201B</v>
      </c>
      <c r="G443" s="26">
        <f t="shared" si="25"/>
        <v>0</v>
      </c>
      <c r="H443" s="23" t="str">
        <f t="shared" si="26"/>
        <v>LI821201BIO.Mode</v>
      </c>
      <c r="I443" s="23">
        <f t="shared" si="27"/>
        <v>0</v>
      </c>
    </row>
    <row r="444" spans="2:9" hidden="1" x14ac:dyDescent="0.25">
      <c r="B444" s="25" t="s">
        <v>16</v>
      </c>
      <c r="C444" s="25" t="s">
        <v>729</v>
      </c>
      <c r="D444" s="25">
        <v>0</v>
      </c>
      <c r="E444" s="25" t="s">
        <v>730</v>
      </c>
      <c r="F444" s="26" t="str">
        <f t="shared" si="24"/>
        <v>LT821408A</v>
      </c>
      <c r="G444" s="26">
        <f t="shared" si="25"/>
        <v>0</v>
      </c>
      <c r="H444" s="23" t="str">
        <f t="shared" si="26"/>
        <v>LI821408AIO.Mode</v>
      </c>
      <c r="I444" s="23">
        <f t="shared" si="27"/>
        <v>0</v>
      </c>
    </row>
    <row r="445" spans="2:9" hidden="1" x14ac:dyDescent="0.25">
      <c r="B445" s="25" t="s">
        <v>16</v>
      </c>
      <c r="C445" s="25" t="s">
        <v>731</v>
      </c>
      <c r="D445" s="25">
        <v>0</v>
      </c>
      <c r="E445" s="25" t="s">
        <v>732</v>
      </c>
      <c r="F445" s="26" t="str">
        <f t="shared" si="24"/>
        <v>LT821408B</v>
      </c>
      <c r="G445" s="26">
        <f t="shared" si="25"/>
        <v>0</v>
      </c>
      <c r="H445" s="23" t="str">
        <f t="shared" si="26"/>
        <v>LI821408BIO.Mode</v>
      </c>
      <c r="I445" s="23">
        <f t="shared" si="27"/>
        <v>0</v>
      </c>
    </row>
    <row r="446" spans="2:9" x14ac:dyDescent="0.25">
      <c r="B446" s="25" t="s">
        <v>16</v>
      </c>
      <c r="C446" s="25" t="s">
        <v>1787</v>
      </c>
      <c r="D446" s="25">
        <v>0</v>
      </c>
      <c r="E446" s="25" t="s">
        <v>1788</v>
      </c>
      <c r="F446" s="26" t="str">
        <f t="shared" si="24"/>
        <v>LT821422</v>
      </c>
      <c r="G446" s="26">
        <f t="shared" si="25"/>
        <v>2</v>
      </c>
      <c r="H446" s="23" t="str">
        <f t="shared" si="26"/>
        <v>LI821422IO.Mode</v>
      </c>
      <c r="I446" s="23">
        <f t="shared" si="27"/>
        <v>2</v>
      </c>
    </row>
    <row r="447" spans="2:9" x14ac:dyDescent="0.25">
      <c r="B447" s="25" t="s">
        <v>16</v>
      </c>
      <c r="C447" s="25" t="s">
        <v>1789</v>
      </c>
      <c r="D447" s="25">
        <v>0</v>
      </c>
      <c r="E447" s="25" t="s">
        <v>1790</v>
      </c>
      <c r="F447" s="26" t="str">
        <f t="shared" si="24"/>
        <v>LT821503</v>
      </c>
      <c r="G447" s="26">
        <f t="shared" si="25"/>
        <v>2</v>
      </c>
      <c r="H447" s="23" t="str">
        <f t="shared" si="26"/>
        <v>LI821503IO.Mode</v>
      </c>
      <c r="I447" s="23">
        <f t="shared" si="27"/>
        <v>2</v>
      </c>
    </row>
    <row r="448" spans="2:9" hidden="1" x14ac:dyDescent="0.25">
      <c r="B448" s="25" t="s">
        <v>16</v>
      </c>
      <c r="C448" s="25" t="s">
        <v>733</v>
      </c>
      <c r="D448" s="25">
        <v>0</v>
      </c>
      <c r="E448" s="25" t="s">
        <v>734</v>
      </c>
      <c r="F448" s="26" t="str">
        <f t="shared" si="24"/>
        <v>LIT821504A</v>
      </c>
      <c r="G448" s="26">
        <f t="shared" si="25"/>
        <v>0</v>
      </c>
      <c r="H448" s="23" t="str">
        <f t="shared" si="26"/>
        <v>LI821504AIO.Mode</v>
      </c>
      <c r="I448" s="23">
        <f t="shared" si="27"/>
        <v>0</v>
      </c>
    </row>
    <row r="449" spans="2:9" hidden="1" x14ac:dyDescent="0.25">
      <c r="B449" s="25" t="s">
        <v>16</v>
      </c>
      <c r="C449" s="25" t="s">
        <v>735</v>
      </c>
      <c r="D449" s="25">
        <v>0</v>
      </c>
      <c r="E449" s="25" t="s">
        <v>736</v>
      </c>
      <c r="F449" s="26" t="str">
        <f t="shared" si="24"/>
        <v>LIT821504B</v>
      </c>
      <c r="G449" s="26">
        <f t="shared" si="25"/>
        <v>0</v>
      </c>
      <c r="H449" s="23" t="str">
        <f t="shared" si="26"/>
        <v>LI821504BIO.Mode</v>
      </c>
      <c r="I449" s="23">
        <f t="shared" si="27"/>
        <v>0</v>
      </c>
    </row>
    <row r="450" spans="2:9" hidden="1" x14ac:dyDescent="0.25">
      <c r="B450" s="25" t="s">
        <v>16</v>
      </c>
      <c r="C450" s="25" t="s">
        <v>737</v>
      </c>
      <c r="D450" s="25">
        <v>0</v>
      </c>
      <c r="E450" s="25" t="s">
        <v>738</v>
      </c>
      <c r="F450" s="26" t="str">
        <f t="shared" ref="F450:F513" si="28">+LEFT(E450,FIND(".",E450,1)-1)</f>
        <v>LIT821913A</v>
      </c>
      <c r="G450" s="26">
        <f t="shared" ref="G450:G513" si="29">+IFERROR(IF(VLOOKUP(F450,DI,2,FALSE)="IO",2,0),"N/A")</f>
        <v>0</v>
      </c>
      <c r="H450" s="23" t="str">
        <f t="shared" ref="H450:H513" si="30">+CONCATENATE(C450,".Mode")</f>
        <v>LI821913AIO.Mode</v>
      </c>
      <c r="I450" s="23">
        <f t="shared" si="27"/>
        <v>0</v>
      </c>
    </row>
    <row r="451" spans="2:9" hidden="1" x14ac:dyDescent="0.25">
      <c r="B451" s="25" t="s">
        <v>16</v>
      </c>
      <c r="C451" s="25" t="s">
        <v>739</v>
      </c>
      <c r="D451" s="25">
        <v>0</v>
      </c>
      <c r="E451" s="25" t="s">
        <v>740</v>
      </c>
      <c r="F451" s="26" t="str">
        <f t="shared" si="28"/>
        <v>LIT821913B</v>
      </c>
      <c r="G451" s="26">
        <f t="shared" si="29"/>
        <v>0</v>
      </c>
      <c r="H451" s="23" t="str">
        <f t="shared" si="30"/>
        <v>LI821913BIO.Mode</v>
      </c>
      <c r="I451" s="23">
        <f t="shared" ref="I451:I514" si="31">+G451</f>
        <v>0</v>
      </c>
    </row>
    <row r="452" spans="2:9" x14ac:dyDescent="0.25">
      <c r="B452" s="25" t="s">
        <v>16</v>
      </c>
      <c r="C452" s="25" t="s">
        <v>1791</v>
      </c>
      <c r="D452" s="25">
        <v>0</v>
      </c>
      <c r="E452" s="25" t="s">
        <v>1792</v>
      </c>
      <c r="F452" s="26" t="str">
        <f t="shared" si="28"/>
        <v>LT821920</v>
      </c>
      <c r="G452" s="26">
        <f t="shared" si="29"/>
        <v>2</v>
      </c>
      <c r="H452" s="23" t="str">
        <f t="shared" si="30"/>
        <v>LI821920IO.Mode</v>
      </c>
      <c r="I452" s="23">
        <f t="shared" si="31"/>
        <v>2</v>
      </c>
    </row>
    <row r="453" spans="2:9" hidden="1" x14ac:dyDescent="0.25">
      <c r="B453" s="25" t="s">
        <v>16</v>
      </c>
      <c r="C453" s="25" t="s">
        <v>741</v>
      </c>
      <c r="D453" s="25">
        <v>0</v>
      </c>
      <c r="E453" s="25" t="s">
        <v>742</v>
      </c>
      <c r="F453" s="26" t="str">
        <f t="shared" si="28"/>
        <v>LT822115A</v>
      </c>
      <c r="G453" s="26">
        <f t="shared" si="29"/>
        <v>0</v>
      </c>
      <c r="H453" s="23" t="str">
        <f t="shared" si="30"/>
        <v>LI822115AIO.Mode</v>
      </c>
      <c r="I453" s="23">
        <f t="shared" si="31"/>
        <v>0</v>
      </c>
    </row>
    <row r="454" spans="2:9" hidden="1" x14ac:dyDescent="0.25">
      <c r="B454" s="25" t="s">
        <v>16</v>
      </c>
      <c r="C454" s="25" t="s">
        <v>743</v>
      </c>
      <c r="D454" s="25">
        <v>0</v>
      </c>
      <c r="E454" s="25" t="s">
        <v>744</v>
      </c>
      <c r="F454" s="26" t="str">
        <f t="shared" si="28"/>
        <v>LT822115B</v>
      </c>
      <c r="G454" s="26">
        <f t="shared" si="29"/>
        <v>0</v>
      </c>
      <c r="H454" s="23" t="str">
        <f t="shared" si="30"/>
        <v>LI822115BIO.Mode</v>
      </c>
      <c r="I454" s="23">
        <f t="shared" si="31"/>
        <v>0</v>
      </c>
    </row>
    <row r="455" spans="2:9" x14ac:dyDescent="0.25">
      <c r="B455" s="25" t="s">
        <v>16</v>
      </c>
      <c r="C455" s="25" t="s">
        <v>1793</v>
      </c>
      <c r="D455" s="25">
        <v>0</v>
      </c>
      <c r="E455" s="25" t="s">
        <v>1794</v>
      </c>
      <c r="F455" s="26" t="str">
        <f t="shared" si="28"/>
        <v>LT822144</v>
      </c>
      <c r="G455" s="26">
        <f t="shared" si="29"/>
        <v>2</v>
      </c>
      <c r="H455" s="23" t="str">
        <f t="shared" si="30"/>
        <v>LI822144IO.Mode</v>
      </c>
      <c r="I455" s="23">
        <f t="shared" si="31"/>
        <v>2</v>
      </c>
    </row>
    <row r="456" spans="2:9" hidden="1" x14ac:dyDescent="0.25">
      <c r="B456" s="25" t="s">
        <v>16</v>
      </c>
      <c r="C456" s="25" t="s">
        <v>745</v>
      </c>
      <c r="D456" s="25">
        <v>0</v>
      </c>
      <c r="E456" s="25" t="s">
        <v>746</v>
      </c>
      <c r="F456" s="26" t="str">
        <f t="shared" si="28"/>
        <v>LIT822302A</v>
      </c>
      <c r="G456" s="26">
        <f t="shared" si="29"/>
        <v>0</v>
      </c>
      <c r="H456" s="23" t="str">
        <f t="shared" si="30"/>
        <v>LI822302AIO.Mode</v>
      </c>
      <c r="I456" s="23">
        <f t="shared" si="31"/>
        <v>0</v>
      </c>
    </row>
    <row r="457" spans="2:9" hidden="1" x14ac:dyDescent="0.25">
      <c r="B457" s="25" t="s">
        <v>16</v>
      </c>
      <c r="C457" s="25" t="s">
        <v>747</v>
      </c>
      <c r="D457" s="25">
        <v>0</v>
      </c>
      <c r="E457" s="25" t="s">
        <v>748</v>
      </c>
      <c r="F457" s="26" t="str">
        <f t="shared" si="28"/>
        <v>LIT822302B</v>
      </c>
      <c r="G457" s="26">
        <f t="shared" si="29"/>
        <v>0</v>
      </c>
      <c r="H457" s="23" t="str">
        <f t="shared" si="30"/>
        <v>LI822302BIO.Mode</v>
      </c>
      <c r="I457" s="23">
        <f t="shared" si="31"/>
        <v>0</v>
      </c>
    </row>
    <row r="458" spans="2:9" hidden="1" x14ac:dyDescent="0.25">
      <c r="B458" s="25" t="s">
        <v>16</v>
      </c>
      <c r="C458" s="25" t="s">
        <v>749</v>
      </c>
      <c r="D458" s="25">
        <v>0</v>
      </c>
      <c r="E458" s="25" t="s">
        <v>750</v>
      </c>
      <c r="F458" s="26" t="str">
        <f t="shared" si="28"/>
        <v>LIT822402A</v>
      </c>
      <c r="G458" s="26">
        <f t="shared" si="29"/>
        <v>0</v>
      </c>
      <c r="H458" s="23" t="str">
        <f t="shared" si="30"/>
        <v>LI822402AIO.Mode</v>
      </c>
      <c r="I458" s="23">
        <f t="shared" si="31"/>
        <v>0</v>
      </c>
    </row>
    <row r="459" spans="2:9" hidden="1" x14ac:dyDescent="0.25">
      <c r="B459" s="25" t="s">
        <v>16</v>
      </c>
      <c r="C459" s="25" t="s">
        <v>751</v>
      </c>
      <c r="D459" s="25">
        <v>0</v>
      </c>
      <c r="E459" s="25" t="s">
        <v>752</v>
      </c>
      <c r="F459" s="26" t="str">
        <f t="shared" si="28"/>
        <v>LIT822402B</v>
      </c>
      <c r="G459" s="26">
        <f t="shared" si="29"/>
        <v>0</v>
      </c>
      <c r="H459" s="23" t="str">
        <f t="shared" si="30"/>
        <v>LI822402BIO.Mode</v>
      </c>
      <c r="I459" s="23">
        <f t="shared" si="31"/>
        <v>0</v>
      </c>
    </row>
    <row r="460" spans="2:9" hidden="1" x14ac:dyDescent="0.25">
      <c r="B460" s="25" t="s">
        <v>16</v>
      </c>
      <c r="C460" s="25" t="s">
        <v>753</v>
      </c>
      <c r="D460" s="25">
        <v>0</v>
      </c>
      <c r="E460" s="25" t="s">
        <v>754</v>
      </c>
      <c r="F460" s="26" t="str">
        <f t="shared" si="28"/>
        <v>LT822901A</v>
      </c>
      <c r="G460" s="26">
        <f t="shared" si="29"/>
        <v>0</v>
      </c>
      <c r="H460" s="23" t="str">
        <f t="shared" si="30"/>
        <v>LI822901AIO.Mode</v>
      </c>
      <c r="I460" s="23">
        <f t="shared" si="31"/>
        <v>0</v>
      </c>
    </row>
    <row r="461" spans="2:9" hidden="1" x14ac:dyDescent="0.25">
      <c r="B461" s="25" t="s">
        <v>16</v>
      </c>
      <c r="C461" s="25" t="s">
        <v>755</v>
      </c>
      <c r="D461" s="25">
        <v>0</v>
      </c>
      <c r="E461" s="25" t="s">
        <v>756</v>
      </c>
      <c r="F461" s="26" t="str">
        <f t="shared" si="28"/>
        <v>LT822901B</v>
      </c>
      <c r="G461" s="26">
        <f t="shared" si="29"/>
        <v>0</v>
      </c>
      <c r="H461" s="23" t="str">
        <f t="shared" si="30"/>
        <v>LI822901BIO.Mode</v>
      </c>
      <c r="I461" s="23">
        <f t="shared" si="31"/>
        <v>0</v>
      </c>
    </row>
    <row r="462" spans="2:9" hidden="1" x14ac:dyDescent="0.25">
      <c r="B462" s="25" t="s">
        <v>16</v>
      </c>
      <c r="C462" s="25" t="s">
        <v>757</v>
      </c>
      <c r="D462" s="25">
        <v>0</v>
      </c>
      <c r="E462" s="25" t="s">
        <v>758</v>
      </c>
      <c r="F462" s="26" t="str">
        <f t="shared" si="28"/>
        <v>LT823002A</v>
      </c>
      <c r="G462" s="26">
        <f t="shared" si="29"/>
        <v>0</v>
      </c>
      <c r="H462" s="23" t="str">
        <f t="shared" si="30"/>
        <v>LI823002AIO.Mode</v>
      </c>
      <c r="I462" s="23">
        <f t="shared" si="31"/>
        <v>0</v>
      </c>
    </row>
    <row r="463" spans="2:9" hidden="1" x14ac:dyDescent="0.25">
      <c r="B463" s="25" t="s">
        <v>16</v>
      </c>
      <c r="C463" s="25" t="s">
        <v>759</v>
      </c>
      <c r="D463" s="25">
        <v>0</v>
      </c>
      <c r="E463" s="25" t="s">
        <v>760</v>
      </c>
      <c r="F463" s="26" t="str">
        <f t="shared" si="28"/>
        <v>LT823002B</v>
      </c>
      <c r="G463" s="26">
        <f t="shared" si="29"/>
        <v>0</v>
      </c>
      <c r="H463" s="23" t="str">
        <f t="shared" si="30"/>
        <v>LI823002BIO.Mode</v>
      </c>
      <c r="I463" s="23">
        <f t="shared" si="31"/>
        <v>0</v>
      </c>
    </row>
    <row r="464" spans="2:9" hidden="1" x14ac:dyDescent="0.25">
      <c r="B464" s="25" t="s">
        <v>16</v>
      </c>
      <c r="C464" s="25" t="s">
        <v>761</v>
      </c>
      <c r="D464" s="25">
        <v>0</v>
      </c>
      <c r="E464" s="25" t="s">
        <v>762</v>
      </c>
      <c r="F464" s="26" t="str">
        <f t="shared" si="28"/>
        <v>LIT823205A</v>
      </c>
      <c r="G464" s="26">
        <f t="shared" si="29"/>
        <v>0</v>
      </c>
      <c r="H464" s="23" t="str">
        <f t="shared" si="30"/>
        <v>LI823205AIO.Mode</v>
      </c>
      <c r="I464" s="23">
        <f t="shared" si="31"/>
        <v>0</v>
      </c>
    </row>
    <row r="465" spans="2:9" hidden="1" x14ac:dyDescent="0.25">
      <c r="B465" s="25" t="s">
        <v>16</v>
      </c>
      <c r="C465" s="25" t="s">
        <v>763</v>
      </c>
      <c r="D465" s="25">
        <v>0</v>
      </c>
      <c r="E465" s="25" t="s">
        <v>764</v>
      </c>
      <c r="F465" s="26" t="str">
        <f t="shared" si="28"/>
        <v>LIT823205B</v>
      </c>
      <c r="G465" s="26">
        <f t="shared" si="29"/>
        <v>0</v>
      </c>
      <c r="H465" s="23" t="str">
        <f t="shared" si="30"/>
        <v>LI823205BIO.Mode</v>
      </c>
      <c r="I465" s="23">
        <f t="shared" si="31"/>
        <v>0</v>
      </c>
    </row>
    <row r="466" spans="2:9" hidden="1" x14ac:dyDescent="0.25">
      <c r="B466" s="25" t="s">
        <v>16</v>
      </c>
      <c r="C466" s="25" t="s">
        <v>765</v>
      </c>
      <c r="D466" s="25">
        <v>0</v>
      </c>
      <c r="E466" s="25" t="s">
        <v>766</v>
      </c>
      <c r="F466" s="26" t="str">
        <f t="shared" si="28"/>
        <v>LIT830102A</v>
      </c>
      <c r="G466" s="26">
        <f t="shared" si="29"/>
        <v>0</v>
      </c>
      <c r="H466" s="23" t="str">
        <f t="shared" si="30"/>
        <v>LI830102AIO.Mode</v>
      </c>
      <c r="I466" s="23">
        <f t="shared" si="31"/>
        <v>0</v>
      </c>
    </row>
    <row r="467" spans="2:9" hidden="1" x14ac:dyDescent="0.25">
      <c r="B467" s="25" t="s">
        <v>16</v>
      </c>
      <c r="C467" s="25" t="s">
        <v>767</v>
      </c>
      <c r="D467" s="25">
        <v>0</v>
      </c>
      <c r="E467" s="25" t="s">
        <v>768</v>
      </c>
      <c r="F467" s="26" t="str">
        <f t="shared" si="28"/>
        <v>LIT830102B</v>
      </c>
      <c r="G467" s="26">
        <f t="shared" si="29"/>
        <v>0</v>
      </c>
      <c r="H467" s="23" t="str">
        <f t="shared" si="30"/>
        <v>LI830102BIO.Mode</v>
      </c>
      <c r="I467" s="23">
        <f t="shared" si="31"/>
        <v>0</v>
      </c>
    </row>
    <row r="468" spans="2:9" x14ac:dyDescent="0.25">
      <c r="B468" s="25" t="s">
        <v>16</v>
      </c>
      <c r="C468" s="25" t="s">
        <v>1795</v>
      </c>
      <c r="D468" s="25">
        <v>0</v>
      </c>
      <c r="E468" s="25" t="s">
        <v>1796</v>
      </c>
      <c r="F468" s="26" t="str">
        <f t="shared" si="28"/>
        <v>LIT830120</v>
      </c>
      <c r="G468" s="26">
        <f t="shared" si="29"/>
        <v>2</v>
      </c>
      <c r="H468" s="23" t="str">
        <f t="shared" si="30"/>
        <v>LI830120IO.Mode</v>
      </c>
      <c r="I468" s="23">
        <f t="shared" si="31"/>
        <v>2</v>
      </c>
    </row>
    <row r="469" spans="2:9" hidden="1" x14ac:dyDescent="0.25">
      <c r="B469" s="25" t="s">
        <v>16</v>
      </c>
      <c r="C469" s="25" t="s">
        <v>769</v>
      </c>
      <c r="D469" s="25">
        <v>0</v>
      </c>
      <c r="E469" s="25" t="s">
        <v>770</v>
      </c>
      <c r="F469" s="26" t="str">
        <f t="shared" si="28"/>
        <v>LIT830204A</v>
      </c>
      <c r="G469" s="26">
        <f t="shared" si="29"/>
        <v>0</v>
      </c>
      <c r="H469" s="23" t="str">
        <f t="shared" si="30"/>
        <v>LI830204AIO.Mode</v>
      </c>
      <c r="I469" s="23">
        <f t="shared" si="31"/>
        <v>0</v>
      </c>
    </row>
    <row r="470" spans="2:9" hidden="1" x14ac:dyDescent="0.25">
      <c r="B470" s="25" t="s">
        <v>16</v>
      </c>
      <c r="C470" s="25" t="s">
        <v>771</v>
      </c>
      <c r="D470" s="25">
        <v>0</v>
      </c>
      <c r="E470" s="25" t="s">
        <v>772</v>
      </c>
      <c r="F470" s="26" t="str">
        <f t="shared" si="28"/>
        <v>LIT830204B</v>
      </c>
      <c r="G470" s="26">
        <f t="shared" si="29"/>
        <v>0</v>
      </c>
      <c r="H470" s="23" t="str">
        <f t="shared" si="30"/>
        <v>LI830204BIO.Mode</v>
      </c>
      <c r="I470" s="23">
        <f t="shared" si="31"/>
        <v>0</v>
      </c>
    </row>
    <row r="471" spans="2:9" x14ac:dyDescent="0.25">
      <c r="B471" s="25" t="s">
        <v>16</v>
      </c>
      <c r="C471" s="25" t="s">
        <v>1797</v>
      </c>
      <c r="D471" s="25">
        <v>0</v>
      </c>
      <c r="E471" s="25" t="s">
        <v>1798</v>
      </c>
      <c r="F471" s="26" t="str">
        <f t="shared" si="28"/>
        <v>LIT830205</v>
      </c>
      <c r="G471" s="26">
        <f t="shared" si="29"/>
        <v>2</v>
      </c>
      <c r="H471" s="23" t="str">
        <f t="shared" si="30"/>
        <v>LI830205IO.Mode</v>
      </c>
      <c r="I471" s="23">
        <f t="shared" si="31"/>
        <v>2</v>
      </c>
    </row>
    <row r="472" spans="2:9" x14ac:dyDescent="0.25">
      <c r="B472" s="25" t="s">
        <v>16</v>
      </c>
      <c r="C472" s="25" t="s">
        <v>1799</v>
      </c>
      <c r="D472" s="25">
        <v>0</v>
      </c>
      <c r="E472" s="25" t="s">
        <v>1800</v>
      </c>
      <c r="F472" s="26" t="str">
        <f t="shared" si="28"/>
        <v>LT830227</v>
      </c>
      <c r="G472" s="26">
        <f t="shared" si="29"/>
        <v>2</v>
      </c>
      <c r="H472" s="23" t="str">
        <f t="shared" si="30"/>
        <v>LI830227IO.Mode</v>
      </c>
      <c r="I472" s="23">
        <f t="shared" si="31"/>
        <v>2</v>
      </c>
    </row>
    <row r="473" spans="2:9" hidden="1" x14ac:dyDescent="0.25">
      <c r="B473" s="25" t="s">
        <v>16</v>
      </c>
      <c r="C473" s="25" t="s">
        <v>773</v>
      </c>
      <c r="D473" s="25">
        <v>0</v>
      </c>
      <c r="E473" s="25" t="s">
        <v>774</v>
      </c>
      <c r="F473" s="26" t="str">
        <f t="shared" si="28"/>
        <v>LIT830514</v>
      </c>
      <c r="G473" s="26">
        <f t="shared" si="29"/>
        <v>0</v>
      </c>
      <c r="H473" s="23" t="str">
        <f t="shared" si="30"/>
        <v>LI830514IO.Mode</v>
      </c>
      <c r="I473" s="23">
        <f t="shared" si="31"/>
        <v>0</v>
      </c>
    </row>
    <row r="474" spans="2:9" x14ac:dyDescent="0.25">
      <c r="B474" s="25" t="s">
        <v>16</v>
      </c>
      <c r="C474" s="25" t="s">
        <v>1801</v>
      </c>
      <c r="D474" s="25">
        <v>0</v>
      </c>
      <c r="E474" s="25" t="s">
        <v>1802</v>
      </c>
      <c r="F474" s="26" t="str">
        <f t="shared" si="28"/>
        <v>LT830533</v>
      </c>
      <c r="G474" s="26">
        <f t="shared" si="29"/>
        <v>2</v>
      </c>
      <c r="H474" s="23" t="str">
        <f t="shared" si="30"/>
        <v>LI830533IO.Mode</v>
      </c>
      <c r="I474" s="23">
        <f t="shared" si="31"/>
        <v>2</v>
      </c>
    </row>
    <row r="475" spans="2:9" x14ac:dyDescent="0.25">
      <c r="B475" s="25" t="s">
        <v>16</v>
      </c>
      <c r="C475" s="25" t="s">
        <v>1803</v>
      </c>
      <c r="D475" s="25">
        <v>0</v>
      </c>
      <c r="E475" s="25" t="s">
        <v>1804</v>
      </c>
      <c r="F475" s="26" t="str">
        <f t="shared" si="28"/>
        <v>LT830611</v>
      </c>
      <c r="G475" s="26">
        <f t="shared" si="29"/>
        <v>2</v>
      </c>
      <c r="H475" s="23" t="str">
        <f t="shared" si="30"/>
        <v>LI830611IO.Mode</v>
      </c>
      <c r="I475" s="23">
        <f t="shared" si="31"/>
        <v>2</v>
      </c>
    </row>
    <row r="476" spans="2:9" x14ac:dyDescent="0.25">
      <c r="B476" s="25" t="s">
        <v>16</v>
      </c>
      <c r="C476" s="25" t="s">
        <v>1805</v>
      </c>
      <c r="D476" s="25">
        <v>0</v>
      </c>
      <c r="E476" s="25" t="s">
        <v>1806</v>
      </c>
      <c r="F476" s="26" t="str">
        <f t="shared" si="28"/>
        <v>LT830630</v>
      </c>
      <c r="G476" s="26">
        <f t="shared" si="29"/>
        <v>2</v>
      </c>
      <c r="H476" s="23" t="str">
        <f t="shared" si="30"/>
        <v>LI830630IO.Mode</v>
      </c>
      <c r="I476" s="23">
        <f t="shared" si="31"/>
        <v>2</v>
      </c>
    </row>
    <row r="477" spans="2:9" x14ac:dyDescent="0.25">
      <c r="B477" s="25" t="s">
        <v>16</v>
      </c>
      <c r="C477" s="25" t="s">
        <v>1807</v>
      </c>
      <c r="D477" s="25">
        <v>0</v>
      </c>
      <c r="E477" s="25" t="s">
        <v>1808</v>
      </c>
      <c r="F477" s="26" t="str">
        <f t="shared" si="28"/>
        <v>LIT830707</v>
      </c>
      <c r="G477" s="26">
        <f t="shared" si="29"/>
        <v>2</v>
      </c>
      <c r="H477" s="23" t="str">
        <f t="shared" si="30"/>
        <v>LI830707IO.Mode</v>
      </c>
      <c r="I477" s="23">
        <f t="shared" si="31"/>
        <v>2</v>
      </c>
    </row>
    <row r="478" spans="2:9" hidden="1" x14ac:dyDescent="0.25">
      <c r="B478" s="25" t="s">
        <v>16</v>
      </c>
      <c r="C478" s="25" t="s">
        <v>775</v>
      </c>
      <c r="D478" s="25">
        <v>0</v>
      </c>
      <c r="E478" s="25" t="s">
        <v>776</v>
      </c>
      <c r="F478" s="26" t="str">
        <f t="shared" si="28"/>
        <v>LIT830853A</v>
      </c>
      <c r="G478" s="26">
        <f t="shared" si="29"/>
        <v>0</v>
      </c>
      <c r="H478" s="23" t="str">
        <f t="shared" si="30"/>
        <v>LI830853AIO.Mode</v>
      </c>
      <c r="I478" s="23">
        <f t="shared" si="31"/>
        <v>0</v>
      </c>
    </row>
    <row r="479" spans="2:9" hidden="1" x14ac:dyDescent="0.25">
      <c r="B479" s="25" t="s">
        <v>16</v>
      </c>
      <c r="C479" s="25" t="s">
        <v>777</v>
      </c>
      <c r="D479" s="25">
        <v>0</v>
      </c>
      <c r="E479" s="25" t="s">
        <v>778</v>
      </c>
      <c r="F479" s="26" t="str">
        <f t="shared" si="28"/>
        <v>LIT830853B</v>
      </c>
      <c r="G479" s="26">
        <f t="shared" si="29"/>
        <v>0</v>
      </c>
      <c r="H479" s="23" t="str">
        <f t="shared" si="30"/>
        <v>LI830853BIO.Mode</v>
      </c>
      <c r="I479" s="23">
        <f t="shared" si="31"/>
        <v>0</v>
      </c>
    </row>
    <row r="480" spans="2:9" hidden="1" x14ac:dyDescent="0.25">
      <c r="B480" s="25" t="s">
        <v>16</v>
      </c>
      <c r="C480" s="25" t="s">
        <v>779</v>
      </c>
      <c r="D480" s="25">
        <v>0</v>
      </c>
      <c r="E480" s="25" t="s">
        <v>780</v>
      </c>
      <c r="F480" s="26" t="str">
        <f t="shared" si="28"/>
        <v>LT830932A</v>
      </c>
      <c r="G480" s="26">
        <f t="shared" si="29"/>
        <v>0</v>
      </c>
      <c r="H480" s="23" t="str">
        <f t="shared" si="30"/>
        <v>LI830932AIO.Mode</v>
      </c>
      <c r="I480" s="23">
        <f t="shared" si="31"/>
        <v>0</v>
      </c>
    </row>
    <row r="481" spans="2:9" hidden="1" x14ac:dyDescent="0.25">
      <c r="B481" s="25" t="s">
        <v>16</v>
      </c>
      <c r="C481" s="25" t="s">
        <v>781</v>
      </c>
      <c r="D481" s="25">
        <v>0</v>
      </c>
      <c r="E481" s="25" t="s">
        <v>782</v>
      </c>
      <c r="F481" s="26" t="str">
        <f t="shared" si="28"/>
        <v>LT830932B</v>
      </c>
      <c r="G481" s="26">
        <f t="shared" si="29"/>
        <v>0</v>
      </c>
      <c r="H481" s="23" t="str">
        <f t="shared" si="30"/>
        <v>LI830932BIO.Mode</v>
      </c>
      <c r="I481" s="23">
        <f t="shared" si="31"/>
        <v>0</v>
      </c>
    </row>
    <row r="482" spans="2:9" x14ac:dyDescent="0.25">
      <c r="B482" s="25" t="s">
        <v>16</v>
      </c>
      <c r="C482" s="25" t="s">
        <v>1809</v>
      </c>
      <c r="D482" s="25">
        <v>0</v>
      </c>
      <c r="E482" s="25" t="s">
        <v>1810</v>
      </c>
      <c r="F482" s="26" t="str">
        <f t="shared" si="28"/>
        <v>LT830941</v>
      </c>
      <c r="G482" s="26">
        <f t="shared" si="29"/>
        <v>2</v>
      </c>
      <c r="H482" s="23" t="str">
        <f t="shared" si="30"/>
        <v>LI830941IO.Mode</v>
      </c>
      <c r="I482" s="23">
        <f t="shared" si="31"/>
        <v>2</v>
      </c>
    </row>
    <row r="483" spans="2:9" hidden="1" x14ac:dyDescent="0.25">
      <c r="B483" s="25" t="s">
        <v>16</v>
      </c>
      <c r="C483" s="25" t="s">
        <v>783</v>
      </c>
      <c r="D483" s="25">
        <v>0</v>
      </c>
      <c r="E483" s="25" t="s">
        <v>784</v>
      </c>
      <c r="F483" s="26" t="str">
        <f t="shared" si="28"/>
        <v>LIT831101A</v>
      </c>
      <c r="G483" s="26">
        <f t="shared" si="29"/>
        <v>0</v>
      </c>
      <c r="H483" s="23" t="str">
        <f t="shared" si="30"/>
        <v>LI831101AIO.Mode</v>
      </c>
      <c r="I483" s="23">
        <f t="shared" si="31"/>
        <v>0</v>
      </c>
    </row>
    <row r="484" spans="2:9" hidden="1" x14ac:dyDescent="0.25">
      <c r="B484" s="25" t="s">
        <v>16</v>
      </c>
      <c r="C484" s="25" t="s">
        <v>785</v>
      </c>
      <c r="D484" s="25">
        <v>0</v>
      </c>
      <c r="E484" s="25" t="s">
        <v>786</v>
      </c>
      <c r="F484" s="26" t="str">
        <f t="shared" si="28"/>
        <v>LIT831101B</v>
      </c>
      <c r="G484" s="26">
        <f t="shared" si="29"/>
        <v>0</v>
      </c>
      <c r="H484" s="23" t="str">
        <f t="shared" si="30"/>
        <v>LI831101BIO.Mode</v>
      </c>
      <c r="I484" s="23">
        <f t="shared" si="31"/>
        <v>0</v>
      </c>
    </row>
    <row r="485" spans="2:9" hidden="1" x14ac:dyDescent="0.25">
      <c r="B485" s="25" t="s">
        <v>16</v>
      </c>
      <c r="C485" s="25" t="s">
        <v>787</v>
      </c>
      <c r="D485" s="25">
        <v>0</v>
      </c>
      <c r="E485" s="25" t="s">
        <v>788</v>
      </c>
      <c r="F485" s="26" t="str">
        <f t="shared" si="28"/>
        <v>LIT831201A</v>
      </c>
      <c r="G485" s="26">
        <f t="shared" si="29"/>
        <v>0</v>
      </c>
      <c r="H485" s="23" t="str">
        <f t="shared" si="30"/>
        <v>LI831201AIO.Mode</v>
      </c>
      <c r="I485" s="23">
        <f t="shared" si="31"/>
        <v>0</v>
      </c>
    </row>
    <row r="486" spans="2:9" hidden="1" x14ac:dyDescent="0.25">
      <c r="B486" s="25" t="s">
        <v>16</v>
      </c>
      <c r="C486" s="25" t="s">
        <v>789</v>
      </c>
      <c r="D486" s="25">
        <v>0</v>
      </c>
      <c r="E486" s="25" t="s">
        <v>790</v>
      </c>
      <c r="F486" s="26" t="str">
        <f t="shared" si="28"/>
        <v>LIT831201B</v>
      </c>
      <c r="G486" s="26">
        <f t="shared" si="29"/>
        <v>0</v>
      </c>
      <c r="H486" s="23" t="str">
        <f t="shared" si="30"/>
        <v>LI831201BIO.Mode</v>
      </c>
      <c r="I486" s="23">
        <f t="shared" si="31"/>
        <v>0</v>
      </c>
    </row>
    <row r="487" spans="2:9" hidden="1" x14ac:dyDescent="0.25">
      <c r="B487" s="25" t="s">
        <v>16</v>
      </c>
      <c r="C487" s="25" t="s">
        <v>791</v>
      </c>
      <c r="D487" s="25">
        <v>0</v>
      </c>
      <c r="E487" s="25" t="s">
        <v>792</v>
      </c>
      <c r="F487" s="26" t="str">
        <f t="shared" si="28"/>
        <v>LIT832102A</v>
      </c>
      <c r="G487" s="26">
        <f t="shared" si="29"/>
        <v>0</v>
      </c>
      <c r="H487" s="23" t="str">
        <f t="shared" si="30"/>
        <v>LI832102AIO.Mode</v>
      </c>
      <c r="I487" s="23">
        <f t="shared" si="31"/>
        <v>0</v>
      </c>
    </row>
    <row r="488" spans="2:9" hidden="1" x14ac:dyDescent="0.25">
      <c r="B488" s="25" t="s">
        <v>16</v>
      </c>
      <c r="C488" s="25" t="s">
        <v>793</v>
      </c>
      <c r="D488" s="25">
        <v>0</v>
      </c>
      <c r="E488" s="25" t="s">
        <v>794</v>
      </c>
      <c r="F488" s="26" t="str">
        <f t="shared" si="28"/>
        <v>LIT832102B</v>
      </c>
      <c r="G488" s="26">
        <f t="shared" si="29"/>
        <v>0</v>
      </c>
      <c r="H488" s="23" t="str">
        <f t="shared" si="30"/>
        <v>LI832102BIO.Mode</v>
      </c>
      <c r="I488" s="23">
        <f t="shared" si="31"/>
        <v>0</v>
      </c>
    </row>
    <row r="489" spans="2:9" hidden="1" x14ac:dyDescent="0.25">
      <c r="B489" s="25" t="s">
        <v>16</v>
      </c>
      <c r="C489" s="25" t="s">
        <v>795</v>
      </c>
      <c r="D489" s="25">
        <v>0</v>
      </c>
      <c r="E489" s="25" t="s">
        <v>796</v>
      </c>
      <c r="F489" s="26" t="str">
        <f t="shared" si="28"/>
        <v>LIT832315A</v>
      </c>
      <c r="G489" s="26">
        <f t="shared" si="29"/>
        <v>0</v>
      </c>
      <c r="H489" s="23" t="str">
        <f t="shared" si="30"/>
        <v>LI832315AIO.Mode</v>
      </c>
      <c r="I489" s="23">
        <f t="shared" si="31"/>
        <v>0</v>
      </c>
    </row>
    <row r="490" spans="2:9" hidden="1" x14ac:dyDescent="0.25">
      <c r="B490" s="25" t="s">
        <v>16</v>
      </c>
      <c r="C490" s="25" t="s">
        <v>797</v>
      </c>
      <c r="D490" s="25">
        <v>0</v>
      </c>
      <c r="E490" s="25" t="s">
        <v>798</v>
      </c>
      <c r="F490" s="26" t="str">
        <f t="shared" si="28"/>
        <v>LIT832315B</v>
      </c>
      <c r="G490" s="26">
        <f t="shared" si="29"/>
        <v>0</v>
      </c>
      <c r="H490" s="23" t="str">
        <f t="shared" si="30"/>
        <v>LI832315BIO.Mode</v>
      </c>
      <c r="I490" s="23">
        <f t="shared" si="31"/>
        <v>0</v>
      </c>
    </row>
    <row r="491" spans="2:9" hidden="1" x14ac:dyDescent="0.25">
      <c r="B491" s="25" t="s">
        <v>16</v>
      </c>
      <c r="C491" s="25" t="s">
        <v>799</v>
      </c>
      <c r="D491" s="25">
        <v>0</v>
      </c>
      <c r="E491" s="25" t="s">
        <v>800</v>
      </c>
      <c r="F491" s="26" t="str">
        <f t="shared" si="28"/>
        <v>LT842908A</v>
      </c>
      <c r="G491" s="26">
        <f t="shared" si="29"/>
        <v>0</v>
      </c>
      <c r="H491" s="23" t="str">
        <f t="shared" si="30"/>
        <v>LI842908AIO.Mode</v>
      </c>
      <c r="I491" s="23">
        <f t="shared" si="31"/>
        <v>0</v>
      </c>
    </row>
    <row r="492" spans="2:9" hidden="1" x14ac:dyDescent="0.25">
      <c r="B492" s="25" t="s">
        <v>16</v>
      </c>
      <c r="C492" s="25" t="s">
        <v>801</v>
      </c>
      <c r="D492" s="25">
        <v>0</v>
      </c>
      <c r="E492" s="25" t="s">
        <v>802</v>
      </c>
      <c r="F492" s="26" t="str">
        <f t="shared" si="28"/>
        <v>LT842908B</v>
      </c>
      <c r="G492" s="26">
        <f t="shared" si="29"/>
        <v>0</v>
      </c>
      <c r="H492" s="23" t="str">
        <f t="shared" si="30"/>
        <v>LI842908BIO.Mode</v>
      </c>
      <c r="I492" s="23">
        <f t="shared" si="31"/>
        <v>0</v>
      </c>
    </row>
    <row r="493" spans="2:9" hidden="1" x14ac:dyDescent="0.25">
      <c r="B493" s="25" t="s">
        <v>16</v>
      </c>
      <c r="C493" s="25" t="s">
        <v>803</v>
      </c>
      <c r="D493" s="25">
        <v>0</v>
      </c>
      <c r="E493" s="25" t="s">
        <v>804</v>
      </c>
      <c r="F493" s="26" t="str">
        <f t="shared" si="28"/>
        <v>LT850001A</v>
      </c>
      <c r="G493" s="26">
        <f t="shared" si="29"/>
        <v>0</v>
      </c>
      <c r="H493" s="23" t="str">
        <f t="shared" si="30"/>
        <v>LI850001AIO.Mode</v>
      </c>
      <c r="I493" s="23">
        <f t="shared" si="31"/>
        <v>0</v>
      </c>
    </row>
    <row r="494" spans="2:9" hidden="1" x14ac:dyDescent="0.25">
      <c r="B494" s="25" t="s">
        <v>16</v>
      </c>
      <c r="C494" s="25" t="s">
        <v>805</v>
      </c>
      <c r="D494" s="25">
        <v>0</v>
      </c>
      <c r="E494" s="25" t="s">
        <v>806</v>
      </c>
      <c r="F494" s="26" t="str">
        <f t="shared" si="28"/>
        <v>LT850001B</v>
      </c>
      <c r="G494" s="26">
        <f t="shared" si="29"/>
        <v>0</v>
      </c>
      <c r="H494" s="23" t="str">
        <f t="shared" si="30"/>
        <v>LI850001BIO.Mode</v>
      </c>
      <c r="I494" s="23">
        <f t="shared" si="31"/>
        <v>0</v>
      </c>
    </row>
    <row r="495" spans="2:9" hidden="1" x14ac:dyDescent="0.25">
      <c r="B495" s="25" t="s">
        <v>16</v>
      </c>
      <c r="C495" s="25" t="s">
        <v>807</v>
      </c>
      <c r="D495" s="25">
        <v>0</v>
      </c>
      <c r="E495" s="25" t="s">
        <v>808</v>
      </c>
      <c r="F495" s="26" t="str">
        <f t="shared" si="28"/>
        <v>LT850101A</v>
      </c>
      <c r="G495" s="26">
        <f t="shared" si="29"/>
        <v>0</v>
      </c>
      <c r="H495" s="23" t="str">
        <f t="shared" si="30"/>
        <v>LI850101AIO.Mode</v>
      </c>
      <c r="I495" s="23">
        <f t="shared" si="31"/>
        <v>0</v>
      </c>
    </row>
    <row r="496" spans="2:9" hidden="1" x14ac:dyDescent="0.25">
      <c r="B496" s="25" t="s">
        <v>16</v>
      </c>
      <c r="C496" s="25" t="s">
        <v>809</v>
      </c>
      <c r="D496" s="25">
        <v>0</v>
      </c>
      <c r="E496" s="25" t="s">
        <v>810</v>
      </c>
      <c r="F496" s="26" t="str">
        <f t="shared" si="28"/>
        <v>LT850101B</v>
      </c>
      <c r="G496" s="26">
        <f t="shared" si="29"/>
        <v>0</v>
      </c>
      <c r="H496" s="23" t="str">
        <f t="shared" si="30"/>
        <v>LI850101BIO.Mode</v>
      </c>
      <c r="I496" s="23">
        <f t="shared" si="31"/>
        <v>0</v>
      </c>
    </row>
    <row r="497" spans="2:9" hidden="1" x14ac:dyDescent="0.25">
      <c r="B497" s="25" t="s">
        <v>16</v>
      </c>
      <c r="C497" s="25" t="s">
        <v>811</v>
      </c>
      <c r="D497" s="25">
        <v>0</v>
      </c>
      <c r="E497" s="25" t="s">
        <v>812</v>
      </c>
      <c r="F497" s="26" t="str">
        <f t="shared" si="28"/>
        <v>LT850201A</v>
      </c>
      <c r="G497" s="26">
        <f t="shared" si="29"/>
        <v>0</v>
      </c>
      <c r="H497" s="23" t="str">
        <f t="shared" si="30"/>
        <v>LI850201AIO.Mode</v>
      </c>
      <c r="I497" s="23">
        <f t="shared" si="31"/>
        <v>0</v>
      </c>
    </row>
    <row r="498" spans="2:9" hidden="1" x14ac:dyDescent="0.25">
      <c r="B498" s="25" t="s">
        <v>16</v>
      </c>
      <c r="C498" s="25" t="s">
        <v>813</v>
      </c>
      <c r="D498" s="25">
        <v>0</v>
      </c>
      <c r="E498" s="25" t="s">
        <v>814</v>
      </c>
      <c r="F498" s="26" t="str">
        <f t="shared" si="28"/>
        <v>LT850201B</v>
      </c>
      <c r="G498" s="26">
        <f t="shared" si="29"/>
        <v>0</v>
      </c>
      <c r="H498" s="23" t="str">
        <f t="shared" si="30"/>
        <v>LI850201BIO.Mode</v>
      </c>
      <c r="I498" s="23">
        <f t="shared" si="31"/>
        <v>0</v>
      </c>
    </row>
    <row r="499" spans="2:9" hidden="1" x14ac:dyDescent="0.25">
      <c r="B499" s="25" t="s">
        <v>16</v>
      </c>
      <c r="C499" s="25" t="s">
        <v>815</v>
      </c>
      <c r="D499" s="25">
        <v>0</v>
      </c>
      <c r="E499" s="25" t="s">
        <v>816</v>
      </c>
      <c r="F499" s="26" t="str">
        <f t="shared" si="28"/>
        <v>LT852001A</v>
      </c>
      <c r="G499" s="26">
        <f t="shared" si="29"/>
        <v>0</v>
      </c>
      <c r="H499" s="23" t="str">
        <f t="shared" si="30"/>
        <v>LI852001AIO.Mode</v>
      </c>
      <c r="I499" s="23">
        <f t="shared" si="31"/>
        <v>0</v>
      </c>
    </row>
    <row r="500" spans="2:9" hidden="1" x14ac:dyDescent="0.25">
      <c r="B500" s="25" t="s">
        <v>16</v>
      </c>
      <c r="C500" s="25" t="s">
        <v>817</v>
      </c>
      <c r="D500" s="25">
        <v>0</v>
      </c>
      <c r="E500" s="25" t="s">
        <v>818</v>
      </c>
      <c r="F500" s="26" t="str">
        <f t="shared" si="28"/>
        <v>LT852001B</v>
      </c>
      <c r="G500" s="26">
        <f t="shared" si="29"/>
        <v>0</v>
      </c>
      <c r="H500" s="23" t="str">
        <f t="shared" si="30"/>
        <v>LI852001BIO.Mode</v>
      </c>
      <c r="I500" s="23">
        <f t="shared" si="31"/>
        <v>0</v>
      </c>
    </row>
    <row r="501" spans="2:9" hidden="1" x14ac:dyDescent="0.25">
      <c r="B501" s="25" t="s">
        <v>16</v>
      </c>
      <c r="C501" s="25" t="s">
        <v>819</v>
      </c>
      <c r="D501" s="25">
        <v>0</v>
      </c>
      <c r="E501" s="25" t="s">
        <v>820</v>
      </c>
      <c r="F501" s="26" t="str">
        <f t="shared" si="28"/>
        <v>LIT853002A</v>
      </c>
      <c r="G501" s="26">
        <f t="shared" si="29"/>
        <v>0</v>
      </c>
      <c r="H501" s="23" t="str">
        <f t="shared" si="30"/>
        <v>LI853002AIO.Mode</v>
      </c>
      <c r="I501" s="23">
        <f t="shared" si="31"/>
        <v>0</v>
      </c>
    </row>
    <row r="502" spans="2:9" hidden="1" x14ac:dyDescent="0.25">
      <c r="B502" s="25" t="s">
        <v>16</v>
      </c>
      <c r="C502" s="25" t="s">
        <v>821</v>
      </c>
      <c r="D502" s="25">
        <v>0</v>
      </c>
      <c r="E502" s="25" t="s">
        <v>822</v>
      </c>
      <c r="F502" s="26" t="str">
        <f t="shared" si="28"/>
        <v>LIT853002B</v>
      </c>
      <c r="G502" s="26">
        <f t="shared" si="29"/>
        <v>0</v>
      </c>
      <c r="H502" s="23" t="str">
        <f t="shared" si="30"/>
        <v>LI853002BIO.Mode</v>
      </c>
      <c r="I502" s="23">
        <f t="shared" si="31"/>
        <v>0</v>
      </c>
    </row>
    <row r="503" spans="2:9" hidden="1" x14ac:dyDescent="0.25">
      <c r="B503" s="25" t="s">
        <v>16</v>
      </c>
      <c r="C503" s="25" t="s">
        <v>823</v>
      </c>
      <c r="D503" s="25">
        <v>0</v>
      </c>
      <c r="E503" s="25" t="s">
        <v>824</v>
      </c>
      <c r="F503" s="26" t="str">
        <f t="shared" si="28"/>
        <v>LT856002A</v>
      </c>
      <c r="G503" s="26">
        <f t="shared" si="29"/>
        <v>0</v>
      </c>
      <c r="H503" s="23" t="str">
        <f t="shared" si="30"/>
        <v>LI856002AIO.Mode</v>
      </c>
      <c r="I503" s="23">
        <f t="shared" si="31"/>
        <v>0</v>
      </c>
    </row>
    <row r="504" spans="2:9" hidden="1" x14ac:dyDescent="0.25">
      <c r="B504" s="25" t="s">
        <v>16</v>
      </c>
      <c r="C504" s="25" t="s">
        <v>825</v>
      </c>
      <c r="D504" s="25">
        <v>0</v>
      </c>
      <c r="E504" s="25" t="s">
        <v>826</v>
      </c>
      <c r="F504" s="26" t="str">
        <f t="shared" si="28"/>
        <v>LT856002B</v>
      </c>
      <c r="G504" s="26">
        <f t="shared" si="29"/>
        <v>0</v>
      </c>
      <c r="H504" s="23" t="str">
        <f t="shared" si="30"/>
        <v>LI856002BIO.Mode</v>
      </c>
      <c r="I504" s="23">
        <f t="shared" si="31"/>
        <v>0</v>
      </c>
    </row>
    <row r="505" spans="2:9" hidden="1" x14ac:dyDescent="0.25">
      <c r="B505" s="25" t="s">
        <v>16</v>
      </c>
      <c r="C505" s="25" t="s">
        <v>827</v>
      </c>
      <c r="D505" s="25">
        <v>0</v>
      </c>
      <c r="E505" s="25" t="s">
        <v>828</v>
      </c>
      <c r="F505" s="26" t="str">
        <f t="shared" si="28"/>
        <v>LT859012</v>
      </c>
      <c r="G505" s="26">
        <f t="shared" si="29"/>
        <v>0</v>
      </c>
      <c r="H505" s="23" t="str">
        <f t="shared" si="30"/>
        <v>LI859012IO.Mode</v>
      </c>
      <c r="I505" s="23">
        <f t="shared" si="31"/>
        <v>0</v>
      </c>
    </row>
    <row r="506" spans="2:9" x14ac:dyDescent="0.25">
      <c r="B506" s="25" t="s">
        <v>16</v>
      </c>
      <c r="C506" s="25" t="s">
        <v>1811</v>
      </c>
      <c r="D506" s="25">
        <v>0</v>
      </c>
      <c r="E506" s="25" t="s">
        <v>1812</v>
      </c>
      <c r="F506" s="26" t="str">
        <f t="shared" si="28"/>
        <v>LT896008</v>
      </c>
      <c r="G506" s="26">
        <f t="shared" si="29"/>
        <v>2</v>
      </c>
      <c r="H506" s="23" t="str">
        <f t="shared" si="30"/>
        <v>LI896008IO.Mode</v>
      </c>
      <c r="I506" s="23">
        <f t="shared" si="31"/>
        <v>2</v>
      </c>
    </row>
    <row r="507" spans="2:9" x14ac:dyDescent="0.25">
      <c r="B507" s="25" t="s">
        <v>16</v>
      </c>
      <c r="C507" s="25" t="s">
        <v>1813</v>
      </c>
      <c r="D507" s="25">
        <v>0</v>
      </c>
      <c r="E507" s="25" t="s">
        <v>1814</v>
      </c>
      <c r="F507" s="26" t="str">
        <f t="shared" si="28"/>
        <v>LT896108</v>
      </c>
      <c r="G507" s="26">
        <f t="shared" si="29"/>
        <v>2</v>
      </c>
      <c r="H507" s="23" t="str">
        <f t="shared" si="30"/>
        <v>LI896108IO.Mode</v>
      </c>
      <c r="I507" s="23">
        <f t="shared" si="31"/>
        <v>2</v>
      </c>
    </row>
    <row r="508" spans="2:9" hidden="1" x14ac:dyDescent="0.25">
      <c r="B508" s="25" t="s">
        <v>16</v>
      </c>
      <c r="C508" s="25" t="s">
        <v>829</v>
      </c>
      <c r="D508" s="25">
        <v>0</v>
      </c>
      <c r="E508" s="25" t="s">
        <v>830</v>
      </c>
      <c r="F508" s="26" t="str">
        <f t="shared" si="28"/>
        <v>LT899016A</v>
      </c>
      <c r="G508" s="26">
        <f t="shared" si="29"/>
        <v>0</v>
      </c>
      <c r="H508" s="23" t="str">
        <f t="shared" si="30"/>
        <v>LI899016AIO.Mode</v>
      </c>
      <c r="I508" s="23">
        <f t="shared" si="31"/>
        <v>0</v>
      </c>
    </row>
    <row r="509" spans="2:9" hidden="1" x14ac:dyDescent="0.25">
      <c r="B509" s="25" t="s">
        <v>16</v>
      </c>
      <c r="C509" s="25" t="s">
        <v>831</v>
      </c>
      <c r="D509" s="25">
        <v>0</v>
      </c>
      <c r="E509" s="25" t="s">
        <v>832</v>
      </c>
      <c r="F509" s="26" t="str">
        <f t="shared" si="28"/>
        <v>LT899016B</v>
      </c>
      <c r="G509" s="26">
        <f t="shared" si="29"/>
        <v>0</v>
      </c>
      <c r="H509" s="23" t="str">
        <f t="shared" si="30"/>
        <v>LI899016BIO.Mode</v>
      </c>
      <c r="I509" s="23">
        <f t="shared" si="31"/>
        <v>0</v>
      </c>
    </row>
    <row r="510" spans="2:9" hidden="1" x14ac:dyDescent="0.25">
      <c r="B510" s="25" t="s">
        <v>16</v>
      </c>
      <c r="C510" s="25" t="s">
        <v>833</v>
      </c>
      <c r="D510" s="25">
        <v>0</v>
      </c>
      <c r="E510" s="25" t="s">
        <v>834</v>
      </c>
      <c r="F510" s="26" t="str">
        <f t="shared" si="28"/>
        <v>PDT810003A</v>
      </c>
      <c r="G510" s="26">
        <f t="shared" si="29"/>
        <v>0</v>
      </c>
      <c r="H510" s="23" t="str">
        <f t="shared" si="30"/>
        <v>PDI810003A_1oo2IO_MA1.Mode</v>
      </c>
      <c r="I510" s="23">
        <f t="shared" si="31"/>
        <v>0</v>
      </c>
    </row>
    <row r="511" spans="2:9" hidden="1" x14ac:dyDescent="0.25">
      <c r="B511" s="25" t="s">
        <v>16</v>
      </c>
      <c r="C511" s="25" t="s">
        <v>835</v>
      </c>
      <c r="D511" s="25">
        <v>0</v>
      </c>
      <c r="E511" s="25" t="s">
        <v>836</v>
      </c>
      <c r="F511" s="26" t="str">
        <f t="shared" si="28"/>
        <v>PDT810003B</v>
      </c>
      <c r="G511" s="26">
        <f t="shared" si="29"/>
        <v>0</v>
      </c>
      <c r="H511" s="23" t="str">
        <f t="shared" si="30"/>
        <v>PDI810003A_1oo2IO_MA2.Mode</v>
      </c>
      <c r="I511" s="23">
        <f t="shared" si="31"/>
        <v>0</v>
      </c>
    </row>
    <row r="512" spans="2:9" hidden="1" x14ac:dyDescent="0.25">
      <c r="B512" s="25" t="s">
        <v>16</v>
      </c>
      <c r="C512" s="25" t="s">
        <v>837</v>
      </c>
      <c r="D512" s="25">
        <v>0</v>
      </c>
      <c r="E512" s="25" t="s">
        <v>838</v>
      </c>
      <c r="F512" s="26" t="str">
        <f t="shared" si="28"/>
        <v>PDT820008A</v>
      </c>
      <c r="G512" s="26">
        <f t="shared" si="29"/>
        <v>0</v>
      </c>
      <c r="H512" s="23" t="str">
        <f t="shared" si="30"/>
        <v>PDI820008A_1oo2IO_MA1.Mode</v>
      </c>
      <c r="I512" s="23">
        <f t="shared" si="31"/>
        <v>0</v>
      </c>
    </row>
    <row r="513" spans="2:9" hidden="1" x14ac:dyDescent="0.25">
      <c r="B513" s="25" t="s">
        <v>16</v>
      </c>
      <c r="C513" s="25" t="s">
        <v>839</v>
      </c>
      <c r="D513" s="25">
        <v>0</v>
      </c>
      <c r="E513" s="25" t="s">
        <v>840</v>
      </c>
      <c r="F513" s="26" t="str">
        <f t="shared" si="28"/>
        <v>PDT820008B</v>
      </c>
      <c r="G513" s="26">
        <f t="shared" si="29"/>
        <v>0</v>
      </c>
      <c r="H513" s="23" t="str">
        <f t="shared" si="30"/>
        <v>PDI820008A_1oo2IO_MA2.Mode</v>
      </c>
      <c r="I513" s="23">
        <f t="shared" si="31"/>
        <v>0</v>
      </c>
    </row>
    <row r="514" spans="2:9" hidden="1" x14ac:dyDescent="0.25">
      <c r="B514" s="25" t="s">
        <v>16</v>
      </c>
      <c r="C514" s="25" t="s">
        <v>841</v>
      </c>
      <c r="D514" s="25">
        <v>0</v>
      </c>
      <c r="E514" s="25" t="s">
        <v>842</v>
      </c>
      <c r="F514" s="26" t="str">
        <f t="shared" ref="F514:F561" si="32">+LEFT(E514,FIND(".",E514,1)-1)</f>
        <v>PDT820018A</v>
      </c>
      <c r="G514" s="26">
        <f t="shared" ref="G514:G577" si="33">+IFERROR(IF(VLOOKUP(F514,DI,2,FALSE)="IO",2,0),"N/A")</f>
        <v>0</v>
      </c>
      <c r="H514" s="23" t="str">
        <f t="shared" ref="H514:H577" si="34">+CONCATENATE(C514,".Mode")</f>
        <v>PDI820018A_1oo2IO_MA1.Mode</v>
      </c>
      <c r="I514" s="23">
        <f t="shared" si="31"/>
        <v>0</v>
      </c>
    </row>
    <row r="515" spans="2:9" hidden="1" x14ac:dyDescent="0.25">
      <c r="B515" s="25" t="s">
        <v>16</v>
      </c>
      <c r="C515" s="25" t="s">
        <v>843</v>
      </c>
      <c r="D515" s="25">
        <v>0</v>
      </c>
      <c r="E515" s="25" t="s">
        <v>844</v>
      </c>
      <c r="F515" s="26" t="str">
        <f t="shared" si="32"/>
        <v>PDT820018B</v>
      </c>
      <c r="G515" s="26">
        <f t="shared" si="33"/>
        <v>0</v>
      </c>
      <c r="H515" s="23" t="str">
        <f t="shared" si="34"/>
        <v>PDI820018A_1oo2IO_MA2.Mode</v>
      </c>
      <c r="I515" s="23">
        <f t="shared" ref="I515:I561" si="35">+G515</f>
        <v>0</v>
      </c>
    </row>
    <row r="516" spans="2:9" hidden="1" x14ac:dyDescent="0.25">
      <c r="B516" s="25" t="s">
        <v>16</v>
      </c>
      <c r="C516" s="25" t="s">
        <v>845</v>
      </c>
      <c r="D516" s="25">
        <v>0</v>
      </c>
      <c r="E516" s="25" t="s">
        <v>846</v>
      </c>
      <c r="F516" s="26" t="str">
        <f t="shared" si="32"/>
        <v>PDIT820906</v>
      </c>
      <c r="G516" s="26">
        <f t="shared" si="33"/>
        <v>0</v>
      </c>
      <c r="H516" s="23" t="str">
        <f t="shared" si="34"/>
        <v>PDI820906IO.Mode</v>
      </c>
      <c r="I516" s="23">
        <f t="shared" si="35"/>
        <v>0</v>
      </c>
    </row>
    <row r="517" spans="2:9" hidden="1" x14ac:dyDescent="0.25">
      <c r="B517" s="25" t="s">
        <v>16</v>
      </c>
      <c r="C517" s="25" t="s">
        <v>847</v>
      </c>
      <c r="D517" s="25">
        <v>0</v>
      </c>
      <c r="E517" s="25" t="s">
        <v>848</v>
      </c>
      <c r="F517" s="26" t="str">
        <f t="shared" si="32"/>
        <v>PDIT821009</v>
      </c>
      <c r="G517" s="26">
        <f t="shared" si="33"/>
        <v>0</v>
      </c>
      <c r="H517" s="23" t="str">
        <f t="shared" si="34"/>
        <v>PDI821009IO.Mode</v>
      </c>
      <c r="I517" s="23">
        <f t="shared" si="35"/>
        <v>0</v>
      </c>
    </row>
    <row r="518" spans="2:9" hidden="1" x14ac:dyDescent="0.25">
      <c r="B518" s="25" t="s">
        <v>16</v>
      </c>
      <c r="C518" s="25" t="s">
        <v>849</v>
      </c>
      <c r="D518" s="25">
        <v>0</v>
      </c>
      <c r="E518" s="25" t="s">
        <v>850</v>
      </c>
      <c r="F518" s="26" t="str">
        <f t="shared" si="32"/>
        <v>PDIT821102</v>
      </c>
      <c r="G518" s="26">
        <f t="shared" si="33"/>
        <v>0</v>
      </c>
      <c r="H518" s="23" t="str">
        <f t="shared" si="34"/>
        <v>PDI821102IO.Mode</v>
      </c>
      <c r="I518" s="23">
        <f t="shared" si="35"/>
        <v>0</v>
      </c>
    </row>
    <row r="519" spans="2:9" hidden="1" x14ac:dyDescent="0.25">
      <c r="B519" s="25" t="s">
        <v>16</v>
      </c>
      <c r="C519" s="25" t="s">
        <v>851</v>
      </c>
      <c r="D519" s="25">
        <v>0</v>
      </c>
      <c r="E519" s="25" t="s">
        <v>852</v>
      </c>
      <c r="F519" s="26" t="str">
        <f t="shared" si="32"/>
        <v>PDT821829</v>
      </c>
      <c r="G519" s="26">
        <f t="shared" si="33"/>
        <v>0</v>
      </c>
      <c r="H519" s="23" t="str">
        <f t="shared" si="34"/>
        <v>PDI821829IO.Mode</v>
      </c>
      <c r="I519" s="23">
        <f t="shared" si="35"/>
        <v>0</v>
      </c>
    </row>
    <row r="520" spans="2:9" hidden="1" x14ac:dyDescent="0.25">
      <c r="B520" s="25" t="s">
        <v>16</v>
      </c>
      <c r="C520" s="25" t="s">
        <v>853</v>
      </c>
      <c r="D520" s="25">
        <v>0</v>
      </c>
      <c r="E520" s="25" t="s">
        <v>854</v>
      </c>
      <c r="F520" s="26" t="str">
        <f t="shared" si="32"/>
        <v>PDT830303</v>
      </c>
      <c r="G520" s="26">
        <f t="shared" si="33"/>
        <v>0</v>
      </c>
      <c r="H520" s="23" t="str">
        <f t="shared" si="34"/>
        <v>PDI830303_1oo2IO_MA1.Mode</v>
      </c>
      <c r="I520" s="23">
        <f t="shared" si="35"/>
        <v>0</v>
      </c>
    </row>
    <row r="521" spans="2:9" hidden="1" x14ac:dyDescent="0.25">
      <c r="B521" s="25" t="s">
        <v>16</v>
      </c>
      <c r="C521" s="25" t="s">
        <v>855</v>
      </c>
      <c r="D521" s="25">
        <v>0</v>
      </c>
      <c r="E521" s="25" t="s">
        <v>854</v>
      </c>
      <c r="F521" s="26" t="str">
        <f t="shared" si="32"/>
        <v>PDT830303</v>
      </c>
      <c r="G521" s="26">
        <f t="shared" si="33"/>
        <v>0</v>
      </c>
      <c r="H521" s="23" t="str">
        <f t="shared" si="34"/>
        <v>PDI830303_1oo2IO_MA2.Mode</v>
      </c>
      <c r="I521" s="23">
        <f t="shared" si="35"/>
        <v>0</v>
      </c>
    </row>
    <row r="522" spans="2:9" hidden="1" x14ac:dyDescent="0.25">
      <c r="B522" s="25" t="s">
        <v>16</v>
      </c>
      <c r="C522" s="25" t="s">
        <v>856</v>
      </c>
      <c r="D522" s="25">
        <v>0</v>
      </c>
      <c r="E522" s="25" t="s">
        <v>857</v>
      </c>
      <c r="F522" s="26" t="str">
        <f t="shared" si="32"/>
        <v>PDT830314</v>
      </c>
      <c r="G522" s="26">
        <f t="shared" si="33"/>
        <v>0</v>
      </c>
      <c r="H522" s="23" t="str">
        <f t="shared" si="34"/>
        <v>PDI830314_1oo2IO_MA1.Mode</v>
      </c>
      <c r="I522" s="23">
        <f t="shared" si="35"/>
        <v>0</v>
      </c>
    </row>
    <row r="523" spans="2:9" hidden="1" x14ac:dyDescent="0.25">
      <c r="B523" s="25" t="s">
        <v>16</v>
      </c>
      <c r="C523" s="25" t="s">
        <v>858</v>
      </c>
      <c r="D523" s="25">
        <v>0</v>
      </c>
      <c r="E523" s="25" t="s">
        <v>859</v>
      </c>
      <c r="F523" s="26" t="str">
        <f t="shared" si="32"/>
        <v>PDT830315</v>
      </c>
      <c r="G523" s="26">
        <f t="shared" si="33"/>
        <v>0</v>
      </c>
      <c r="H523" s="23" t="str">
        <f t="shared" si="34"/>
        <v>PDI830314_1oo2IO_MA2.Mode</v>
      </c>
      <c r="I523" s="23">
        <f t="shared" si="35"/>
        <v>0</v>
      </c>
    </row>
    <row r="524" spans="2:9" hidden="1" x14ac:dyDescent="0.25">
      <c r="B524" s="25" t="s">
        <v>16</v>
      </c>
      <c r="C524" s="25" t="s">
        <v>860</v>
      </c>
      <c r="D524" s="25">
        <v>0</v>
      </c>
      <c r="E524" s="25" t="s">
        <v>861</v>
      </c>
      <c r="F524" s="26" t="str">
        <f t="shared" si="32"/>
        <v>PDT840002</v>
      </c>
      <c r="G524" s="26">
        <f t="shared" si="33"/>
        <v>0</v>
      </c>
      <c r="H524" s="23" t="str">
        <f t="shared" si="34"/>
        <v>PDI840002IO.Mode</v>
      </c>
      <c r="I524" s="23">
        <f t="shared" si="35"/>
        <v>0</v>
      </c>
    </row>
    <row r="525" spans="2:9" hidden="1" x14ac:dyDescent="0.25">
      <c r="B525" s="25" t="s">
        <v>16</v>
      </c>
      <c r="C525" s="25" t="s">
        <v>862</v>
      </c>
      <c r="D525" s="25">
        <v>0</v>
      </c>
      <c r="E525" s="25" t="s">
        <v>863</v>
      </c>
      <c r="F525" s="26" t="str">
        <f t="shared" si="32"/>
        <v>PDT844002</v>
      </c>
      <c r="G525" s="26">
        <f t="shared" si="33"/>
        <v>0</v>
      </c>
      <c r="H525" s="23" t="str">
        <f t="shared" si="34"/>
        <v>PDI844002IO.Mode</v>
      </c>
      <c r="I525" s="23">
        <f t="shared" si="35"/>
        <v>0</v>
      </c>
    </row>
    <row r="526" spans="2:9" hidden="1" x14ac:dyDescent="0.25">
      <c r="B526" s="25" t="s">
        <v>16</v>
      </c>
      <c r="C526" s="25" t="s">
        <v>864</v>
      </c>
      <c r="D526" s="25">
        <v>0</v>
      </c>
      <c r="E526" s="25" t="s">
        <v>865</v>
      </c>
      <c r="F526" s="26" t="str">
        <f t="shared" si="32"/>
        <v>PDT844103A</v>
      </c>
      <c r="G526" s="26">
        <f t="shared" si="33"/>
        <v>0</v>
      </c>
      <c r="H526" s="23" t="str">
        <f t="shared" si="34"/>
        <v>PDI844103AIO.Mode</v>
      </c>
      <c r="I526" s="23">
        <f t="shared" si="35"/>
        <v>0</v>
      </c>
    </row>
    <row r="527" spans="2:9" hidden="1" x14ac:dyDescent="0.25">
      <c r="B527" s="25" t="s">
        <v>16</v>
      </c>
      <c r="C527" s="25" t="s">
        <v>866</v>
      </c>
      <c r="D527" s="25">
        <v>0</v>
      </c>
      <c r="E527" s="25" t="s">
        <v>867</v>
      </c>
      <c r="F527" s="26" t="str">
        <f t="shared" si="32"/>
        <v>PDT844103B</v>
      </c>
      <c r="G527" s="26">
        <f t="shared" si="33"/>
        <v>0</v>
      </c>
      <c r="H527" s="23" t="str">
        <f t="shared" si="34"/>
        <v>PDI844103BIO.Mode</v>
      </c>
      <c r="I527" s="23">
        <f t="shared" si="35"/>
        <v>0</v>
      </c>
    </row>
    <row r="528" spans="2:9" hidden="1" x14ac:dyDescent="0.25">
      <c r="B528" s="25" t="s">
        <v>16</v>
      </c>
      <c r="C528" s="25" t="s">
        <v>868</v>
      </c>
      <c r="D528" s="25">
        <v>0</v>
      </c>
      <c r="E528" s="25" t="s">
        <v>869</v>
      </c>
      <c r="F528" s="26" t="str">
        <f t="shared" si="32"/>
        <v>PDT845006</v>
      </c>
      <c r="G528" s="26">
        <f t="shared" si="33"/>
        <v>0</v>
      </c>
      <c r="H528" s="23" t="str">
        <f t="shared" si="34"/>
        <v>PDI845006IO.Mode</v>
      </c>
      <c r="I528" s="23">
        <f t="shared" si="35"/>
        <v>0</v>
      </c>
    </row>
    <row r="529" spans="2:9" x14ac:dyDescent="0.25">
      <c r="B529" s="25" t="s">
        <v>16</v>
      </c>
      <c r="C529" s="25" t="s">
        <v>1815</v>
      </c>
      <c r="D529" s="25">
        <v>0</v>
      </c>
      <c r="E529" s="25" t="s">
        <v>1816</v>
      </c>
      <c r="F529" s="26" t="str">
        <f t="shared" si="32"/>
        <v>PDT845208</v>
      </c>
      <c r="G529" s="26">
        <f t="shared" si="33"/>
        <v>2</v>
      </c>
      <c r="H529" s="23" t="str">
        <f t="shared" si="34"/>
        <v>PDI845208IO.Mode</v>
      </c>
      <c r="I529" s="23">
        <f t="shared" si="35"/>
        <v>2</v>
      </c>
    </row>
    <row r="530" spans="2:9" hidden="1" x14ac:dyDescent="0.25">
      <c r="B530" s="25" t="s">
        <v>16</v>
      </c>
      <c r="C530" s="25" t="s">
        <v>870</v>
      </c>
      <c r="D530" s="25">
        <v>0</v>
      </c>
      <c r="E530" s="25" t="s">
        <v>871</v>
      </c>
      <c r="F530" s="26" t="str">
        <f t="shared" si="32"/>
        <v>PDT850127</v>
      </c>
      <c r="G530" s="26">
        <f t="shared" si="33"/>
        <v>0</v>
      </c>
      <c r="H530" s="23" t="str">
        <f t="shared" si="34"/>
        <v>PDI850127IO.Mode</v>
      </c>
      <c r="I530" s="23">
        <f t="shared" si="35"/>
        <v>0</v>
      </c>
    </row>
    <row r="531" spans="2:9" x14ac:dyDescent="0.25">
      <c r="B531" s="25" t="s">
        <v>16</v>
      </c>
      <c r="C531" s="25" t="s">
        <v>1817</v>
      </c>
      <c r="D531" s="25">
        <v>0</v>
      </c>
      <c r="E531" s="25" t="s">
        <v>1818</v>
      </c>
      <c r="F531" s="26" t="str">
        <f t="shared" si="32"/>
        <v>PDT896009</v>
      </c>
      <c r="G531" s="26">
        <f t="shared" si="33"/>
        <v>2</v>
      </c>
      <c r="H531" s="23" t="str">
        <f t="shared" si="34"/>
        <v>PDI896009IO.Mode</v>
      </c>
      <c r="I531" s="23">
        <f t="shared" si="35"/>
        <v>2</v>
      </c>
    </row>
    <row r="532" spans="2:9" x14ac:dyDescent="0.25">
      <c r="B532" s="25" t="s">
        <v>16</v>
      </c>
      <c r="C532" s="25" t="s">
        <v>1819</v>
      </c>
      <c r="D532" s="25">
        <v>0</v>
      </c>
      <c r="E532" s="25" t="s">
        <v>1820</v>
      </c>
      <c r="F532" s="26" t="str">
        <f t="shared" si="32"/>
        <v>PDT896109</v>
      </c>
      <c r="G532" s="26">
        <f t="shared" si="33"/>
        <v>2</v>
      </c>
      <c r="H532" s="23" t="str">
        <f t="shared" si="34"/>
        <v>PDI896109IO.Mode</v>
      </c>
      <c r="I532" s="23">
        <f t="shared" si="35"/>
        <v>2</v>
      </c>
    </row>
    <row r="533" spans="2:9" hidden="1" x14ac:dyDescent="0.25">
      <c r="B533" s="25" t="s">
        <v>16</v>
      </c>
      <c r="C533" s="25" t="s">
        <v>872</v>
      </c>
      <c r="D533" s="25">
        <v>0</v>
      </c>
      <c r="E533" s="25" t="s">
        <v>873</v>
      </c>
      <c r="F533" s="26" t="str">
        <f t="shared" si="32"/>
        <v>PIT800017</v>
      </c>
      <c r="G533" s="26">
        <f t="shared" si="33"/>
        <v>0</v>
      </c>
      <c r="H533" s="23" t="str">
        <f t="shared" si="34"/>
        <v>PI800017IO.Mode</v>
      </c>
      <c r="I533" s="23">
        <f t="shared" si="35"/>
        <v>0</v>
      </c>
    </row>
    <row r="534" spans="2:9" hidden="1" x14ac:dyDescent="0.25">
      <c r="B534" s="25" t="s">
        <v>16</v>
      </c>
      <c r="C534" s="25" t="s">
        <v>874</v>
      </c>
      <c r="D534" s="25">
        <v>0</v>
      </c>
      <c r="E534" s="25" t="s">
        <v>875</v>
      </c>
      <c r="F534" s="26" t="str">
        <f t="shared" si="32"/>
        <v>PIT800020</v>
      </c>
      <c r="G534" s="26">
        <f t="shared" si="33"/>
        <v>0</v>
      </c>
      <c r="H534" s="23" t="str">
        <f t="shared" si="34"/>
        <v>PI800020IO.Mode</v>
      </c>
      <c r="I534" s="23">
        <f t="shared" si="35"/>
        <v>0</v>
      </c>
    </row>
    <row r="535" spans="2:9" x14ac:dyDescent="0.25">
      <c r="B535" s="25" t="s">
        <v>16</v>
      </c>
      <c r="C535" s="25" t="s">
        <v>1821</v>
      </c>
      <c r="D535" s="25">
        <v>0</v>
      </c>
      <c r="E535" s="25" t="s">
        <v>1822</v>
      </c>
      <c r="F535" s="26" t="str">
        <f t="shared" si="32"/>
        <v>PT800026</v>
      </c>
      <c r="G535" s="26">
        <f t="shared" si="33"/>
        <v>2</v>
      </c>
      <c r="H535" s="23" t="str">
        <f t="shared" si="34"/>
        <v>PI800026IO.Mode</v>
      </c>
      <c r="I535" s="23">
        <f t="shared" si="35"/>
        <v>2</v>
      </c>
    </row>
    <row r="536" spans="2:9" hidden="1" x14ac:dyDescent="0.25">
      <c r="B536" s="25" t="s">
        <v>16</v>
      </c>
      <c r="C536" s="25" t="s">
        <v>876</v>
      </c>
      <c r="D536" s="25">
        <v>0</v>
      </c>
      <c r="E536" s="25" t="s">
        <v>877</v>
      </c>
      <c r="F536" s="26" t="str">
        <f t="shared" si="32"/>
        <v>PIT800029</v>
      </c>
      <c r="G536" s="26">
        <f t="shared" si="33"/>
        <v>0</v>
      </c>
      <c r="H536" s="23" t="str">
        <f t="shared" si="34"/>
        <v>PI800029IO.Mode</v>
      </c>
      <c r="I536" s="23">
        <f t="shared" si="35"/>
        <v>0</v>
      </c>
    </row>
    <row r="537" spans="2:9" hidden="1" x14ac:dyDescent="0.25">
      <c r="B537" s="25" t="s">
        <v>16</v>
      </c>
      <c r="C537" s="25" t="s">
        <v>878</v>
      </c>
      <c r="D537" s="25">
        <v>0</v>
      </c>
      <c r="E537" s="25" t="s">
        <v>879</v>
      </c>
      <c r="F537" s="26" t="str">
        <f t="shared" si="32"/>
        <v>PIT800030</v>
      </c>
      <c r="G537" s="26">
        <f t="shared" si="33"/>
        <v>0</v>
      </c>
      <c r="H537" s="23" t="str">
        <f t="shared" si="34"/>
        <v>PI800030IO.Mode</v>
      </c>
      <c r="I537" s="23">
        <f t="shared" si="35"/>
        <v>0</v>
      </c>
    </row>
    <row r="538" spans="2:9" hidden="1" x14ac:dyDescent="0.25">
      <c r="B538" s="25" t="s">
        <v>16</v>
      </c>
      <c r="C538" s="25" t="s">
        <v>880</v>
      </c>
      <c r="D538" s="25">
        <v>0</v>
      </c>
      <c r="E538" s="25" t="s">
        <v>881</v>
      </c>
      <c r="F538" s="26" t="str">
        <f t="shared" si="32"/>
        <v>PIT800117</v>
      </c>
      <c r="G538" s="26">
        <f t="shared" si="33"/>
        <v>0</v>
      </c>
      <c r="H538" s="23" t="str">
        <f t="shared" si="34"/>
        <v>PI800117IO.Mode</v>
      </c>
      <c r="I538" s="23">
        <f t="shared" si="35"/>
        <v>0</v>
      </c>
    </row>
    <row r="539" spans="2:9" x14ac:dyDescent="0.25">
      <c r="B539" s="25" t="s">
        <v>16</v>
      </c>
      <c r="C539" s="25" t="s">
        <v>1823</v>
      </c>
      <c r="D539" s="25">
        <v>0</v>
      </c>
      <c r="E539" s="25" t="s">
        <v>1824</v>
      </c>
      <c r="F539" s="26" t="str">
        <f t="shared" si="32"/>
        <v>PT800121</v>
      </c>
      <c r="G539" s="26">
        <f t="shared" si="33"/>
        <v>2</v>
      </c>
      <c r="H539" s="23" t="str">
        <f t="shared" si="34"/>
        <v>PI800121IO.Mode</v>
      </c>
      <c r="I539" s="23">
        <f t="shared" si="35"/>
        <v>2</v>
      </c>
    </row>
    <row r="540" spans="2:9" hidden="1" x14ac:dyDescent="0.25">
      <c r="B540" s="25" t="s">
        <v>16</v>
      </c>
      <c r="C540" s="25" t="s">
        <v>882</v>
      </c>
      <c r="D540" s="25">
        <v>0</v>
      </c>
      <c r="E540" s="25" t="s">
        <v>883</v>
      </c>
      <c r="F540" s="26" t="str">
        <f t="shared" si="32"/>
        <v>PIT800124</v>
      </c>
      <c r="G540" s="26">
        <f t="shared" si="33"/>
        <v>0</v>
      </c>
      <c r="H540" s="23" t="str">
        <f t="shared" si="34"/>
        <v>PI800124IO.Mode</v>
      </c>
      <c r="I540" s="23">
        <f t="shared" si="35"/>
        <v>0</v>
      </c>
    </row>
    <row r="541" spans="2:9" hidden="1" x14ac:dyDescent="0.25">
      <c r="B541" s="25" t="s">
        <v>16</v>
      </c>
      <c r="C541" s="25" t="s">
        <v>884</v>
      </c>
      <c r="D541" s="25">
        <v>0</v>
      </c>
      <c r="E541" s="25" t="s">
        <v>885</v>
      </c>
      <c r="F541" s="26" t="str">
        <f t="shared" si="32"/>
        <v>PIT800204</v>
      </c>
      <c r="G541" s="26">
        <f t="shared" si="33"/>
        <v>0</v>
      </c>
      <c r="H541" s="23" t="str">
        <f t="shared" si="34"/>
        <v>PI800204IO.Mode</v>
      </c>
      <c r="I541" s="23">
        <f t="shared" si="35"/>
        <v>0</v>
      </c>
    </row>
    <row r="542" spans="2:9" hidden="1" x14ac:dyDescent="0.25">
      <c r="B542" s="25" t="s">
        <v>16</v>
      </c>
      <c r="C542" s="25" t="s">
        <v>886</v>
      </c>
      <c r="D542" s="25">
        <v>0</v>
      </c>
      <c r="E542" s="25" t="s">
        <v>887</v>
      </c>
      <c r="F542" s="26" t="str">
        <f t="shared" si="32"/>
        <v>PIT800206</v>
      </c>
      <c r="G542" s="26">
        <f t="shared" si="33"/>
        <v>0</v>
      </c>
      <c r="H542" s="23" t="str">
        <f t="shared" si="34"/>
        <v>PI800206IO.Mode</v>
      </c>
      <c r="I542" s="23">
        <f t="shared" si="35"/>
        <v>0</v>
      </c>
    </row>
    <row r="543" spans="2:9" hidden="1" x14ac:dyDescent="0.25">
      <c r="B543" s="25" t="s">
        <v>16</v>
      </c>
      <c r="C543" s="25" t="s">
        <v>888</v>
      </c>
      <c r="D543" s="25">
        <v>0</v>
      </c>
      <c r="E543" s="25" t="s">
        <v>889</v>
      </c>
      <c r="F543" s="26" t="str">
        <f t="shared" si="32"/>
        <v>PIT800207</v>
      </c>
      <c r="G543" s="26">
        <f t="shared" si="33"/>
        <v>0</v>
      </c>
      <c r="H543" s="23" t="str">
        <f t="shared" si="34"/>
        <v>PI800207IO.Mode</v>
      </c>
      <c r="I543" s="23">
        <f t="shared" si="35"/>
        <v>0</v>
      </c>
    </row>
    <row r="544" spans="2:9" hidden="1" x14ac:dyDescent="0.25">
      <c r="B544" s="25" t="s">
        <v>16</v>
      </c>
      <c r="C544" s="25" t="s">
        <v>890</v>
      </c>
      <c r="D544" s="25">
        <v>0</v>
      </c>
      <c r="E544" s="25" t="s">
        <v>891</v>
      </c>
      <c r="F544" s="26" t="str">
        <f t="shared" si="32"/>
        <v>PIT800303</v>
      </c>
      <c r="G544" s="26">
        <f t="shared" si="33"/>
        <v>0</v>
      </c>
      <c r="H544" s="23" t="str">
        <f t="shared" si="34"/>
        <v>PI800303IO.Mode</v>
      </c>
      <c r="I544" s="23">
        <f t="shared" si="35"/>
        <v>0</v>
      </c>
    </row>
    <row r="545" spans="2:9" hidden="1" x14ac:dyDescent="0.25">
      <c r="B545" s="25" t="s">
        <v>16</v>
      </c>
      <c r="C545" s="25" t="s">
        <v>892</v>
      </c>
      <c r="D545" s="25">
        <v>0</v>
      </c>
      <c r="E545" s="25" t="s">
        <v>893</v>
      </c>
      <c r="F545" s="26" t="str">
        <f t="shared" si="32"/>
        <v>PIT800307</v>
      </c>
      <c r="G545" s="26">
        <f t="shared" si="33"/>
        <v>0</v>
      </c>
      <c r="H545" s="23" t="str">
        <f t="shared" si="34"/>
        <v>PI800307IO.Mode</v>
      </c>
      <c r="I545" s="23">
        <f t="shared" si="35"/>
        <v>0</v>
      </c>
    </row>
    <row r="546" spans="2:9" hidden="1" x14ac:dyDescent="0.25">
      <c r="B546" s="25" t="s">
        <v>16</v>
      </c>
      <c r="C546" s="25" t="s">
        <v>894</v>
      </c>
      <c r="D546" s="25">
        <v>0</v>
      </c>
      <c r="E546" s="25" t="s">
        <v>895</v>
      </c>
      <c r="F546" s="26" t="str">
        <f t="shared" si="32"/>
        <v>PIT800310</v>
      </c>
      <c r="G546" s="26">
        <f t="shared" si="33"/>
        <v>0</v>
      </c>
      <c r="H546" s="23" t="str">
        <f t="shared" si="34"/>
        <v>PI800310IO.Mode</v>
      </c>
      <c r="I546" s="23">
        <f t="shared" si="35"/>
        <v>0</v>
      </c>
    </row>
    <row r="547" spans="2:9" hidden="1" x14ac:dyDescent="0.25">
      <c r="B547" s="25" t="s">
        <v>16</v>
      </c>
      <c r="C547" s="25" t="s">
        <v>896</v>
      </c>
      <c r="D547" s="25">
        <v>0</v>
      </c>
      <c r="E547" s="25" t="s">
        <v>897</v>
      </c>
      <c r="F547" s="26" t="str">
        <f t="shared" si="32"/>
        <v>PIT800403</v>
      </c>
      <c r="G547" s="26">
        <f t="shared" si="33"/>
        <v>0</v>
      </c>
      <c r="H547" s="23" t="str">
        <f t="shared" si="34"/>
        <v>PI800403IO.Mode</v>
      </c>
      <c r="I547" s="23">
        <f t="shared" si="35"/>
        <v>0</v>
      </c>
    </row>
    <row r="548" spans="2:9" hidden="1" x14ac:dyDescent="0.25">
      <c r="B548" s="25" t="s">
        <v>16</v>
      </c>
      <c r="C548" s="25" t="s">
        <v>898</v>
      </c>
      <c r="D548" s="25">
        <v>0</v>
      </c>
      <c r="E548" s="25" t="s">
        <v>899</v>
      </c>
      <c r="F548" s="26" t="str">
        <f t="shared" si="32"/>
        <v>PIT800407</v>
      </c>
      <c r="G548" s="26">
        <f t="shared" si="33"/>
        <v>0</v>
      </c>
      <c r="H548" s="23" t="str">
        <f t="shared" si="34"/>
        <v>PI800407IO.Mode</v>
      </c>
      <c r="I548" s="23">
        <f t="shared" si="35"/>
        <v>0</v>
      </c>
    </row>
    <row r="549" spans="2:9" hidden="1" x14ac:dyDescent="0.25">
      <c r="B549" s="25" t="s">
        <v>16</v>
      </c>
      <c r="C549" s="25" t="s">
        <v>900</v>
      </c>
      <c r="D549" s="25">
        <v>0</v>
      </c>
      <c r="E549" s="25" t="s">
        <v>901</v>
      </c>
      <c r="F549" s="26" t="str">
        <f t="shared" si="32"/>
        <v>PIT800503</v>
      </c>
      <c r="G549" s="26">
        <f t="shared" si="33"/>
        <v>0</v>
      </c>
      <c r="H549" s="23" t="str">
        <f t="shared" si="34"/>
        <v>PI800503IO.Mode</v>
      </c>
      <c r="I549" s="23">
        <f t="shared" si="35"/>
        <v>0</v>
      </c>
    </row>
    <row r="550" spans="2:9" hidden="1" x14ac:dyDescent="0.25">
      <c r="B550" s="25" t="s">
        <v>16</v>
      </c>
      <c r="C550" s="25" t="s">
        <v>902</v>
      </c>
      <c r="D550" s="25">
        <v>0</v>
      </c>
      <c r="E550" s="25" t="s">
        <v>903</v>
      </c>
      <c r="F550" s="26" t="str">
        <f t="shared" si="32"/>
        <v>PIT800507</v>
      </c>
      <c r="G550" s="26">
        <f t="shared" si="33"/>
        <v>0</v>
      </c>
      <c r="H550" s="23" t="str">
        <f t="shared" si="34"/>
        <v>PI800507IO.Mode</v>
      </c>
      <c r="I550" s="23">
        <f t="shared" si="35"/>
        <v>0</v>
      </c>
    </row>
    <row r="551" spans="2:9" hidden="1" x14ac:dyDescent="0.25">
      <c r="B551" s="25" t="s">
        <v>16</v>
      </c>
      <c r="C551" s="25" t="s">
        <v>904</v>
      </c>
      <c r="D551" s="25">
        <v>0</v>
      </c>
      <c r="E551" s="25" t="s">
        <v>905</v>
      </c>
      <c r="F551" s="26" t="str">
        <f t="shared" si="32"/>
        <v>PIT800603</v>
      </c>
      <c r="G551" s="26">
        <f t="shared" si="33"/>
        <v>0</v>
      </c>
      <c r="H551" s="23" t="str">
        <f t="shared" si="34"/>
        <v>PI800603IO.Mode</v>
      </c>
      <c r="I551" s="23">
        <f t="shared" si="35"/>
        <v>0</v>
      </c>
    </row>
    <row r="552" spans="2:9" hidden="1" x14ac:dyDescent="0.25">
      <c r="B552" s="25" t="s">
        <v>16</v>
      </c>
      <c r="C552" s="25" t="s">
        <v>906</v>
      </c>
      <c r="D552" s="25">
        <v>0</v>
      </c>
      <c r="E552" s="25" t="s">
        <v>907</v>
      </c>
      <c r="F552" s="26" t="str">
        <f t="shared" si="32"/>
        <v>PIT800607</v>
      </c>
      <c r="G552" s="26">
        <f t="shared" si="33"/>
        <v>0</v>
      </c>
      <c r="H552" s="23" t="str">
        <f t="shared" si="34"/>
        <v>PI800607IO.Mode</v>
      </c>
      <c r="I552" s="23">
        <f t="shared" si="35"/>
        <v>0</v>
      </c>
    </row>
    <row r="553" spans="2:9" hidden="1" x14ac:dyDescent="0.25">
      <c r="B553" s="25" t="s">
        <v>16</v>
      </c>
      <c r="C553" s="25" t="s">
        <v>908</v>
      </c>
      <c r="D553" s="25">
        <v>0</v>
      </c>
      <c r="E553" s="25" t="s">
        <v>909</v>
      </c>
      <c r="F553" s="26" t="str">
        <f t="shared" si="32"/>
        <v>PIT800704A</v>
      </c>
      <c r="G553" s="26">
        <f t="shared" si="33"/>
        <v>0</v>
      </c>
      <c r="H553" s="23" t="str">
        <f t="shared" si="34"/>
        <v>PI800704AIO.Mode</v>
      </c>
      <c r="I553" s="23">
        <f t="shared" si="35"/>
        <v>0</v>
      </c>
    </row>
    <row r="554" spans="2:9" hidden="1" x14ac:dyDescent="0.25">
      <c r="B554" s="25" t="s">
        <v>16</v>
      </c>
      <c r="C554" s="25" t="s">
        <v>910</v>
      </c>
      <c r="D554" s="25">
        <v>0</v>
      </c>
      <c r="E554" s="25" t="s">
        <v>911</v>
      </c>
      <c r="F554" s="26" t="str">
        <f t="shared" si="32"/>
        <v>PIT800704B</v>
      </c>
      <c r="G554" s="26">
        <f t="shared" si="33"/>
        <v>0</v>
      </c>
      <c r="H554" s="23" t="str">
        <f t="shared" si="34"/>
        <v>PI800704BIO.Mode</v>
      </c>
      <c r="I554" s="23">
        <f t="shared" si="35"/>
        <v>0</v>
      </c>
    </row>
    <row r="555" spans="2:9" hidden="1" x14ac:dyDescent="0.25">
      <c r="B555" s="25" t="s">
        <v>16</v>
      </c>
      <c r="C555" s="25" t="s">
        <v>912</v>
      </c>
      <c r="D555" s="25">
        <v>0</v>
      </c>
      <c r="E555" s="25" t="s">
        <v>913</v>
      </c>
      <c r="F555" s="26" t="str">
        <f t="shared" si="32"/>
        <v>PIT800803</v>
      </c>
      <c r="G555" s="26">
        <f t="shared" si="33"/>
        <v>0</v>
      </c>
      <c r="H555" s="23" t="str">
        <f t="shared" si="34"/>
        <v>PI800803IO.Mode</v>
      </c>
      <c r="I555" s="23">
        <f t="shared" si="35"/>
        <v>0</v>
      </c>
    </row>
    <row r="556" spans="2:9" hidden="1" x14ac:dyDescent="0.25">
      <c r="B556" s="25" t="s">
        <v>16</v>
      </c>
      <c r="C556" s="25" t="s">
        <v>914</v>
      </c>
      <c r="D556" s="25">
        <v>0</v>
      </c>
      <c r="E556" s="25" t="s">
        <v>915</v>
      </c>
      <c r="F556" s="26" t="str">
        <f t="shared" si="32"/>
        <v>PIT800807</v>
      </c>
      <c r="G556" s="26">
        <f t="shared" si="33"/>
        <v>0</v>
      </c>
      <c r="H556" s="23" t="str">
        <f t="shared" si="34"/>
        <v>PI800807IO.Mode</v>
      </c>
      <c r="I556" s="23">
        <f t="shared" si="35"/>
        <v>0</v>
      </c>
    </row>
    <row r="557" spans="2:9" hidden="1" x14ac:dyDescent="0.25">
      <c r="B557" s="25" t="s">
        <v>16</v>
      </c>
      <c r="C557" s="25" t="s">
        <v>916</v>
      </c>
      <c r="D557" s="25">
        <v>0</v>
      </c>
      <c r="E557" s="25" t="s">
        <v>917</v>
      </c>
      <c r="F557" s="26" t="str">
        <f t="shared" si="32"/>
        <v>PIT803003</v>
      </c>
      <c r="G557" s="26">
        <f t="shared" si="33"/>
        <v>0</v>
      </c>
      <c r="H557" s="23" t="str">
        <f t="shared" si="34"/>
        <v>PI803003IO.Mode</v>
      </c>
      <c r="I557" s="23">
        <f t="shared" si="35"/>
        <v>0</v>
      </c>
    </row>
    <row r="558" spans="2:9" hidden="1" x14ac:dyDescent="0.25">
      <c r="B558" s="25" t="s">
        <v>16</v>
      </c>
      <c r="C558" s="25" t="s">
        <v>918</v>
      </c>
      <c r="D558" s="25">
        <v>0</v>
      </c>
      <c r="E558" s="25" t="s">
        <v>919</v>
      </c>
      <c r="F558" s="26" t="str">
        <f t="shared" si="32"/>
        <v>PIT803007</v>
      </c>
      <c r="G558" s="26">
        <f t="shared" si="33"/>
        <v>0</v>
      </c>
      <c r="H558" s="23" t="str">
        <f t="shared" si="34"/>
        <v>PI803007IO.Mode</v>
      </c>
      <c r="I558" s="23">
        <f t="shared" si="35"/>
        <v>0</v>
      </c>
    </row>
    <row r="559" spans="2:9" hidden="1" x14ac:dyDescent="0.25">
      <c r="B559" s="25" t="s">
        <v>16</v>
      </c>
      <c r="C559" s="25" t="s">
        <v>920</v>
      </c>
      <c r="D559" s="25">
        <v>0</v>
      </c>
      <c r="E559" s="25" t="s">
        <v>921</v>
      </c>
      <c r="F559" s="26" t="str">
        <f t="shared" si="32"/>
        <v>PIT803103</v>
      </c>
      <c r="G559" s="26">
        <f t="shared" si="33"/>
        <v>0</v>
      </c>
      <c r="H559" s="23" t="str">
        <f t="shared" si="34"/>
        <v>PI803103IO.Mode</v>
      </c>
      <c r="I559" s="23">
        <f t="shared" si="35"/>
        <v>0</v>
      </c>
    </row>
    <row r="560" spans="2:9" hidden="1" x14ac:dyDescent="0.25">
      <c r="B560" s="25" t="s">
        <v>16</v>
      </c>
      <c r="C560" s="25" t="s">
        <v>922</v>
      </c>
      <c r="D560" s="25">
        <v>0</v>
      </c>
      <c r="E560" s="25" t="s">
        <v>923</v>
      </c>
      <c r="F560" s="26" t="str">
        <f t="shared" si="32"/>
        <v>PIT803107</v>
      </c>
      <c r="G560" s="26">
        <f t="shared" si="33"/>
        <v>0</v>
      </c>
      <c r="H560" s="23" t="str">
        <f t="shared" si="34"/>
        <v>PI803107IO.Mode</v>
      </c>
      <c r="I560" s="23">
        <f t="shared" si="35"/>
        <v>0</v>
      </c>
    </row>
    <row r="561" spans="2:9" hidden="1" x14ac:dyDescent="0.25">
      <c r="B561" s="25" t="s">
        <v>16</v>
      </c>
      <c r="C561" s="25" t="s">
        <v>924</v>
      </c>
      <c r="D561" s="25">
        <v>0</v>
      </c>
      <c r="E561" s="25" t="s">
        <v>925</v>
      </c>
      <c r="F561" s="26" t="str">
        <f t="shared" si="32"/>
        <v>PIT803203</v>
      </c>
      <c r="G561" s="26">
        <f t="shared" si="33"/>
        <v>0</v>
      </c>
      <c r="H561" s="23" t="str">
        <f t="shared" si="34"/>
        <v>PI803203IO.Mode</v>
      </c>
      <c r="I561" s="23">
        <f t="shared" si="35"/>
        <v>0</v>
      </c>
    </row>
    <row r="562" spans="2:9" hidden="1" x14ac:dyDescent="0.25">
      <c r="B562" s="25" t="s">
        <v>16</v>
      </c>
      <c r="C562" s="25" t="s">
        <v>926</v>
      </c>
      <c r="D562" s="25">
        <v>0</v>
      </c>
      <c r="E562" s="25" t="s">
        <v>927</v>
      </c>
      <c r="F562" s="26" t="str">
        <f t="shared" ref="F562:F625" si="36">+LEFT(E562,FIND(".",E562,1)-1)</f>
        <v>PIT803207</v>
      </c>
      <c r="G562" s="26">
        <f t="shared" si="33"/>
        <v>0</v>
      </c>
      <c r="H562" s="23" t="str">
        <f t="shared" si="34"/>
        <v>PI803207IO.Mode</v>
      </c>
      <c r="I562" s="23">
        <f t="shared" ref="I562:I625" si="37">+G562</f>
        <v>0</v>
      </c>
    </row>
    <row r="563" spans="2:9" hidden="1" x14ac:dyDescent="0.25">
      <c r="B563" s="25" t="s">
        <v>16</v>
      </c>
      <c r="C563" s="25" t="s">
        <v>928</v>
      </c>
      <c r="D563" s="25">
        <v>0</v>
      </c>
      <c r="E563" s="25" t="s">
        <v>929</v>
      </c>
      <c r="F563" s="26" t="str">
        <f t="shared" si="36"/>
        <v>PIT803410</v>
      </c>
      <c r="G563" s="26">
        <f t="shared" si="33"/>
        <v>0</v>
      </c>
      <c r="H563" s="23" t="str">
        <f t="shared" si="34"/>
        <v>PI803410IO.Mode</v>
      </c>
      <c r="I563" s="23">
        <f t="shared" si="37"/>
        <v>0</v>
      </c>
    </row>
    <row r="564" spans="2:9" hidden="1" x14ac:dyDescent="0.25">
      <c r="B564" s="25" t="s">
        <v>16</v>
      </c>
      <c r="C564" s="25" t="s">
        <v>930</v>
      </c>
      <c r="D564" s="25">
        <v>0</v>
      </c>
      <c r="E564" s="25" t="s">
        <v>931</v>
      </c>
      <c r="F564" s="26" t="str">
        <f t="shared" si="36"/>
        <v>PIT803411</v>
      </c>
      <c r="G564" s="26">
        <f t="shared" si="33"/>
        <v>0</v>
      </c>
      <c r="H564" s="23" t="str">
        <f t="shared" si="34"/>
        <v>PI803411IO.Mode</v>
      </c>
      <c r="I564" s="23">
        <f t="shared" si="37"/>
        <v>0</v>
      </c>
    </row>
    <row r="565" spans="2:9" hidden="1" x14ac:dyDescent="0.25">
      <c r="B565" s="25" t="s">
        <v>16</v>
      </c>
      <c r="C565" s="25" t="s">
        <v>932</v>
      </c>
      <c r="D565" s="25">
        <v>0</v>
      </c>
      <c r="E565" s="25" t="s">
        <v>933</v>
      </c>
      <c r="F565" s="26" t="str">
        <f t="shared" si="36"/>
        <v>PIT803412</v>
      </c>
      <c r="G565" s="26">
        <f t="shared" si="33"/>
        <v>0</v>
      </c>
      <c r="H565" s="23" t="str">
        <f t="shared" si="34"/>
        <v>PI803412IO.Mode</v>
      </c>
      <c r="I565" s="23">
        <f t="shared" si="37"/>
        <v>0</v>
      </c>
    </row>
    <row r="566" spans="2:9" hidden="1" x14ac:dyDescent="0.25">
      <c r="B566" s="25" t="s">
        <v>16</v>
      </c>
      <c r="C566" s="25" t="s">
        <v>934</v>
      </c>
      <c r="D566" s="25">
        <v>0</v>
      </c>
      <c r="E566" s="25" t="s">
        <v>935</v>
      </c>
      <c r="F566" s="26" t="str">
        <f t="shared" si="36"/>
        <v>PIT803504</v>
      </c>
      <c r="G566" s="26">
        <f t="shared" si="33"/>
        <v>0</v>
      </c>
      <c r="H566" s="23" t="str">
        <f t="shared" si="34"/>
        <v>PI803504IO.Mode</v>
      </c>
      <c r="I566" s="23">
        <f t="shared" si="37"/>
        <v>0</v>
      </c>
    </row>
    <row r="567" spans="2:9" hidden="1" x14ac:dyDescent="0.25">
      <c r="B567" s="25" t="s">
        <v>16</v>
      </c>
      <c r="C567" s="25" t="s">
        <v>936</v>
      </c>
      <c r="D567" s="25">
        <v>0</v>
      </c>
      <c r="E567" s="25" t="s">
        <v>937</v>
      </c>
      <c r="F567" s="26" t="str">
        <f t="shared" si="36"/>
        <v>PIT803514</v>
      </c>
      <c r="G567" s="26">
        <f t="shared" si="33"/>
        <v>0</v>
      </c>
      <c r="H567" s="23" t="str">
        <f t="shared" si="34"/>
        <v>PI803514IO.Mode</v>
      </c>
      <c r="I567" s="23">
        <f t="shared" si="37"/>
        <v>0</v>
      </c>
    </row>
    <row r="568" spans="2:9" x14ac:dyDescent="0.25">
      <c r="B568" s="25" t="s">
        <v>16</v>
      </c>
      <c r="C568" s="25" t="s">
        <v>1825</v>
      </c>
      <c r="D568" s="25">
        <v>2</v>
      </c>
      <c r="E568" s="25" t="s">
        <v>1826</v>
      </c>
      <c r="F568" s="26" t="str">
        <f t="shared" si="36"/>
        <v>PT803514</v>
      </c>
      <c r="G568" s="26">
        <f t="shared" si="33"/>
        <v>2</v>
      </c>
      <c r="H568" s="23" t="str">
        <f t="shared" si="34"/>
        <v>PI803514IO1.Mode</v>
      </c>
      <c r="I568" s="23">
        <f t="shared" si="37"/>
        <v>2</v>
      </c>
    </row>
    <row r="569" spans="2:9" hidden="1" x14ac:dyDescent="0.25">
      <c r="B569" s="25" t="s">
        <v>16</v>
      </c>
      <c r="C569" s="25" t="s">
        <v>938</v>
      </c>
      <c r="D569" s="25">
        <v>0</v>
      </c>
      <c r="E569" s="25" t="s">
        <v>939</v>
      </c>
      <c r="F569" s="26" t="str">
        <f t="shared" si="36"/>
        <v>PIT803607</v>
      </c>
      <c r="G569" s="26">
        <f t="shared" si="33"/>
        <v>0</v>
      </c>
      <c r="H569" s="23" t="str">
        <f t="shared" si="34"/>
        <v>PI803607IO.Mode</v>
      </c>
      <c r="I569" s="23">
        <f t="shared" si="37"/>
        <v>0</v>
      </c>
    </row>
    <row r="570" spans="2:9" hidden="1" x14ac:dyDescent="0.25">
      <c r="B570" s="25" t="s">
        <v>16</v>
      </c>
      <c r="C570" s="25" t="s">
        <v>940</v>
      </c>
      <c r="D570" s="25">
        <v>0</v>
      </c>
      <c r="E570" s="25" t="s">
        <v>941</v>
      </c>
      <c r="F570" s="26" t="str">
        <f t="shared" si="36"/>
        <v>PIT803608</v>
      </c>
      <c r="G570" s="26">
        <f t="shared" si="33"/>
        <v>0</v>
      </c>
      <c r="H570" s="23" t="str">
        <f t="shared" si="34"/>
        <v>PI803608IO.Mode</v>
      </c>
      <c r="I570" s="23">
        <f t="shared" si="37"/>
        <v>0</v>
      </c>
    </row>
    <row r="571" spans="2:9" hidden="1" x14ac:dyDescent="0.25">
      <c r="B571" s="25" t="s">
        <v>16</v>
      </c>
      <c r="C571" s="25" t="s">
        <v>942</v>
      </c>
      <c r="D571" s="25">
        <v>0</v>
      </c>
      <c r="E571" s="25" t="s">
        <v>943</v>
      </c>
      <c r="F571" s="26" t="str">
        <f t="shared" si="36"/>
        <v>PIT805004</v>
      </c>
      <c r="G571" s="26">
        <f t="shared" si="33"/>
        <v>0</v>
      </c>
      <c r="H571" s="23" t="str">
        <f t="shared" si="34"/>
        <v>PI805004IO.Mode</v>
      </c>
      <c r="I571" s="23">
        <f t="shared" si="37"/>
        <v>0</v>
      </c>
    </row>
    <row r="572" spans="2:9" hidden="1" x14ac:dyDescent="0.25">
      <c r="B572" s="25" t="s">
        <v>16</v>
      </c>
      <c r="C572" s="25" t="s">
        <v>944</v>
      </c>
      <c r="D572" s="25">
        <v>0</v>
      </c>
      <c r="E572" s="25" t="s">
        <v>945</v>
      </c>
      <c r="F572" s="26" t="str">
        <f t="shared" si="36"/>
        <v>PIT805007</v>
      </c>
      <c r="G572" s="26">
        <f t="shared" si="33"/>
        <v>0</v>
      </c>
      <c r="H572" s="23" t="str">
        <f t="shared" si="34"/>
        <v>PI805007IO.Mode</v>
      </c>
      <c r="I572" s="23">
        <f t="shared" si="37"/>
        <v>0</v>
      </c>
    </row>
    <row r="573" spans="2:9" hidden="1" x14ac:dyDescent="0.25">
      <c r="B573" s="25" t="s">
        <v>16</v>
      </c>
      <c r="C573" s="25" t="s">
        <v>946</v>
      </c>
      <c r="D573" s="25">
        <v>0</v>
      </c>
      <c r="E573" s="25" t="s">
        <v>947</v>
      </c>
      <c r="F573" s="26" t="str">
        <f t="shared" si="36"/>
        <v>PIT805015</v>
      </c>
      <c r="G573" s="26">
        <f t="shared" si="33"/>
        <v>0</v>
      </c>
      <c r="H573" s="23" t="str">
        <f t="shared" si="34"/>
        <v>PI805015IO.Mode</v>
      </c>
      <c r="I573" s="23">
        <f t="shared" si="37"/>
        <v>0</v>
      </c>
    </row>
    <row r="574" spans="2:9" hidden="1" x14ac:dyDescent="0.25">
      <c r="B574" s="25" t="s">
        <v>16</v>
      </c>
      <c r="C574" s="25" t="s">
        <v>948</v>
      </c>
      <c r="D574" s="25">
        <v>0</v>
      </c>
      <c r="E574" s="25" t="s">
        <v>949</v>
      </c>
      <c r="F574" s="26" t="str">
        <f t="shared" si="36"/>
        <v>PIT805023</v>
      </c>
      <c r="G574" s="26">
        <f t="shared" si="33"/>
        <v>0</v>
      </c>
      <c r="H574" s="23" t="str">
        <f t="shared" si="34"/>
        <v>PI805023IO.Mode</v>
      </c>
      <c r="I574" s="23">
        <f t="shared" si="37"/>
        <v>0</v>
      </c>
    </row>
    <row r="575" spans="2:9" hidden="1" x14ac:dyDescent="0.25">
      <c r="B575" s="25" t="s">
        <v>16</v>
      </c>
      <c r="C575" s="25" t="s">
        <v>950</v>
      </c>
      <c r="D575" s="25">
        <v>0</v>
      </c>
      <c r="E575" s="25" t="s">
        <v>951</v>
      </c>
      <c r="F575" s="26" t="str">
        <f t="shared" si="36"/>
        <v>PIT807001A</v>
      </c>
      <c r="G575" s="26">
        <f t="shared" si="33"/>
        <v>0</v>
      </c>
      <c r="H575" s="23" t="str">
        <f t="shared" si="34"/>
        <v>PI807001AIO.Mode</v>
      </c>
      <c r="I575" s="23">
        <f t="shared" si="37"/>
        <v>0</v>
      </c>
    </row>
    <row r="576" spans="2:9" hidden="1" x14ac:dyDescent="0.25">
      <c r="B576" s="25" t="s">
        <v>16</v>
      </c>
      <c r="C576" s="25" t="s">
        <v>952</v>
      </c>
      <c r="D576" s="25">
        <v>0</v>
      </c>
      <c r="E576" s="25" t="s">
        <v>953</v>
      </c>
      <c r="F576" s="26" t="str">
        <f t="shared" si="36"/>
        <v>PIT807001B</v>
      </c>
      <c r="G576" s="26">
        <f t="shared" si="33"/>
        <v>0</v>
      </c>
      <c r="H576" s="23" t="str">
        <f t="shared" si="34"/>
        <v>PI807001BIO.Mode</v>
      </c>
      <c r="I576" s="23">
        <f t="shared" si="37"/>
        <v>0</v>
      </c>
    </row>
    <row r="577" spans="2:9" hidden="1" x14ac:dyDescent="0.25">
      <c r="B577" s="25" t="s">
        <v>16</v>
      </c>
      <c r="C577" s="25" t="s">
        <v>954</v>
      </c>
      <c r="D577" s="25">
        <v>0</v>
      </c>
      <c r="E577" s="25" t="s">
        <v>955</v>
      </c>
      <c r="F577" s="26" t="str">
        <f t="shared" si="36"/>
        <v>PIT807013</v>
      </c>
      <c r="G577" s="26">
        <f t="shared" si="33"/>
        <v>0</v>
      </c>
      <c r="H577" s="23" t="str">
        <f t="shared" si="34"/>
        <v>PI807013IO.Mode</v>
      </c>
      <c r="I577" s="23">
        <f t="shared" si="37"/>
        <v>0</v>
      </c>
    </row>
    <row r="578" spans="2:9" x14ac:dyDescent="0.25">
      <c r="B578" s="25" t="s">
        <v>16</v>
      </c>
      <c r="C578" s="25" t="s">
        <v>1827</v>
      </c>
      <c r="D578" s="25">
        <v>0</v>
      </c>
      <c r="E578" s="25" t="s">
        <v>1828</v>
      </c>
      <c r="F578" s="26" t="str">
        <f t="shared" si="36"/>
        <v>PT807028</v>
      </c>
      <c r="G578" s="26">
        <f t="shared" ref="G578:G641" si="38">+IFERROR(IF(VLOOKUP(F578,DI,2,FALSE)="IO",2,0),"N/A")</f>
        <v>2</v>
      </c>
      <c r="H578" s="23" t="str">
        <f t="shared" ref="H578:H641" si="39">+CONCATENATE(C578,".Mode")</f>
        <v>PI807028IO.Mode</v>
      </c>
      <c r="I578" s="23">
        <f t="shared" si="37"/>
        <v>2</v>
      </c>
    </row>
    <row r="579" spans="2:9" hidden="1" x14ac:dyDescent="0.25">
      <c r="B579" s="25" t="s">
        <v>16</v>
      </c>
      <c r="C579" s="25" t="s">
        <v>956</v>
      </c>
      <c r="D579" s="25">
        <v>0</v>
      </c>
      <c r="E579" s="25" t="s">
        <v>957</v>
      </c>
      <c r="F579" s="26" t="str">
        <f t="shared" si="36"/>
        <v>PIT808109</v>
      </c>
      <c r="G579" s="26">
        <f t="shared" si="38"/>
        <v>0</v>
      </c>
      <c r="H579" s="23" t="str">
        <f t="shared" si="39"/>
        <v>PI808109IO.Mode</v>
      </c>
      <c r="I579" s="23">
        <f t="shared" si="37"/>
        <v>0</v>
      </c>
    </row>
    <row r="580" spans="2:9" x14ac:dyDescent="0.25">
      <c r="B580" s="25" t="s">
        <v>16</v>
      </c>
      <c r="C580" s="25" t="s">
        <v>1829</v>
      </c>
      <c r="D580" s="25">
        <v>0</v>
      </c>
      <c r="E580" s="25" t="s">
        <v>1830</v>
      </c>
      <c r="F580" s="26" t="str">
        <f t="shared" si="36"/>
        <v>PT808122</v>
      </c>
      <c r="G580" s="26">
        <f t="shared" si="38"/>
        <v>2</v>
      </c>
      <c r="H580" s="23" t="str">
        <f t="shared" si="39"/>
        <v>PI808122IO.Mode</v>
      </c>
      <c r="I580" s="23">
        <f t="shared" si="37"/>
        <v>2</v>
      </c>
    </row>
    <row r="581" spans="2:9" hidden="1" x14ac:dyDescent="0.25">
      <c r="B581" s="25" t="s">
        <v>16</v>
      </c>
      <c r="C581" s="25" t="s">
        <v>958</v>
      </c>
      <c r="D581" s="25">
        <v>0</v>
      </c>
      <c r="E581" s="25" t="s">
        <v>959</v>
      </c>
      <c r="F581" s="26" t="str">
        <f t="shared" si="36"/>
        <v>PIT808203</v>
      </c>
      <c r="G581" s="26">
        <f t="shared" si="38"/>
        <v>0</v>
      </c>
      <c r="H581" s="23" t="str">
        <f t="shared" si="39"/>
        <v>PI808203IO.Mode</v>
      </c>
      <c r="I581" s="23">
        <f t="shared" si="37"/>
        <v>0</v>
      </c>
    </row>
    <row r="582" spans="2:9" hidden="1" x14ac:dyDescent="0.25">
      <c r="B582" s="25" t="s">
        <v>16</v>
      </c>
      <c r="C582" s="25" t="s">
        <v>960</v>
      </c>
      <c r="D582" s="25">
        <v>0</v>
      </c>
      <c r="E582" s="25" t="s">
        <v>961</v>
      </c>
      <c r="F582" s="26" t="str">
        <f t="shared" si="36"/>
        <v>PIT808207</v>
      </c>
      <c r="G582" s="26">
        <f t="shared" si="38"/>
        <v>0</v>
      </c>
      <c r="H582" s="23" t="str">
        <f t="shared" si="39"/>
        <v>PI808207IO.Mode</v>
      </c>
      <c r="I582" s="23">
        <f t="shared" si="37"/>
        <v>0</v>
      </c>
    </row>
    <row r="583" spans="2:9" hidden="1" x14ac:dyDescent="0.25">
      <c r="B583" s="25" t="s">
        <v>16</v>
      </c>
      <c r="C583" s="25" t="s">
        <v>962</v>
      </c>
      <c r="D583" s="25">
        <v>0</v>
      </c>
      <c r="E583" s="25" t="s">
        <v>963</v>
      </c>
      <c r="F583" s="26" t="str">
        <f t="shared" si="36"/>
        <v>PIT808307</v>
      </c>
      <c r="G583" s="26">
        <f t="shared" si="38"/>
        <v>0</v>
      </c>
      <c r="H583" s="23" t="str">
        <f t="shared" si="39"/>
        <v>PI808307IO.Mode</v>
      </c>
      <c r="I583" s="23">
        <f t="shared" si="37"/>
        <v>0</v>
      </c>
    </row>
    <row r="584" spans="2:9" hidden="1" x14ac:dyDescent="0.25">
      <c r="B584" s="25" t="s">
        <v>16</v>
      </c>
      <c r="C584" s="25" t="s">
        <v>964</v>
      </c>
      <c r="D584" s="25">
        <v>0</v>
      </c>
      <c r="E584" s="25" t="s">
        <v>965</v>
      </c>
      <c r="F584" s="26" t="str">
        <f t="shared" si="36"/>
        <v>PIT808311</v>
      </c>
      <c r="G584" s="26">
        <f t="shared" si="38"/>
        <v>0</v>
      </c>
      <c r="H584" s="23" t="str">
        <f t="shared" si="39"/>
        <v>PI808311IO.Mode</v>
      </c>
      <c r="I584" s="23">
        <f t="shared" si="37"/>
        <v>0</v>
      </c>
    </row>
    <row r="585" spans="2:9" hidden="1" x14ac:dyDescent="0.25">
      <c r="B585" s="25" t="s">
        <v>16</v>
      </c>
      <c r="C585" s="25" t="s">
        <v>966</v>
      </c>
      <c r="D585" s="25">
        <v>0</v>
      </c>
      <c r="E585" s="25" t="s">
        <v>967</v>
      </c>
      <c r="F585" s="26" t="str">
        <f t="shared" si="36"/>
        <v>PIT809003</v>
      </c>
      <c r="G585" s="26">
        <f t="shared" si="38"/>
        <v>0</v>
      </c>
      <c r="H585" s="23" t="str">
        <f t="shared" si="39"/>
        <v>PI809003IO.Mode</v>
      </c>
      <c r="I585" s="23">
        <f t="shared" si="37"/>
        <v>0</v>
      </c>
    </row>
    <row r="586" spans="2:9" hidden="1" x14ac:dyDescent="0.25">
      <c r="B586" s="25" t="s">
        <v>16</v>
      </c>
      <c r="C586" s="25" t="s">
        <v>968</v>
      </c>
      <c r="D586" s="25">
        <v>0</v>
      </c>
      <c r="E586" s="25" t="s">
        <v>969</v>
      </c>
      <c r="F586" s="26" t="str">
        <f t="shared" si="36"/>
        <v>PIT809007</v>
      </c>
      <c r="G586" s="26">
        <f t="shared" si="38"/>
        <v>0</v>
      </c>
      <c r="H586" s="23" t="str">
        <f t="shared" si="39"/>
        <v>PI809007IO.Mode</v>
      </c>
      <c r="I586" s="23">
        <f t="shared" si="37"/>
        <v>0</v>
      </c>
    </row>
    <row r="587" spans="2:9" hidden="1" x14ac:dyDescent="0.25">
      <c r="B587" s="25" t="s">
        <v>16</v>
      </c>
      <c r="C587" s="25" t="s">
        <v>970</v>
      </c>
      <c r="D587" s="25">
        <v>0</v>
      </c>
      <c r="E587" s="25" t="s">
        <v>971</v>
      </c>
      <c r="F587" s="26" t="str">
        <f t="shared" si="36"/>
        <v>PIT809103</v>
      </c>
      <c r="G587" s="26">
        <f t="shared" si="38"/>
        <v>0</v>
      </c>
      <c r="H587" s="23" t="str">
        <f t="shared" si="39"/>
        <v>PI809103IO.Mode</v>
      </c>
      <c r="I587" s="23">
        <f t="shared" si="37"/>
        <v>0</v>
      </c>
    </row>
    <row r="588" spans="2:9" hidden="1" x14ac:dyDescent="0.25">
      <c r="B588" s="25" t="s">
        <v>16</v>
      </c>
      <c r="C588" s="25" t="s">
        <v>972</v>
      </c>
      <c r="D588" s="25">
        <v>0</v>
      </c>
      <c r="E588" s="25" t="s">
        <v>973</v>
      </c>
      <c r="F588" s="26" t="str">
        <f t="shared" si="36"/>
        <v>PIT809107</v>
      </c>
      <c r="G588" s="26">
        <f t="shared" si="38"/>
        <v>0</v>
      </c>
      <c r="H588" s="23" t="str">
        <f t="shared" si="39"/>
        <v>PI809107IO.Mode</v>
      </c>
      <c r="I588" s="23">
        <f t="shared" si="37"/>
        <v>0</v>
      </c>
    </row>
    <row r="589" spans="2:9" hidden="1" x14ac:dyDescent="0.25">
      <c r="B589" s="25" t="s">
        <v>16</v>
      </c>
      <c r="C589" s="25" t="s">
        <v>974</v>
      </c>
      <c r="D589" s="25">
        <v>0</v>
      </c>
      <c r="E589" s="25" t="s">
        <v>975</v>
      </c>
      <c r="F589" s="26" t="str">
        <f t="shared" si="36"/>
        <v>PIT809203</v>
      </c>
      <c r="G589" s="26">
        <f t="shared" si="38"/>
        <v>0</v>
      </c>
      <c r="H589" s="23" t="str">
        <f t="shared" si="39"/>
        <v>PI809203IO.Mode</v>
      </c>
      <c r="I589" s="23">
        <f t="shared" si="37"/>
        <v>0</v>
      </c>
    </row>
    <row r="590" spans="2:9" hidden="1" x14ac:dyDescent="0.25">
      <c r="B590" s="25" t="s">
        <v>16</v>
      </c>
      <c r="C590" s="25" t="s">
        <v>976</v>
      </c>
      <c r="D590" s="25">
        <v>0</v>
      </c>
      <c r="E590" s="25" t="s">
        <v>977</v>
      </c>
      <c r="F590" s="26" t="str">
        <f t="shared" si="36"/>
        <v>PIT809207</v>
      </c>
      <c r="G590" s="26">
        <f t="shared" si="38"/>
        <v>0</v>
      </c>
      <c r="H590" s="23" t="str">
        <f t="shared" si="39"/>
        <v>PI809207IO.Mode</v>
      </c>
      <c r="I590" s="23">
        <f t="shared" si="37"/>
        <v>0</v>
      </c>
    </row>
    <row r="591" spans="2:9" hidden="1" x14ac:dyDescent="0.25">
      <c r="B591" s="25" t="s">
        <v>16</v>
      </c>
      <c r="C591" s="25" t="s">
        <v>978</v>
      </c>
      <c r="D591" s="25">
        <v>0</v>
      </c>
      <c r="E591" s="25" t="s">
        <v>979</v>
      </c>
      <c r="F591" s="26" t="str">
        <f t="shared" si="36"/>
        <v>PIT810007</v>
      </c>
      <c r="G591" s="26">
        <f t="shared" si="38"/>
        <v>0</v>
      </c>
      <c r="H591" s="23" t="str">
        <f t="shared" si="39"/>
        <v>PI810007IO.Mode</v>
      </c>
      <c r="I591" s="23">
        <f t="shared" si="37"/>
        <v>0</v>
      </c>
    </row>
    <row r="592" spans="2:9" hidden="1" x14ac:dyDescent="0.25">
      <c r="B592" s="25" t="s">
        <v>16</v>
      </c>
      <c r="C592" s="25" t="s">
        <v>980</v>
      </c>
      <c r="D592" s="25">
        <v>0</v>
      </c>
      <c r="E592" s="25" t="s">
        <v>981</v>
      </c>
      <c r="F592" s="26" t="str">
        <f t="shared" si="36"/>
        <v>PIT810108</v>
      </c>
      <c r="G592" s="26">
        <f t="shared" si="38"/>
        <v>0</v>
      </c>
      <c r="H592" s="23" t="str">
        <f t="shared" si="39"/>
        <v>PI810108IO.Mode</v>
      </c>
      <c r="I592" s="23">
        <f t="shared" si="37"/>
        <v>0</v>
      </c>
    </row>
    <row r="593" spans="2:9" hidden="1" x14ac:dyDescent="0.25">
      <c r="B593" s="25" t="s">
        <v>16</v>
      </c>
      <c r="C593" s="25" t="s">
        <v>982</v>
      </c>
      <c r="D593" s="25">
        <v>0</v>
      </c>
      <c r="E593" s="25" t="s">
        <v>983</v>
      </c>
      <c r="F593" s="26" t="str">
        <f t="shared" si="36"/>
        <v>PIT810401A</v>
      </c>
      <c r="G593" s="26">
        <f t="shared" si="38"/>
        <v>0</v>
      </c>
      <c r="H593" s="23" t="str">
        <f t="shared" si="39"/>
        <v>PI810401A_1oo2IO_MA1.Mode</v>
      </c>
      <c r="I593" s="23">
        <f t="shared" si="37"/>
        <v>0</v>
      </c>
    </row>
    <row r="594" spans="2:9" hidden="1" x14ac:dyDescent="0.25">
      <c r="B594" s="25" t="s">
        <v>16</v>
      </c>
      <c r="C594" s="25" t="s">
        <v>984</v>
      </c>
      <c r="D594" s="25">
        <v>0</v>
      </c>
      <c r="E594" s="25" t="s">
        <v>985</v>
      </c>
      <c r="F594" s="26" t="str">
        <f t="shared" si="36"/>
        <v>PIT810401B</v>
      </c>
      <c r="G594" s="26">
        <f t="shared" si="38"/>
        <v>0</v>
      </c>
      <c r="H594" s="23" t="str">
        <f t="shared" si="39"/>
        <v>PI810401A_1oo2IO_MA2.Mode</v>
      </c>
      <c r="I594" s="23">
        <f t="shared" si="37"/>
        <v>0</v>
      </c>
    </row>
    <row r="595" spans="2:9" hidden="1" x14ac:dyDescent="0.25">
      <c r="B595" s="25" t="s">
        <v>16</v>
      </c>
      <c r="C595" s="25" t="s">
        <v>986</v>
      </c>
      <c r="D595" s="25">
        <v>0</v>
      </c>
      <c r="E595" s="25" t="s">
        <v>987</v>
      </c>
      <c r="F595" s="26" t="str">
        <f t="shared" si="36"/>
        <v>PIT810405</v>
      </c>
      <c r="G595" s="26">
        <f t="shared" si="38"/>
        <v>0</v>
      </c>
      <c r="H595" s="23" t="str">
        <f t="shared" si="39"/>
        <v>PI810405IO.Mode</v>
      </c>
      <c r="I595" s="23">
        <f t="shared" si="37"/>
        <v>0</v>
      </c>
    </row>
    <row r="596" spans="2:9" hidden="1" x14ac:dyDescent="0.25">
      <c r="B596" s="25" t="s">
        <v>16</v>
      </c>
      <c r="C596" s="25" t="s">
        <v>988</v>
      </c>
      <c r="D596" s="25">
        <v>0</v>
      </c>
      <c r="E596" s="25" t="s">
        <v>989</v>
      </c>
      <c r="F596" s="26" t="str">
        <f t="shared" si="36"/>
        <v>PIT810406</v>
      </c>
      <c r="G596" s="26">
        <f t="shared" si="38"/>
        <v>0</v>
      </c>
      <c r="H596" s="23" t="str">
        <f t="shared" si="39"/>
        <v>PI810406IO.Mode</v>
      </c>
      <c r="I596" s="23">
        <f t="shared" si="37"/>
        <v>0</v>
      </c>
    </row>
    <row r="597" spans="2:9" hidden="1" x14ac:dyDescent="0.25">
      <c r="B597" s="25" t="s">
        <v>16</v>
      </c>
      <c r="C597" s="25" t="s">
        <v>990</v>
      </c>
      <c r="D597" s="25">
        <v>0</v>
      </c>
      <c r="E597" s="25" t="s">
        <v>991</v>
      </c>
      <c r="F597" s="26" t="str">
        <f t="shared" si="36"/>
        <v>PIT810427</v>
      </c>
      <c r="G597" s="26">
        <f t="shared" si="38"/>
        <v>0</v>
      </c>
      <c r="H597" s="23" t="str">
        <f t="shared" si="39"/>
        <v>PI810427IO.Mode</v>
      </c>
      <c r="I597" s="23">
        <f t="shared" si="37"/>
        <v>0</v>
      </c>
    </row>
    <row r="598" spans="2:9" hidden="1" x14ac:dyDescent="0.25">
      <c r="B598" s="25" t="s">
        <v>16</v>
      </c>
      <c r="C598" s="25" t="s">
        <v>992</v>
      </c>
      <c r="D598" s="25">
        <v>0</v>
      </c>
      <c r="E598" s="25" t="s">
        <v>993</v>
      </c>
      <c r="F598" s="26" t="str">
        <f t="shared" si="36"/>
        <v>PIT810430</v>
      </c>
      <c r="G598" s="26">
        <f t="shared" si="38"/>
        <v>0</v>
      </c>
      <c r="H598" s="23" t="str">
        <f t="shared" si="39"/>
        <v>PI810430IO.Mode</v>
      </c>
      <c r="I598" s="23">
        <f t="shared" si="37"/>
        <v>0</v>
      </c>
    </row>
    <row r="599" spans="2:9" hidden="1" x14ac:dyDescent="0.25">
      <c r="B599" s="25" t="s">
        <v>16</v>
      </c>
      <c r="C599" s="25" t="s">
        <v>994</v>
      </c>
      <c r="D599" s="25">
        <v>0</v>
      </c>
      <c r="E599" s="25" t="s">
        <v>995</v>
      </c>
      <c r="F599" s="26" t="str">
        <f t="shared" si="36"/>
        <v>PT810431</v>
      </c>
      <c r="G599" s="26">
        <f t="shared" si="38"/>
        <v>0</v>
      </c>
      <c r="H599" s="23" t="str">
        <f t="shared" si="39"/>
        <v>PI810431IO.Mode</v>
      </c>
      <c r="I599" s="23">
        <f t="shared" si="37"/>
        <v>0</v>
      </c>
    </row>
    <row r="600" spans="2:9" x14ac:dyDescent="0.25">
      <c r="B600" s="25" t="s">
        <v>16</v>
      </c>
      <c r="C600" s="25" t="s">
        <v>1831</v>
      </c>
      <c r="D600" s="25">
        <v>2</v>
      </c>
      <c r="E600" s="25" t="s">
        <v>1832</v>
      </c>
      <c r="F600" s="26" t="str">
        <f t="shared" si="36"/>
        <v>PT810443</v>
      </c>
      <c r="G600" s="26">
        <f t="shared" si="38"/>
        <v>2</v>
      </c>
      <c r="H600" s="23" t="str">
        <f t="shared" si="39"/>
        <v>PI810443IO.Mode</v>
      </c>
      <c r="I600" s="23">
        <f t="shared" si="37"/>
        <v>2</v>
      </c>
    </row>
    <row r="601" spans="2:9" x14ac:dyDescent="0.25">
      <c r="B601" s="25" t="s">
        <v>16</v>
      </c>
      <c r="C601" s="25" t="s">
        <v>1833</v>
      </c>
      <c r="D601" s="25">
        <v>0</v>
      </c>
      <c r="E601" s="25" t="s">
        <v>1834</v>
      </c>
      <c r="F601" s="26" t="str">
        <f t="shared" si="36"/>
        <v>PT810444A</v>
      </c>
      <c r="G601" s="26">
        <f t="shared" si="38"/>
        <v>2</v>
      </c>
      <c r="H601" s="23" t="str">
        <f t="shared" si="39"/>
        <v>PI810444AIO.Mode</v>
      </c>
      <c r="I601" s="23">
        <f t="shared" si="37"/>
        <v>2</v>
      </c>
    </row>
    <row r="602" spans="2:9" x14ac:dyDescent="0.25">
      <c r="B602" s="25" t="s">
        <v>16</v>
      </c>
      <c r="C602" s="25" t="s">
        <v>1835</v>
      </c>
      <c r="D602" s="25">
        <v>0</v>
      </c>
      <c r="E602" s="25" t="s">
        <v>1836</v>
      </c>
      <c r="F602" s="26" t="str">
        <f t="shared" si="36"/>
        <v>PT810444B</v>
      </c>
      <c r="G602" s="26">
        <f t="shared" si="38"/>
        <v>2</v>
      </c>
      <c r="H602" s="23" t="str">
        <f t="shared" si="39"/>
        <v>PI810444BIO.Mode</v>
      </c>
      <c r="I602" s="23">
        <f t="shared" si="37"/>
        <v>2</v>
      </c>
    </row>
    <row r="603" spans="2:9" hidden="1" x14ac:dyDescent="0.25">
      <c r="B603" s="25" t="s">
        <v>16</v>
      </c>
      <c r="C603" s="25" t="s">
        <v>996</v>
      </c>
      <c r="D603" s="25">
        <v>0</v>
      </c>
      <c r="E603" s="25" t="s">
        <v>997</v>
      </c>
      <c r="F603" s="26" t="str">
        <f t="shared" si="36"/>
        <v>PIT810446</v>
      </c>
      <c r="G603" s="26">
        <f t="shared" si="38"/>
        <v>0</v>
      </c>
      <c r="H603" s="23" t="str">
        <f t="shared" si="39"/>
        <v>PI810446IO.Mode</v>
      </c>
      <c r="I603" s="23">
        <f t="shared" si="37"/>
        <v>0</v>
      </c>
    </row>
    <row r="604" spans="2:9" hidden="1" x14ac:dyDescent="0.25">
      <c r="B604" s="25" t="s">
        <v>16</v>
      </c>
      <c r="C604" s="25" t="s">
        <v>998</v>
      </c>
      <c r="D604" s="25">
        <v>0</v>
      </c>
      <c r="E604" s="25" t="s">
        <v>999</v>
      </c>
      <c r="F604" s="26" t="str">
        <f t="shared" si="36"/>
        <v>PIT810451</v>
      </c>
      <c r="G604" s="26">
        <f t="shared" si="38"/>
        <v>0</v>
      </c>
      <c r="H604" s="23" t="str">
        <f t="shared" si="39"/>
        <v>PI810451IO.Mode</v>
      </c>
      <c r="I604" s="23">
        <f t="shared" si="37"/>
        <v>0</v>
      </c>
    </row>
    <row r="605" spans="2:9" hidden="1" x14ac:dyDescent="0.25">
      <c r="B605" s="25" t="s">
        <v>16</v>
      </c>
      <c r="C605" s="25" t="s">
        <v>1000</v>
      </c>
      <c r="D605" s="25">
        <v>0</v>
      </c>
      <c r="E605" s="25" t="s">
        <v>1001</v>
      </c>
      <c r="F605" s="26" t="str">
        <f t="shared" si="36"/>
        <v>PIT810455</v>
      </c>
      <c r="G605" s="26">
        <f t="shared" si="38"/>
        <v>0</v>
      </c>
      <c r="H605" s="23" t="str">
        <f t="shared" si="39"/>
        <v>PI810455IO.Mode</v>
      </c>
      <c r="I605" s="23">
        <f t="shared" si="37"/>
        <v>0</v>
      </c>
    </row>
    <row r="606" spans="2:9" hidden="1" x14ac:dyDescent="0.25">
      <c r="B606" s="25" t="s">
        <v>16</v>
      </c>
      <c r="C606" s="25" t="s">
        <v>1002</v>
      </c>
      <c r="D606" s="25">
        <v>0</v>
      </c>
      <c r="E606" s="25" t="s">
        <v>1003</v>
      </c>
      <c r="F606" s="26" t="str">
        <f t="shared" si="36"/>
        <v>PIT810506</v>
      </c>
      <c r="G606" s="26">
        <f t="shared" si="38"/>
        <v>0</v>
      </c>
      <c r="H606" s="23" t="str">
        <f t="shared" si="39"/>
        <v>PI810506IO.Mode</v>
      </c>
      <c r="I606" s="23">
        <f t="shared" si="37"/>
        <v>0</v>
      </c>
    </row>
    <row r="607" spans="2:9" x14ac:dyDescent="0.25">
      <c r="B607" s="25" t="s">
        <v>16</v>
      </c>
      <c r="C607" s="25" t="s">
        <v>1837</v>
      </c>
      <c r="D607" s="25">
        <v>0</v>
      </c>
      <c r="E607" s="25" t="s">
        <v>1838</v>
      </c>
      <c r="F607" s="26" t="str">
        <f t="shared" si="36"/>
        <v>PT810530</v>
      </c>
      <c r="G607" s="26">
        <f t="shared" si="38"/>
        <v>2</v>
      </c>
      <c r="H607" s="23" t="str">
        <f t="shared" si="39"/>
        <v>PI810530IO.Mode</v>
      </c>
      <c r="I607" s="23">
        <f t="shared" si="37"/>
        <v>2</v>
      </c>
    </row>
    <row r="608" spans="2:9" hidden="1" x14ac:dyDescent="0.25">
      <c r="B608" s="25" t="s">
        <v>16</v>
      </c>
      <c r="C608" s="25" t="s">
        <v>1004</v>
      </c>
      <c r="D608" s="25">
        <v>0</v>
      </c>
      <c r="E608" s="25" t="s">
        <v>1005</v>
      </c>
      <c r="F608" s="26" t="str">
        <f t="shared" si="36"/>
        <v>PIT810613</v>
      </c>
      <c r="G608" s="26">
        <f t="shared" si="38"/>
        <v>0</v>
      </c>
      <c r="H608" s="23" t="str">
        <f t="shared" si="39"/>
        <v>PI810613IO.Mode</v>
      </c>
      <c r="I608" s="23">
        <f t="shared" si="37"/>
        <v>0</v>
      </c>
    </row>
    <row r="609" spans="2:9" hidden="1" x14ac:dyDescent="0.25">
      <c r="B609" s="25" t="s">
        <v>16</v>
      </c>
      <c r="C609" s="25" t="s">
        <v>1006</v>
      </c>
      <c r="D609" s="25">
        <v>0</v>
      </c>
      <c r="E609" s="25" t="s">
        <v>1007</v>
      </c>
      <c r="F609" s="26" t="str">
        <f t="shared" si="36"/>
        <v>PIT810633</v>
      </c>
      <c r="G609" s="26">
        <f t="shared" si="38"/>
        <v>0</v>
      </c>
      <c r="H609" s="23" t="str">
        <f t="shared" si="39"/>
        <v>PI810633IO.Mode</v>
      </c>
      <c r="I609" s="23">
        <f t="shared" si="37"/>
        <v>0</v>
      </c>
    </row>
    <row r="610" spans="2:9" hidden="1" x14ac:dyDescent="0.25">
      <c r="B610" s="25" t="s">
        <v>16</v>
      </c>
      <c r="C610" s="25" t="s">
        <v>1008</v>
      </c>
      <c r="D610" s="25">
        <v>0</v>
      </c>
      <c r="E610" s="25" t="s">
        <v>1009</v>
      </c>
      <c r="F610" s="26" t="str">
        <f t="shared" si="36"/>
        <v>PIT810652</v>
      </c>
      <c r="G610" s="26">
        <f t="shared" si="38"/>
        <v>0</v>
      </c>
      <c r="H610" s="23" t="str">
        <f t="shared" si="39"/>
        <v>PI810652IO.Mode</v>
      </c>
      <c r="I610" s="23">
        <f t="shared" si="37"/>
        <v>0</v>
      </c>
    </row>
    <row r="611" spans="2:9" hidden="1" x14ac:dyDescent="0.25">
      <c r="B611" s="25" t="s">
        <v>16</v>
      </c>
      <c r="C611" s="25" t="s">
        <v>1010</v>
      </c>
      <c r="D611" s="25">
        <v>0</v>
      </c>
      <c r="E611" s="25" t="s">
        <v>1011</v>
      </c>
      <c r="F611" s="26" t="str">
        <f t="shared" si="36"/>
        <v>PIT810716</v>
      </c>
      <c r="G611" s="26">
        <f t="shared" si="38"/>
        <v>0</v>
      </c>
      <c r="H611" s="23" t="str">
        <f t="shared" si="39"/>
        <v>PI810716IO.Mode</v>
      </c>
      <c r="I611" s="23">
        <f t="shared" si="37"/>
        <v>0</v>
      </c>
    </row>
    <row r="612" spans="2:9" x14ac:dyDescent="0.25">
      <c r="B612" s="25" t="s">
        <v>16</v>
      </c>
      <c r="C612" s="25" t="s">
        <v>1839</v>
      </c>
      <c r="D612" s="25">
        <v>0</v>
      </c>
      <c r="E612" s="25" t="s">
        <v>1840</v>
      </c>
      <c r="F612" s="26" t="str">
        <f t="shared" si="36"/>
        <v>PT810733</v>
      </c>
      <c r="G612" s="26">
        <f t="shared" si="38"/>
        <v>2</v>
      </c>
      <c r="H612" s="23" t="str">
        <f t="shared" si="39"/>
        <v>PI810733IO.Mode</v>
      </c>
      <c r="I612" s="23">
        <f t="shared" si="37"/>
        <v>2</v>
      </c>
    </row>
    <row r="613" spans="2:9" hidden="1" x14ac:dyDescent="0.25">
      <c r="B613" s="25" t="s">
        <v>16</v>
      </c>
      <c r="C613" s="25" t="s">
        <v>1012</v>
      </c>
      <c r="D613" s="25">
        <v>0</v>
      </c>
      <c r="E613" s="25" t="s">
        <v>1013</v>
      </c>
      <c r="F613" s="26" t="str">
        <f t="shared" si="36"/>
        <v>PIT811003</v>
      </c>
      <c r="G613" s="26">
        <f t="shared" si="38"/>
        <v>0</v>
      </c>
      <c r="H613" s="23" t="str">
        <f t="shared" si="39"/>
        <v>PI811003IO.Mode</v>
      </c>
      <c r="I613" s="23">
        <f t="shared" si="37"/>
        <v>0</v>
      </c>
    </row>
    <row r="614" spans="2:9" hidden="1" x14ac:dyDescent="0.25">
      <c r="B614" s="25" t="s">
        <v>16</v>
      </c>
      <c r="C614" s="25" t="s">
        <v>1014</v>
      </c>
      <c r="D614" s="25">
        <v>0</v>
      </c>
      <c r="E614" s="25" t="s">
        <v>1015</v>
      </c>
      <c r="F614" s="26" t="str">
        <f t="shared" si="36"/>
        <v>PIT811007</v>
      </c>
      <c r="G614" s="26">
        <f t="shared" si="38"/>
        <v>0</v>
      </c>
      <c r="H614" s="23" t="str">
        <f t="shared" si="39"/>
        <v>PI811007IO.Mode</v>
      </c>
      <c r="I614" s="23">
        <f t="shared" si="37"/>
        <v>0</v>
      </c>
    </row>
    <row r="615" spans="2:9" x14ac:dyDescent="0.25">
      <c r="B615" s="25" t="s">
        <v>16</v>
      </c>
      <c r="C615" s="25" t="s">
        <v>1841</v>
      </c>
      <c r="D615" s="25">
        <v>0</v>
      </c>
      <c r="E615" s="25" t="s">
        <v>1842</v>
      </c>
      <c r="F615" s="26" t="str">
        <f t="shared" si="36"/>
        <v>PT811020</v>
      </c>
      <c r="G615" s="26">
        <f t="shared" si="38"/>
        <v>2</v>
      </c>
      <c r="H615" s="23" t="str">
        <f t="shared" si="39"/>
        <v>PI811020IO.Mode</v>
      </c>
      <c r="I615" s="23">
        <f t="shared" si="37"/>
        <v>2</v>
      </c>
    </row>
    <row r="616" spans="2:9" hidden="1" x14ac:dyDescent="0.25">
      <c r="B616" s="25" t="s">
        <v>16</v>
      </c>
      <c r="C616" s="25" t="s">
        <v>1016</v>
      </c>
      <c r="D616" s="25">
        <v>0</v>
      </c>
      <c r="E616" s="25" t="s">
        <v>1017</v>
      </c>
      <c r="F616" s="26" t="str">
        <f t="shared" si="36"/>
        <v>PIT811103</v>
      </c>
      <c r="G616" s="26">
        <f t="shared" si="38"/>
        <v>0</v>
      </c>
      <c r="H616" s="23" t="str">
        <f t="shared" si="39"/>
        <v>PI811103IO.Mode</v>
      </c>
      <c r="I616" s="23">
        <f t="shared" si="37"/>
        <v>0</v>
      </c>
    </row>
    <row r="617" spans="2:9" hidden="1" x14ac:dyDescent="0.25">
      <c r="B617" s="25" t="s">
        <v>16</v>
      </c>
      <c r="C617" s="25" t="s">
        <v>1018</v>
      </c>
      <c r="D617" s="25">
        <v>0</v>
      </c>
      <c r="E617" s="25" t="s">
        <v>1019</v>
      </c>
      <c r="F617" s="26" t="str">
        <f t="shared" si="36"/>
        <v>PIT811107</v>
      </c>
      <c r="G617" s="26">
        <f t="shared" si="38"/>
        <v>0</v>
      </c>
      <c r="H617" s="23" t="str">
        <f t="shared" si="39"/>
        <v>PI811107IO.Mode</v>
      </c>
      <c r="I617" s="23">
        <f t="shared" si="37"/>
        <v>0</v>
      </c>
    </row>
    <row r="618" spans="2:9" hidden="1" x14ac:dyDescent="0.25">
      <c r="B618" s="25" t="s">
        <v>16</v>
      </c>
      <c r="C618" s="25" t="s">
        <v>1020</v>
      </c>
      <c r="D618" s="25">
        <v>0</v>
      </c>
      <c r="E618" s="25" t="s">
        <v>1021</v>
      </c>
      <c r="F618" s="26" t="str">
        <f t="shared" si="36"/>
        <v>PIT812005</v>
      </c>
      <c r="G618" s="26">
        <f t="shared" si="38"/>
        <v>0</v>
      </c>
      <c r="H618" s="23" t="str">
        <f t="shared" si="39"/>
        <v>PI812005IO.Mode</v>
      </c>
      <c r="I618" s="23">
        <f t="shared" si="37"/>
        <v>0</v>
      </c>
    </row>
    <row r="619" spans="2:9" hidden="1" x14ac:dyDescent="0.25">
      <c r="B619" s="25" t="s">
        <v>16</v>
      </c>
      <c r="C619" s="25" t="s">
        <v>1022</v>
      </c>
      <c r="D619" s="25">
        <v>0</v>
      </c>
      <c r="E619" s="25" t="s">
        <v>1023</v>
      </c>
      <c r="F619" s="26" t="str">
        <f t="shared" si="36"/>
        <v>PIT812113</v>
      </c>
      <c r="G619" s="26">
        <f t="shared" si="38"/>
        <v>0</v>
      </c>
      <c r="H619" s="23" t="str">
        <f t="shared" si="39"/>
        <v>PI812113IO.Mode</v>
      </c>
      <c r="I619" s="23">
        <f t="shared" si="37"/>
        <v>0</v>
      </c>
    </row>
    <row r="620" spans="2:9" hidden="1" x14ac:dyDescent="0.25">
      <c r="B620" s="25" t="s">
        <v>16</v>
      </c>
      <c r="C620" s="25" t="s">
        <v>1024</v>
      </c>
      <c r="D620" s="25">
        <v>0</v>
      </c>
      <c r="E620" s="25" t="s">
        <v>1025</v>
      </c>
      <c r="F620" s="26" t="str">
        <f t="shared" si="36"/>
        <v>PIT812120</v>
      </c>
      <c r="G620" s="26">
        <f t="shared" si="38"/>
        <v>0</v>
      </c>
      <c r="H620" s="23" t="str">
        <f t="shared" si="39"/>
        <v>PI812120IO.Mode</v>
      </c>
      <c r="I620" s="23">
        <f t="shared" si="37"/>
        <v>0</v>
      </c>
    </row>
    <row r="621" spans="2:9" hidden="1" x14ac:dyDescent="0.25">
      <c r="B621" s="25" t="s">
        <v>16</v>
      </c>
      <c r="C621" s="25" t="s">
        <v>1026</v>
      </c>
      <c r="D621" s="25">
        <v>0</v>
      </c>
      <c r="E621" s="25" t="s">
        <v>1027</v>
      </c>
      <c r="F621" s="26" t="str">
        <f t="shared" si="36"/>
        <v>PIT812202</v>
      </c>
      <c r="G621" s="26">
        <f t="shared" si="38"/>
        <v>0</v>
      </c>
      <c r="H621" s="23" t="str">
        <f t="shared" si="39"/>
        <v>PI812202IO.Mode</v>
      </c>
      <c r="I621" s="23">
        <f t="shared" si="37"/>
        <v>0</v>
      </c>
    </row>
    <row r="622" spans="2:9" hidden="1" x14ac:dyDescent="0.25">
      <c r="B622" s="25" t="s">
        <v>16</v>
      </c>
      <c r="C622" s="25" t="s">
        <v>1028</v>
      </c>
      <c r="D622" s="25">
        <v>0</v>
      </c>
      <c r="E622" s="25" t="s">
        <v>1029</v>
      </c>
      <c r="F622" s="26" t="str">
        <f t="shared" si="36"/>
        <v>PIT812204</v>
      </c>
      <c r="G622" s="26">
        <f t="shared" si="38"/>
        <v>0</v>
      </c>
      <c r="H622" s="23" t="str">
        <f t="shared" si="39"/>
        <v>PI812204IO.Mode</v>
      </c>
      <c r="I622" s="23">
        <f t="shared" si="37"/>
        <v>0</v>
      </c>
    </row>
    <row r="623" spans="2:9" hidden="1" x14ac:dyDescent="0.25">
      <c r="B623" s="25" t="s">
        <v>16</v>
      </c>
      <c r="C623" s="25" t="s">
        <v>1030</v>
      </c>
      <c r="D623" s="25">
        <v>0</v>
      </c>
      <c r="E623" s="25" t="s">
        <v>1031</v>
      </c>
      <c r="F623" s="26" t="str">
        <f t="shared" si="36"/>
        <v>PIT820006</v>
      </c>
      <c r="G623" s="26">
        <f t="shared" si="38"/>
        <v>0</v>
      </c>
      <c r="H623" s="23" t="str">
        <f t="shared" si="39"/>
        <v>PI820006IO.Mode</v>
      </c>
      <c r="I623" s="23">
        <f t="shared" si="37"/>
        <v>0</v>
      </c>
    </row>
    <row r="624" spans="2:9" hidden="1" x14ac:dyDescent="0.25">
      <c r="B624" s="25" t="s">
        <v>16</v>
      </c>
      <c r="C624" s="25" t="s">
        <v>1032</v>
      </c>
      <c r="D624" s="25">
        <v>0</v>
      </c>
      <c r="E624" s="25" t="s">
        <v>1033</v>
      </c>
      <c r="F624" s="26" t="str">
        <f t="shared" si="36"/>
        <v>PIT820016</v>
      </c>
      <c r="G624" s="26">
        <f t="shared" si="38"/>
        <v>0</v>
      </c>
      <c r="H624" s="23" t="str">
        <f t="shared" si="39"/>
        <v>PI820016IO.Mode</v>
      </c>
      <c r="I624" s="23">
        <f t="shared" si="37"/>
        <v>0</v>
      </c>
    </row>
    <row r="625" spans="2:9" hidden="1" x14ac:dyDescent="0.25">
      <c r="B625" s="25" t="s">
        <v>16</v>
      </c>
      <c r="C625" s="25" t="s">
        <v>1034</v>
      </c>
      <c r="D625" s="25">
        <v>0</v>
      </c>
      <c r="E625" s="25" t="s">
        <v>1035</v>
      </c>
      <c r="F625" s="26" t="str">
        <f t="shared" si="36"/>
        <v>PIT820105</v>
      </c>
      <c r="G625" s="26">
        <f t="shared" si="38"/>
        <v>0</v>
      </c>
      <c r="H625" s="23" t="str">
        <f t="shared" si="39"/>
        <v>PI820105IO.Mode</v>
      </c>
      <c r="I625" s="23">
        <f t="shared" si="37"/>
        <v>0</v>
      </c>
    </row>
    <row r="626" spans="2:9" hidden="1" x14ac:dyDescent="0.25">
      <c r="B626" s="25" t="s">
        <v>16</v>
      </c>
      <c r="C626" s="25" t="s">
        <v>1036</v>
      </c>
      <c r="D626" s="25">
        <v>0</v>
      </c>
      <c r="E626" s="25" t="s">
        <v>1037</v>
      </c>
      <c r="F626" s="26" t="str">
        <f t="shared" ref="F626:F689" si="40">+LEFT(E626,FIND(".",E626,1)-1)</f>
        <v>PIT820411</v>
      </c>
      <c r="G626" s="26">
        <f t="shared" si="38"/>
        <v>0</v>
      </c>
      <c r="H626" s="23" t="str">
        <f t="shared" si="39"/>
        <v>PI820411IO.Mode</v>
      </c>
      <c r="I626" s="23">
        <f t="shared" ref="I626:I689" si="41">+G626</f>
        <v>0</v>
      </c>
    </row>
    <row r="627" spans="2:9" hidden="1" x14ac:dyDescent="0.25">
      <c r="B627" s="25" t="s">
        <v>16</v>
      </c>
      <c r="C627" s="25" t="s">
        <v>1038</v>
      </c>
      <c r="D627" s="25">
        <v>0</v>
      </c>
      <c r="E627" s="25" t="s">
        <v>1039</v>
      </c>
      <c r="F627" s="26" t="str">
        <f t="shared" si="40"/>
        <v>PIT820412</v>
      </c>
      <c r="G627" s="26">
        <f t="shared" si="38"/>
        <v>0</v>
      </c>
      <c r="H627" s="23" t="str">
        <f t="shared" si="39"/>
        <v>PI820412IO.Mode</v>
      </c>
      <c r="I627" s="23">
        <f t="shared" si="41"/>
        <v>0</v>
      </c>
    </row>
    <row r="628" spans="2:9" hidden="1" x14ac:dyDescent="0.25">
      <c r="B628" s="25" t="s">
        <v>16</v>
      </c>
      <c r="C628" s="25" t="s">
        <v>1040</v>
      </c>
      <c r="D628" s="25">
        <v>0</v>
      </c>
      <c r="E628" s="25" t="s">
        <v>1041</v>
      </c>
      <c r="F628" s="26" t="str">
        <f t="shared" si="40"/>
        <v>PIT820413A</v>
      </c>
      <c r="G628" s="26">
        <f t="shared" si="38"/>
        <v>0</v>
      </c>
      <c r="H628" s="23" t="str">
        <f t="shared" si="39"/>
        <v>PI820413A_1oo2IO_MA1.Mode</v>
      </c>
      <c r="I628" s="23">
        <f t="shared" si="41"/>
        <v>0</v>
      </c>
    </row>
    <row r="629" spans="2:9" hidden="1" x14ac:dyDescent="0.25">
      <c r="B629" s="25" t="s">
        <v>16</v>
      </c>
      <c r="C629" s="25" t="s">
        <v>1042</v>
      </c>
      <c r="D629" s="25">
        <v>0</v>
      </c>
      <c r="E629" s="25" t="s">
        <v>1043</v>
      </c>
      <c r="F629" s="26" t="str">
        <f t="shared" si="40"/>
        <v>PIT820413B</v>
      </c>
      <c r="G629" s="26">
        <f t="shared" si="38"/>
        <v>0</v>
      </c>
      <c r="H629" s="23" t="str">
        <f t="shared" si="39"/>
        <v>PI820413A_1oo2IO_MA2.Mode</v>
      </c>
      <c r="I629" s="23">
        <f t="shared" si="41"/>
        <v>0</v>
      </c>
    </row>
    <row r="630" spans="2:9" x14ac:dyDescent="0.25">
      <c r="B630" s="25" t="s">
        <v>16</v>
      </c>
      <c r="C630" s="25" t="s">
        <v>1843</v>
      </c>
      <c r="D630" s="25">
        <v>2</v>
      </c>
      <c r="E630" s="25" t="s">
        <v>1844</v>
      </c>
      <c r="F630" s="26" t="str">
        <f t="shared" si="40"/>
        <v>PT820438</v>
      </c>
      <c r="G630" s="26">
        <f t="shared" si="38"/>
        <v>2</v>
      </c>
      <c r="H630" s="23" t="str">
        <f t="shared" si="39"/>
        <v>PI820438IO.Mode</v>
      </c>
      <c r="I630" s="23">
        <f t="shared" si="41"/>
        <v>2</v>
      </c>
    </row>
    <row r="631" spans="2:9" hidden="1" x14ac:dyDescent="0.25">
      <c r="B631" s="25" t="s">
        <v>16</v>
      </c>
      <c r="C631" s="25" t="s">
        <v>1044</v>
      </c>
      <c r="D631" s="25">
        <v>0</v>
      </c>
      <c r="E631" s="25" t="s">
        <v>1045</v>
      </c>
      <c r="F631" s="26" t="str">
        <f t="shared" si="40"/>
        <v>PIT820490</v>
      </c>
      <c r="G631" s="26">
        <f t="shared" si="38"/>
        <v>0</v>
      </c>
      <c r="H631" s="23" t="str">
        <f t="shared" si="39"/>
        <v>PI820490IO.Mode</v>
      </c>
      <c r="I631" s="23">
        <f t="shared" si="41"/>
        <v>0</v>
      </c>
    </row>
    <row r="632" spans="2:9" hidden="1" x14ac:dyDescent="0.25">
      <c r="B632" s="25" t="s">
        <v>16</v>
      </c>
      <c r="C632" s="25" t="s">
        <v>1046</v>
      </c>
      <c r="D632" s="25">
        <v>0</v>
      </c>
      <c r="E632" s="25" t="s">
        <v>1047</v>
      </c>
      <c r="F632" s="26" t="str">
        <f t="shared" si="40"/>
        <v>PIT820492</v>
      </c>
      <c r="G632" s="26">
        <f t="shared" si="38"/>
        <v>0</v>
      </c>
      <c r="H632" s="23" t="str">
        <f t="shared" si="39"/>
        <v>PI820492IO.Mode</v>
      </c>
      <c r="I632" s="23">
        <f t="shared" si="41"/>
        <v>0</v>
      </c>
    </row>
    <row r="633" spans="2:9" hidden="1" x14ac:dyDescent="0.25">
      <c r="B633" s="25" t="s">
        <v>16</v>
      </c>
      <c r="C633" s="25" t="s">
        <v>1048</v>
      </c>
      <c r="D633" s="25">
        <v>0</v>
      </c>
      <c r="E633" s="25" t="s">
        <v>1049</v>
      </c>
      <c r="F633" s="26" t="str">
        <f t="shared" si="40"/>
        <v>PIT820493</v>
      </c>
      <c r="G633" s="26">
        <f t="shared" si="38"/>
        <v>0</v>
      </c>
      <c r="H633" s="23" t="str">
        <f t="shared" si="39"/>
        <v>PI820493IO.Mode</v>
      </c>
      <c r="I633" s="23">
        <f t="shared" si="41"/>
        <v>0</v>
      </c>
    </row>
    <row r="634" spans="2:9" x14ac:dyDescent="0.25">
      <c r="B634" s="25" t="s">
        <v>16</v>
      </c>
      <c r="C634" s="25" t="s">
        <v>1845</v>
      </c>
      <c r="D634" s="25">
        <v>2</v>
      </c>
      <c r="E634" s="25" t="s">
        <v>1846</v>
      </c>
      <c r="F634" s="26" t="str">
        <f t="shared" si="40"/>
        <v>PT820498A</v>
      </c>
      <c r="G634" s="26">
        <f t="shared" si="38"/>
        <v>2</v>
      </c>
      <c r="H634" s="23" t="str">
        <f t="shared" si="39"/>
        <v>PI820498AIO.Mode</v>
      </c>
      <c r="I634" s="23">
        <f t="shared" si="41"/>
        <v>2</v>
      </c>
    </row>
    <row r="635" spans="2:9" x14ac:dyDescent="0.25">
      <c r="B635" s="25" t="s">
        <v>16</v>
      </c>
      <c r="C635" s="25" t="s">
        <v>1847</v>
      </c>
      <c r="D635" s="25">
        <v>2</v>
      </c>
      <c r="E635" s="25" t="s">
        <v>1848</v>
      </c>
      <c r="F635" s="26" t="str">
        <f t="shared" si="40"/>
        <v>PT820498B</v>
      </c>
      <c r="G635" s="26">
        <f t="shared" si="38"/>
        <v>2</v>
      </c>
      <c r="H635" s="23" t="str">
        <f t="shared" si="39"/>
        <v>PI820498BIO.Mode</v>
      </c>
      <c r="I635" s="23">
        <f t="shared" si="41"/>
        <v>2</v>
      </c>
    </row>
    <row r="636" spans="2:9" x14ac:dyDescent="0.25">
      <c r="B636" s="25" t="s">
        <v>16</v>
      </c>
      <c r="C636" s="25" t="s">
        <v>1849</v>
      </c>
      <c r="D636" s="25">
        <v>2</v>
      </c>
      <c r="E636" s="25" t="s">
        <v>1850</v>
      </c>
      <c r="F636" s="26" t="str">
        <f t="shared" si="40"/>
        <v>PT820498</v>
      </c>
      <c r="G636" s="26">
        <f t="shared" si="38"/>
        <v>2</v>
      </c>
      <c r="H636" s="23" t="str">
        <f t="shared" si="39"/>
        <v>PI820498IO.Mode</v>
      </c>
      <c r="I636" s="23">
        <f t="shared" si="41"/>
        <v>2</v>
      </c>
    </row>
    <row r="637" spans="2:9" hidden="1" x14ac:dyDescent="0.25">
      <c r="B637" s="25" t="s">
        <v>16</v>
      </c>
      <c r="C637" s="25" t="s">
        <v>1050</v>
      </c>
      <c r="D637" s="25">
        <v>0</v>
      </c>
      <c r="E637" s="25" t="s">
        <v>1051</v>
      </c>
      <c r="F637" s="26" t="str">
        <f t="shared" si="40"/>
        <v>PIT820506</v>
      </c>
      <c r="G637" s="26">
        <f t="shared" si="38"/>
        <v>0</v>
      </c>
      <c r="H637" s="23" t="str">
        <f t="shared" si="39"/>
        <v>PI820506IO.Mode</v>
      </c>
      <c r="I637" s="23">
        <f t="shared" si="41"/>
        <v>0</v>
      </c>
    </row>
    <row r="638" spans="2:9" x14ac:dyDescent="0.25">
      <c r="B638" s="25" t="s">
        <v>16</v>
      </c>
      <c r="C638" s="25" t="s">
        <v>1851</v>
      </c>
      <c r="D638" s="25">
        <v>0</v>
      </c>
      <c r="E638" s="25" t="s">
        <v>1852</v>
      </c>
      <c r="F638" s="26" t="str">
        <f t="shared" si="40"/>
        <v>PT820530</v>
      </c>
      <c r="G638" s="26">
        <f t="shared" si="38"/>
        <v>2</v>
      </c>
      <c r="H638" s="23" t="str">
        <f t="shared" si="39"/>
        <v>PI820530IO.Mode</v>
      </c>
      <c r="I638" s="23">
        <f t="shared" si="41"/>
        <v>2</v>
      </c>
    </row>
    <row r="639" spans="2:9" hidden="1" x14ac:dyDescent="0.25">
      <c r="B639" s="25" t="s">
        <v>16</v>
      </c>
      <c r="C639" s="25" t="s">
        <v>1052</v>
      </c>
      <c r="D639" s="25">
        <v>0</v>
      </c>
      <c r="E639" s="25" t="s">
        <v>1053</v>
      </c>
      <c r="F639" s="26" t="str">
        <f t="shared" si="40"/>
        <v>PIT820613</v>
      </c>
      <c r="G639" s="26">
        <f t="shared" si="38"/>
        <v>0</v>
      </c>
      <c r="H639" s="23" t="str">
        <f t="shared" si="39"/>
        <v>PI820613IO.Mode</v>
      </c>
      <c r="I639" s="23">
        <f t="shared" si="41"/>
        <v>0</v>
      </c>
    </row>
    <row r="640" spans="2:9" hidden="1" x14ac:dyDescent="0.25">
      <c r="B640" s="25" t="s">
        <v>16</v>
      </c>
      <c r="C640" s="25" t="s">
        <v>1054</v>
      </c>
      <c r="D640" s="25">
        <v>0</v>
      </c>
      <c r="E640" s="25" t="s">
        <v>1055</v>
      </c>
      <c r="F640" s="26" t="str">
        <f t="shared" si="40"/>
        <v>PIT820633</v>
      </c>
      <c r="G640" s="26">
        <f t="shared" si="38"/>
        <v>0</v>
      </c>
      <c r="H640" s="23" t="str">
        <f t="shared" si="39"/>
        <v>PI820633IO.Mode</v>
      </c>
      <c r="I640" s="23">
        <f t="shared" si="41"/>
        <v>0</v>
      </c>
    </row>
    <row r="641" spans="2:9" hidden="1" x14ac:dyDescent="0.25">
      <c r="B641" s="25" t="s">
        <v>16</v>
      </c>
      <c r="C641" s="25" t="s">
        <v>1056</v>
      </c>
      <c r="D641" s="25">
        <v>0</v>
      </c>
      <c r="E641" s="25" t="s">
        <v>1057</v>
      </c>
      <c r="F641" s="26" t="str">
        <f t="shared" si="40"/>
        <v>PIT820652</v>
      </c>
      <c r="G641" s="26">
        <f t="shared" si="38"/>
        <v>0</v>
      </c>
      <c r="H641" s="23" t="str">
        <f t="shared" si="39"/>
        <v>PI820652IO.Mode</v>
      </c>
      <c r="I641" s="23">
        <f t="shared" si="41"/>
        <v>0</v>
      </c>
    </row>
    <row r="642" spans="2:9" hidden="1" x14ac:dyDescent="0.25">
      <c r="B642" s="25" t="s">
        <v>16</v>
      </c>
      <c r="C642" s="25" t="s">
        <v>1058</v>
      </c>
      <c r="D642" s="25">
        <v>0</v>
      </c>
      <c r="E642" s="25" t="s">
        <v>1059</v>
      </c>
      <c r="F642" s="26" t="str">
        <f t="shared" si="40"/>
        <v>PIT820714</v>
      </c>
      <c r="G642" s="26">
        <f t="shared" ref="G642:G705" si="42">+IFERROR(IF(VLOOKUP(F642,DI,2,FALSE)="IO",2,0),"N/A")</f>
        <v>0</v>
      </c>
      <c r="H642" s="23" t="str">
        <f t="shared" ref="H642:H705" si="43">+CONCATENATE(C642,".Mode")</f>
        <v>PI820714IO.Mode</v>
      </c>
      <c r="I642" s="23">
        <f t="shared" si="41"/>
        <v>0</v>
      </c>
    </row>
    <row r="643" spans="2:9" x14ac:dyDescent="0.25">
      <c r="B643" s="25" t="s">
        <v>16</v>
      </c>
      <c r="C643" s="25" t="s">
        <v>1853</v>
      </c>
      <c r="D643" s="25">
        <v>0</v>
      </c>
      <c r="E643" s="25" t="s">
        <v>1854</v>
      </c>
      <c r="F643" s="26" t="str">
        <f t="shared" si="40"/>
        <v>PT820735</v>
      </c>
      <c r="G643" s="26">
        <f t="shared" si="42"/>
        <v>2</v>
      </c>
      <c r="H643" s="23" t="str">
        <f t="shared" si="43"/>
        <v>PI820735IO.Mode</v>
      </c>
      <c r="I643" s="23">
        <f t="shared" si="41"/>
        <v>2</v>
      </c>
    </row>
    <row r="644" spans="2:9" hidden="1" x14ac:dyDescent="0.25">
      <c r="B644" s="25" t="s">
        <v>16</v>
      </c>
      <c r="C644" s="25" t="s">
        <v>1060</v>
      </c>
      <c r="D644" s="25">
        <v>0</v>
      </c>
      <c r="E644" s="25" t="s">
        <v>1061</v>
      </c>
      <c r="F644" s="26" t="str">
        <f t="shared" si="40"/>
        <v>PIT820814</v>
      </c>
      <c r="G644" s="26">
        <f t="shared" si="42"/>
        <v>0</v>
      </c>
      <c r="H644" s="23" t="str">
        <f t="shared" si="43"/>
        <v>PI820814IO.Mode</v>
      </c>
      <c r="I644" s="23">
        <f t="shared" si="41"/>
        <v>0</v>
      </c>
    </row>
    <row r="645" spans="2:9" hidden="1" x14ac:dyDescent="0.25">
      <c r="B645" s="25" t="s">
        <v>16</v>
      </c>
      <c r="C645" s="25" t="s">
        <v>1062</v>
      </c>
      <c r="D645" s="25">
        <v>0</v>
      </c>
      <c r="E645" s="25" t="s">
        <v>1063</v>
      </c>
      <c r="F645" s="26" t="str">
        <f t="shared" si="40"/>
        <v>PIT820824</v>
      </c>
      <c r="G645" s="26">
        <f t="shared" si="42"/>
        <v>0</v>
      </c>
      <c r="H645" s="23" t="str">
        <f t="shared" si="43"/>
        <v>PI820824IO.Mode</v>
      </c>
      <c r="I645" s="23">
        <f t="shared" si="41"/>
        <v>0</v>
      </c>
    </row>
    <row r="646" spans="2:9" x14ac:dyDescent="0.25">
      <c r="B646" s="25" t="s">
        <v>16</v>
      </c>
      <c r="C646" s="25" t="s">
        <v>1855</v>
      </c>
      <c r="D646" s="25">
        <v>0</v>
      </c>
      <c r="E646" s="25" t="s">
        <v>1856</v>
      </c>
      <c r="F646" s="26" t="str">
        <f t="shared" si="40"/>
        <v>PT820838</v>
      </c>
      <c r="G646" s="26">
        <f t="shared" si="42"/>
        <v>2</v>
      </c>
      <c r="H646" s="23" t="str">
        <f t="shared" si="43"/>
        <v>PI820838IO.Mode</v>
      </c>
      <c r="I646" s="23">
        <f t="shared" si="41"/>
        <v>2</v>
      </c>
    </row>
    <row r="647" spans="2:9" hidden="1" x14ac:dyDescent="0.25">
      <c r="B647" s="25" t="s">
        <v>16</v>
      </c>
      <c r="C647" s="25" t="s">
        <v>1064</v>
      </c>
      <c r="D647" s="25">
        <v>0</v>
      </c>
      <c r="E647" s="25" t="s">
        <v>1065</v>
      </c>
      <c r="F647" s="26" t="str">
        <f t="shared" si="40"/>
        <v>PIT820905</v>
      </c>
      <c r="G647" s="26">
        <f t="shared" si="42"/>
        <v>0</v>
      </c>
      <c r="H647" s="23" t="str">
        <f t="shared" si="43"/>
        <v>PI820905IO.Mode</v>
      </c>
      <c r="I647" s="23">
        <f t="shared" si="41"/>
        <v>0</v>
      </c>
    </row>
    <row r="648" spans="2:9" hidden="1" x14ac:dyDescent="0.25">
      <c r="B648" s="25" t="s">
        <v>16</v>
      </c>
      <c r="C648" s="25" t="s">
        <v>1066</v>
      </c>
      <c r="D648" s="25">
        <v>0</v>
      </c>
      <c r="E648" s="25" t="s">
        <v>1067</v>
      </c>
      <c r="F648" s="26" t="str">
        <f t="shared" si="40"/>
        <v>PIT821213</v>
      </c>
      <c r="G648" s="26">
        <f t="shared" si="42"/>
        <v>0</v>
      </c>
      <c r="H648" s="23" t="str">
        <f t="shared" si="43"/>
        <v>PI821213IO.Mode</v>
      </c>
      <c r="I648" s="23">
        <f t="shared" si="41"/>
        <v>0</v>
      </c>
    </row>
    <row r="649" spans="2:9" hidden="1" x14ac:dyDescent="0.25">
      <c r="B649" s="25" t="s">
        <v>16</v>
      </c>
      <c r="C649" s="25" t="s">
        <v>1068</v>
      </c>
      <c r="D649" s="25">
        <v>0</v>
      </c>
      <c r="E649" s="25" t="s">
        <v>1069</v>
      </c>
      <c r="F649" s="26" t="str">
        <f t="shared" si="40"/>
        <v>PIT821406</v>
      </c>
      <c r="G649" s="26">
        <f t="shared" si="42"/>
        <v>0</v>
      </c>
      <c r="H649" s="23" t="str">
        <f t="shared" si="43"/>
        <v>PI821406IO.Mode</v>
      </c>
      <c r="I649" s="23">
        <f t="shared" si="41"/>
        <v>0</v>
      </c>
    </row>
    <row r="650" spans="2:9" hidden="1" x14ac:dyDescent="0.25">
      <c r="B650" s="25" t="s">
        <v>16</v>
      </c>
      <c r="C650" s="25" t="s">
        <v>1070</v>
      </c>
      <c r="D650" s="25">
        <v>0</v>
      </c>
      <c r="E650" s="25" t="s">
        <v>1071</v>
      </c>
      <c r="F650" s="26" t="str">
        <f t="shared" si="40"/>
        <v>PIT821416</v>
      </c>
      <c r="G650" s="26">
        <f t="shared" si="42"/>
        <v>0</v>
      </c>
      <c r="H650" s="23" t="str">
        <f t="shared" si="43"/>
        <v>PI821416IO.Mode</v>
      </c>
      <c r="I650" s="23">
        <f t="shared" si="41"/>
        <v>0</v>
      </c>
    </row>
    <row r="651" spans="2:9" x14ac:dyDescent="0.25">
      <c r="B651" s="25" t="s">
        <v>16</v>
      </c>
      <c r="C651" s="25" t="s">
        <v>1857</v>
      </c>
      <c r="D651" s="25">
        <v>0</v>
      </c>
      <c r="E651" s="25" t="s">
        <v>1858</v>
      </c>
      <c r="F651" s="26" t="str">
        <f t="shared" si="40"/>
        <v>PT821428</v>
      </c>
      <c r="G651" s="26">
        <f t="shared" si="42"/>
        <v>2</v>
      </c>
      <c r="H651" s="23" t="str">
        <f t="shared" si="43"/>
        <v>PI821428IO.Mode</v>
      </c>
      <c r="I651" s="23">
        <f t="shared" si="41"/>
        <v>2</v>
      </c>
    </row>
    <row r="652" spans="2:9" hidden="1" x14ac:dyDescent="0.25">
      <c r="B652" s="25" t="s">
        <v>16</v>
      </c>
      <c r="C652" s="25" t="s">
        <v>1072</v>
      </c>
      <c r="D652" s="25">
        <v>0</v>
      </c>
      <c r="E652" s="25" t="s">
        <v>1073</v>
      </c>
      <c r="F652" s="26" t="str">
        <f t="shared" si="40"/>
        <v>PIT821502</v>
      </c>
      <c r="G652" s="26">
        <f t="shared" si="42"/>
        <v>0</v>
      </c>
      <c r="H652" s="23" t="str">
        <f t="shared" si="43"/>
        <v>PI821502IO.Mode</v>
      </c>
      <c r="I652" s="23">
        <f t="shared" si="41"/>
        <v>0</v>
      </c>
    </row>
    <row r="653" spans="2:9" hidden="1" x14ac:dyDescent="0.25">
      <c r="B653" s="25" t="s">
        <v>16</v>
      </c>
      <c r="C653" s="25" t="s">
        <v>1074</v>
      </c>
      <c r="D653" s="25">
        <v>0</v>
      </c>
      <c r="E653" s="25" t="s">
        <v>1075</v>
      </c>
      <c r="F653" s="26" t="str">
        <f t="shared" si="40"/>
        <v>PIT821513</v>
      </c>
      <c r="G653" s="26">
        <f t="shared" si="42"/>
        <v>0</v>
      </c>
      <c r="H653" s="23" t="str">
        <f t="shared" si="43"/>
        <v>PI821513IO.Mode</v>
      </c>
      <c r="I653" s="23">
        <f t="shared" si="41"/>
        <v>0</v>
      </c>
    </row>
    <row r="654" spans="2:9" x14ac:dyDescent="0.25">
      <c r="B654" s="25" t="s">
        <v>16</v>
      </c>
      <c r="C654" s="25" t="s">
        <v>1859</v>
      </c>
      <c r="D654" s="25">
        <v>0</v>
      </c>
      <c r="E654" s="25" t="s">
        <v>1860</v>
      </c>
      <c r="F654" s="26" t="str">
        <f t="shared" si="40"/>
        <v>PT821531</v>
      </c>
      <c r="G654" s="26">
        <f t="shared" si="42"/>
        <v>2</v>
      </c>
      <c r="H654" s="23" t="str">
        <f t="shared" si="43"/>
        <v>PI821531IO.Mode</v>
      </c>
      <c r="I654" s="23">
        <f t="shared" si="41"/>
        <v>2</v>
      </c>
    </row>
    <row r="655" spans="2:9" hidden="1" x14ac:dyDescent="0.25">
      <c r="B655" s="25" t="s">
        <v>16</v>
      </c>
      <c r="C655" s="25" t="s">
        <v>1076</v>
      </c>
      <c r="D655" s="25">
        <v>0</v>
      </c>
      <c r="E655" s="25" t="s">
        <v>1077</v>
      </c>
      <c r="F655" s="26" t="str">
        <f t="shared" si="40"/>
        <v>PIT821623</v>
      </c>
      <c r="G655" s="26">
        <f t="shared" si="42"/>
        <v>0</v>
      </c>
      <c r="H655" s="23" t="str">
        <f t="shared" si="43"/>
        <v>PI821623IO.Mode</v>
      </c>
      <c r="I655" s="23">
        <f t="shared" si="41"/>
        <v>0</v>
      </c>
    </row>
    <row r="656" spans="2:9" hidden="1" x14ac:dyDescent="0.25">
      <c r="B656" s="25" t="s">
        <v>16</v>
      </c>
      <c r="C656" s="25" t="s">
        <v>1078</v>
      </c>
      <c r="D656" s="25">
        <v>0</v>
      </c>
      <c r="E656" s="25" t="s">
        <v>1079</v>
      </c>
      <c r="F656" s="26" t="str">
        <f t="shared" si="40"/>
        <v>PT821826</v>
      </c>
      <c r="G656" s="26">
        <f t="shared" si="42"/>
        <v>0</v>
      </c>
      <c r="H656" s="23" t="str">
        <f t="shared" si="43"/>
        <v>PI821826IO.Mode</v>
      </c>
      <c r="I656" s="23">
        <f t="shared" si="41"/>
        <v>0</v>
      </c>
    </row>
    <row r="657" spans="2:9" hidden="1" x14ac:dyDescent="0.25">
      <c r="B657" s="25" t="s">
        <v>16</v>
      </c>
      <c r="C657" s="25" t="s">
        <v>1080</v>
      </c>
      <c r="D657" s="25">
        <v>0</v>
      </c>
      <c r="E657" s="25" t="s">
        <v>1081</v>
      </c>
      <c r="F657" s="26" t="str">
        <f t="shared" si="40"/>
        <v>PIT821831</v>
      </c>
      <c r="G657" s="26">
        <f t="shared" si="42"/>
        <v>0</v>
      </c>
      <c r="H657" s="23" t="str">
        <f t="shared" si="43"/>
        <v>PI821831IO.Mode</v>
      </c>
      <c r="I657" s="23">
        <f t="shared" si="41"/>
        <v>0</v>
      </c>
    </row>
    <row r="658" spans="2:9" hidden="1" x14ac:dyDescent="0.25">
      <c r="B658" s="25" t="s">
        <v>16</v>
      </c>
      <c r="C658" s="25" t="s">
        <v>1082</v>
      </c>
      <c r="D658" s="25">
        <v>0</v>
      </c>
      <c r="E658" s="25" t="s">
        <v>1083</v>
      </c>
      <c r="F658" s="26" t="str">
        <f t="shared" si="40"/>
        <v>PIT821907</v>
      </c>
      <c r="G658" s="26">
        <f t="shared" si="42"/>
        <v>0</v>
      </c>
      <c r="H658" s="23" t="str">
        <f t="shared" si="43"/>
        <v>PI821907IO.Mode</v>
      </c>
      <c r="I658" s="23">
        <f t="shared" si="41"/>
        <v>0</v>
      </c>
    </row>
    <row r="659" spans="2:9" x14ac:dyDescent="0.25">
      <c r="B659" s="25" t="s">
        <v>16</v>
      </c>
      <c r="C659" s="25" t="s">
        <v>1861</v>
      </c>
      <c r="D659" s="25">
        <v>0</v>
      </c>
      <c r="E659" s="25" t="s">
        <v>1862</v>
      </c>
      <c r="F659" s="26" t="str">
        <f t="shared" si="40"/>
        <v>PT821928</v>
      </c>
      <c r="G659" s="26">
        <f t="shared" si="42"/>
        <v>2</v>
      </c>
      <c r="H659" s="23" t="str">
        <f t="shared" si="43"/>
        <v>PI821928IO.Mode</v>
      </c>
      <c r="I659" s="23">
        <f t="shared" si="41"/>
        <v>2</v>
      </c>
    </row>
    <row r="660" spans="2:9" hidden="1" x14ac:dyDescent="0.25">
      <c r="B660" s="25" t="s">
        <v>16</v>
      </c>
      <c r="C660" s="25" t="s">
        <v>1084</v>
      </c>
      <c r="D660" s="25">
        <v>0</v>
      </c>
      <c r="E660" s="25" t="s">
        <v>1085</v>
      </c>
      <c r="F660" s="26" t="str">
        <f t="shared" si="40"/>
        <v>PIT822010</v>
      </c>
      <c r="G660" s="26">
        <f t="shared" si="42"/>
        <v>0</v>
      </c>
      <c r="H660" s="23" t="str">
        <f t="shared" si="43"/>
        <v>PI822010IO.Mode</v>
      </c>
      <c r="I660" s="23">
        <f t="shared" si="41"/>
        <v>0</v>
      </c>
    </row>
    <row r="661" spans="2:9" hidden="1" x14ac:dyDescent="0.25">
      <c r="B661" s="25" t="s">
        <v>16</v>
      </c>
      <c r="C661" s="25" t="s">
        <v>1086</v>
      </c>
      <c r="D661" s="25">
        <v>0</v>
      </c>
      <c r="E661" s="25" t="s">
        <v>1087</v>
      </c>
      <c r="F661" s="26" t="str">
        <f t="shared" si="40"/>
        <v>PIT822114</v>
      </c>
      <c r="G661" s="26">
        <f t="shared" si="42"/>
        <v>0</v>
      </c>
      <c r="H661" s="23" t="str">
        <f t="shared" si="43"/>
        <v>PI822114IO.Mode</v>
      </c>
      <c r="I661" s="23">
        <f t="shared" si="41"/>
        <v>0</v>
      </c>
    </row>
    <row r="662" spans="2:9" hidden="1" x14ac:dyDescent="0.25">
      <c r="B662" s="25" t="s">
        <v>16</v>
      </c>
      <c r="C662" s="25" t="s">
        <v>1088</v>
      </c>
      <c r="D662" s="25">
        <v>0</v>
      </c>
      <c r="E662" s="25" t="s">
        <v>1089</v>
      </c>
      <c r="F662" s="26" t="str">
        <f t="shared" si="40"/>
        <v>PIT822118</v>
      </c>
      <c r="G662" s="26">
        <f t="shared" si="42"/>
        <v>0</v>
      </c>
      <c r="H662" s="23" t="str">
        <f t="shared" si="43"/>
        <v>PI822118IO.Mode</v>
      </c>
      <c r="I662" s="23">
        <f t="shared" si="41"/>
        <v>0</v>
      </c>
    </row>
    <row r="663" spans="2:9" hidden="1" x14ac:dyDescent="0.25">
      <c r="B663" s="25" t="s">
        <v>16</v>
      </c>
      <c r="C663" s="25" t="s">
        <v>1090</v>
      </c>
      <c r="D663" s="25">
        <v>0</v>
      </c>
      <c r="E663" s="25" t="s">
        <v>1091</v>
      </c>
      <c r="F663" s="26" t="str">
        <f t="shared" si="40"/>
        <v>PIT822136</v>
      </c>
      <c r="G663" s="26">
        <f t="shared" si="42"/>
        <v>0</v>
      </c>
      <c r="H663" s="23" t="str">
        <f t="shared" si="43"/>
        <v>PI822136IO.Mode</v>
      </c>
      <c r="I663" s="23">
        <f t="shared" si="41"/>
        <v>0</v>
      </c>
    </row>
    <row r="664" spans="2:9" hidden="1" x14ac:dyDescent="0.25">
      <c r="B664" s="25" t="s">
        <v>16</v>
      </c>
      <c r="C664" s="25" t="s">
        <v>1092</v>
      </c>
      <c r="D664" s="25">
        <v>0</v>
      </c>
      <c r="E664" s="25" t="s">
        <v>1093</v>
      </c>
      <c r="F664" s="26" t="str">
        <f t="shared" si="40"/>
        <v>PIT822137</v>
      </c>
      <c r="G664" s="26">
        <f t="shared" si="42"/>
        <v>0</v>
      </c>
      <c r="H664" s="23" t="str">
        <f t="shared" si="43"/>
        <v>PI822137IO.Mode</v>
      </c>
      <c r="I664" s="23">
        <f t="shared" si="41"/>
        <v>0</v>
      </c>
    </row>
    <row r="665" spans="2:9" hidden="1" x14ac:dyDescent="0.25">
      <c r="B665" s="25" t="s">
        <v>16</v>
      </c>
      <c r="C665" s="25" t="s">
        <v>1094</v>
      </c>
      <c r="D665" s="25">
        <v>0</v>
      </c>
      <c r="E665" s="25" t="s">
        <v>1095</v>
      </c>
      <c r="F665" s="26" t="str">
        <f t="shared" si="40"/>
        <v>PIT822146</v>
      </c>
      <c r="G665" s="26">
        <f t="shared" si="42"/>
        <v>0</v>
      </c>
      <c r="H665" s="23" t="str">
        <f t="shared" si="43"/>
        <v>PI822146IO.Mode</v>
      </c>
      <c r="I665" s="23">
        <f t="shared" si="41"/>
        <v>0</v>
      </c>
    </row>
    <row r="666" spans="2:9" x14ac:dyDescent="0.25">
      <c r="B666" s="25" t="s">
        <v>16</v>
      </c>
      <c r="C666" s="25" t="s">
        <v>1863</v>
      </c>
      <c r="D666" s="25">
        <v>0</v>
      </c>
      <c r="E666" s="25" t="s">
        <v>1864</v>
      </c>
      <c r="F666" s="26" t="str">
        <f t="shared" si="40"/>
        <v>PT822150</v>
      </c>
      <c r="G666" s="26">
        <f t="shared" si="42"/>
        <v>2</v>
      </c>
      <c r="H666" s="23" t="str">
        <f t="shared" si="43"/>
        <v>PI822150IO.Mode</v>
      </c>
      <c r="I666" s="23">
        <f t="shared" si="41"/>
        <v>2</v>
      </c>
    </row>
    <row r="667" spans="2:9" hidden="1" x14ac:dyDescent="0.25">
      <c r="B667" s="25" t="s">
        <v>16</v>
      </c>
      <c r="C667" s="25" t="s">
        <v>1096</v>
      </c>
      <c r="D667" s="25">
        <v>0</v>
      </c>
      <c r="E667" s="25" t="s">
        <v>1097</v>
      </c>
      <c r="F667" s="26" t="str">
        <f t="shared" si="40"/>
        <v>PIT822301</v>
      </c>
      <c r="G667" s="26">
        <f t="shared" si="42"/>
        <v>0</v>
      </c>
      <c r="H667" s="23" t="str">
        <f t="shared" si="43"/>
        <v>PI822301IO.Mode</v>
      </c>
      <c r="I667" s="23">
        <f t="shared" si="41"/>
        <v>0</v>
      </c>
    </row>
    <row r="668" spans="2:9" hidden="1" x14ac:dyDescent="0.25">
      <c r="B668" s="25" t="s">
        <v>16</v>
      </c>
      <c r="C668" s="25" t="s">
        <v>1098</v>
      </c>
      <c r="D668" s="25">
        <v>0</v>
      </c>
      <c r="E668" s="25" t="s">
        <v>1099</v>
      </c>
      <c r="F668" s="26" t="str">
        <f t="shared" si="40"/>
        <v>PIT822312</v>
      </c>
      <c r="G668" s="26">
        <f t="shared" si="42"/>
        <v>0</v>
      </c>
      <c r="H668" s="23" t="str">
        <f t="shared" si="43"/>
        <v>PI822312IO.Mode</v>
      </c>
      <c r="I668" s="23">
        <f t="shared" si="41"/>
        <v>0</v>
      </c>
    </row>
    <row r="669" spans="2:9" hidden="1" x14ac:dyDescent="0.25">
      <c r="B669" s="25" t="s">
        <v>16</v>
      </c>
      <c r="C669" s="25" t="s">
        <v>1100</v>
      </c>
      <c r="D669" s="25">
        <v>0</v>
      </c>
      <c r="E669" s="25" t="s">
        <v>1101</v>
      </c>
      <c r="F669" s="26" t="str">
        <f t="shared" si="40"/>
        <v>PIT822401</v>
      </c>
      <c r="G669" s="26">
        <f t="shared" si="42"/>
        <v>0</v>
      </c>
      <c r="H669" s="23" t="str">
        <f t="shared" si="43"/>
        <v>PI822401IO.Mode</v>
      </c>
      <c r="I669" s="23">
        <f t="shared" si="41"/>
        <v>0</v>
      </c>
    </row>
    <row r="670" spans="2:9" hidden="1" x14ac:dyDescent="0.25">
      <c r="B670" s="25" t="s">
        <v>16</v>
      </c>
      <c r="C670" s="25" t="s">
        <v>1102</v>
      </c>
      <c r="D670" s="25">
        <v>0</v>
      </c>
      <c r="E670" s="25" t="s">
        <v>1103</v>
      </c>
      <c r="F670" s="26" t="str">
        <f t="shared" si="40"/>
        <v>PIT822412</v>
      </c>
      <c r="G670" s="26">
        <f t="shared" si="42"/>
        <v>0</v>
      </c>
      <c r="H670" s="23" t="str">
        <f t="shared" si="43"/>
        <v>PI822412IO.Mode</v>
      </c>
      <c r="I670" s="23">
        <f t="shared" si="41"/>
        <v>0</v>
      </c>
    </row>
    <row r="671" spans="2:9" hidden="1" x14ac:dyDescent="0.25">
      <c r="B671" s="25" t="s">
        <v>16</v>
      </c>
      <c r="C671" s="25" t="s">
        <v>1104</v>
      </c>
      <c r="D671" s="25">
        <v>0</v>
      </c>
      <c r="E671" s="25" t="s">
        <v>1105</v>
      </c>
      <c r="F671" s="26" t="str">
        <f t="shared" si="40"/>
        <v>PIT822908</v>
      </c>
      <c r="G671" s="26">
        <f t="shared" si="42"/>
        <v>0</v>
      </c>
      <c r="H671" s="23" t="str">
        <f t="shared" si="43"/>
        <v>PI822908IO.Mode</v>
      </c>
      <c r="I671" s="23">
        <f t="shared" si="41"/>
        <v>0</v>
      </c>
    </row>
    <row r="672" spans="2:9" hidden="1" x14ac:dyDescent="0.25">
      <c r="B672" s="25" t="s">
        <v>16</v>
      </c>
      <c r="C672" s="25" t="s">
        <v>1106</v>
      </c>
      <c r="D672" s="25">
        <v>0</v>
      </c>
      <c r="E672" s="25" t="s">
        <v>1107</v>
      </c>
      <c r="F672" s="26" t="str">
        <f t="shared" si="40"/>
        <v>PIT822910</v>
      </c>
      <c r="G672" s="26">
        <f t="shared" si="42"/>
        <v>0</v>
      </c>
      <c r="H672" s="23" t="str">
        <f t="shared" si="43"/>
        <v>PI822910IO.Mode</v>
      </c>
      <c r="I672" s="23">
        <f t="shared" si="41"/>
        <v>0</v>
      </c>
    </row>
    <row r="673" spans="2:9" hidden="1" x14ac:dyDescent="0.25">
      <c r="B673" s="25" t="s">
        <v>16</v>
      </c>
      <c r="C673" s="25" t="s">
        <v>1108</v>
      </c>
      <c r="D673" s="25">
        <v>0</v>
      </c>
      <c r="E673" s="25" t="s">
        <v>1109</v>
      </c>
      <c r="F673" s="26" t="str">
        <f t="shared" si="40"/>
        <v>PIT822911</v>
      </c>
      <c r="G673" s="26">
        <f t="shared" si="42"/>
        <v>0</v>
      </c>
      <c r="H673" s="23" t="str">
        <f t="shared" si="43"/>
        <v>PI822911IO.Mode</v>
      </c>
      <c r="I673" s="23">
        <f t="shared" si="41"/>
        <v>0</v>
      </c>
    </row>
    <row r="674" spans="2:9" hidden="1" x14ac:dyDescent="0.25">
      <c r="B674" s="25" t="s">
        <v>16</v>
      </c>
      <c r="C674" s="25" t="s">
        <v>1110</v>
      </c>
      <c r="D674" s="25">
        <v>0</v>
      </c>
      <c r="E674" s="25" t="s">
        <v>1111</v>
      </c>
      <c r="F674" s="26" t="str">
        <f t="shared" si="40"/>
        <v>PIT823006</v>
      </c>
      <c r="G674" s="26">
        <f t="shared" si="42"/>
        <v>0</v>
      </c>
      <c r="H674" s="23" t="str">
        <f t="shared" si="43"/>
        <v>PI823006IO.Mode</v>
      </c>
      <c r="I674" s="23">
        <f t="shared" si="41"/>
        <v>0</v>
      </c>
    </row>
    <row r="675" spans="2:9" hidden="1" x14ac:dyDescent="0.25">
      <c r="B675" s="25" t="s">
        <v>16</v>
      </c>
      <c r="C675" s="25" t="s">
        <v>1112</v>
      </c>
      <c r="D675" s="25">
        <v>0</v>
      </c>
      <c r="E675" s="25" t="s">
        <v>1113</v>
      </c>
      <c r="F675" s="26" t="str">
        <f t="shared" si="40"/>
        <v>PIT823105</v>
      </c>
      <c r="G675" s="26">
        <f t="shared" si="42"/>
        <v>0</v>
      </c>
      <c r="H675" s="23" t="str">
        <f t="shared" si="43"/>
        <v>PI823105IO.Mode</v>
      </c>
      <c r="I675" s="23">
        <f t="shared" si="41"/>
        <v>0</v>
      </c>
    </row>
    <row r="676" spans="2:9" hidden="1" x14ac:dyDescent="0.25">
      <c r="B676" s="25" t="s">
        <v>16</v>
      </c>
      <c r="C676" s="25" t="s">
        <v>1114</v>
      </c>
      <c r="D676" s="25">
        <v>0</v>
      </c>
      <c r="E676" s="25" t="s">
        <v>1115</v>
      </c>
      <c r="F676" s="26" t="str">
        <f t="shared" si="40"/>
        <v>PIT823203</v>
      </c>
      <c r="G676" s="26">
        <f t="shared" si="42"/>
        <v>0</v>
      </c>
      <c r="H676" s="23" t="str">
        <f t="shared" si="43"/>
        <v>PI823203IO.Mode</v>
      </c>
      <c r="I676" s="23">
        <f t="shared" si="41"/>
        <v>0</v>
      </c>
    </row>
    <row r="677" spans="2:9" hidden="1" x14ac:dyDescent="0.25">
      <c r="B677" s="25" t="s">
        <v>16</v>
      </c>
      <c r="C677" s="25" t="s">
        <v>1116</v>
      </c>
      <c r="D677" s="25">
        <v>0</v>
      </c>
      <c r="E677" s="25" t="s">
        <v>1117</v>
      </c>
      <c r="F677" s="26" t="str">
        <f t="shared" si="40"/>
        <v>PIT823213</v>
      </c>
      <c r="G677" s="26">
        <f t="shared" si="42"/>
        <v>0</v>
      </c>
      <c r="H677" s="23" t="str">
        <f t="shared" si="43"/>
        <v>PI823213IO.Mode</v>
      </c>
      <c r="I677" s="23">
        <f t="shared" si="41"/>
        <v>0</v>
      </c>
    </row>
    <row r="678" spans="2:9" hidden="1" x14ac:dyDescent="0.25">
      <c r="B678" s="25" t="s">
        <v>16</v>
      </c>
      <c r="C678" s="25" t="s">
        <v>1118</v>
      </c>
      <c r="D678" s="25">
        <v>0</v>
      </c>
      <c r="E678" s="25" t="s">
        <v>1119</v>
      </c>
      <c r="F678" s="26" t="str">
        <f t="shared" si="40"/>
        <v>PIT823215</v>
      </c>
      <c r="G678" s="26">
        <f t="shared" si="42"/>
        <v>0</v>
      </c>
      <c r="H678" s="23" t="str">
        <f t="shared" si="43"/>
        <v>PI823215IO.Mode</v>
      </c>
      <c r="I678" s="23">
        <f t="shared" si="41"/>
        <v>0</v>
      </c>
    </row>
    <row r="679" spans="2:9" hidden="1" x14ac:dyDescent="0.25">
      <c r="B679" s="25" t="s">
        <v>16</v>
      </c>
      <c r="C679" s="25" t="s">
        <v>1120</v>
      </c>
      <c r="D679" s="25">
        <v>0</v>
      </c>
      <c r="E679" s="25" t="s">
        <v>1121</v>
      </c>
      <c r="F679" s="26" t="str">
        <f t="shared" si="40"/>
        <v>PIT823218</v>
      </c>
      <c r="G679" s="26">
        <f t="shared" si="42"/>
        <v>0</v>
      </c>
      <c r="H679" s="23" t="str">
        <f t="shared" si="43"/>
        <v>PI823218IO.Mode</v>
      </c>
      <c r="I679" s="23">
        <f t="shared" si="41"/>
        <v>0</v>
      </c>
    </row>
    <row r="680" spans="2:9" hidden="1" x14ac:dyDescent="0.25">
      <c r="B680" s="25" t="s">
        <v>16</v>
      </c>
      <c r="C680" s="25" t="s">
        <v>1122</v>
      </c>
      <c r="D680" s="25">
        <v>0</v>
      </c>
      <c r="E680" s="25" t="s">
        <v>1123</v>
      </c>
      <c r="F680" s="26" t="str">
        <f t="shared" si="40"/>
        <v>PIT823302</v>
      </c>
      <c r="G680" s="26">
        <f t="shared" si="42"/>
        <v>0</v>
      </c>
      <c r="H680" s="23" t="str">
        <f t="shared" si="43"/>
        <v>PI823302IO.Mode</v>
      </c>
      <c r="I680" s="23">
        <f t="shared" si="41"/>
        <v>0</v>
      </c>
    </row>
    <row r="681" spans="2:9" hidden="1" x14ac:dyDescent="0.25">
      <c r="B681" s="25" t="s">
        <v>16</v>
      </c>
      <c r="C681" s="25" t="s">
        <v>1124</v>
      </c>
      <c r="D681" s="25">
        <v>0</v>
      </c>
      <c r="E681" s="25" t="s">
        <v>1125</v>
      </c>
      <c r="F681" s="26" t="str">
        <f t="shared" si="40"/>
        <v>PIT823304</v>
      </c>
      <c r="G681" s="26">
        <f t="shared" si="42"/>
        <v>0</v>
      </c>
      <c r="H681" s="23" t="str">
        <f t="shared" si="43"/>
        <v>PI823304IO.Mode</v>
      </c>
      <c r="I681" s="23">
        <f t="shared" si="41"/>
        <v>0</v>
      </c>
    </row>
    <row r="682" spans="2:9" hidden="1" x14ac:dyDescent="0.25">
      <c r="B682" s="25" t="s">
        <v>16</v>
      </c>
      <c r="C682" s="25" t="s">
        <v>1126</v>
      </c>
      <c r="D682" s="25">
        <v>0</v>
      </c>
      <c r="E682" s="25" t="s">
        <v>1127</v>
      </c>
      <c r="F682" s="26" t="str">
        <f t="shared" si="40"/>
        <v>PIT823330</v>
      </c>
      <c r="G682" s="26">
        <f t="shared" si="42"/>
        <v>0</v>
      </c>
      <c r="H682" s="23" t="str">
        <f t="shared" si="43"/>
        <v>PI823330IO.Mode</v>
      </c>
      <c r="I682" s="23">
        <f t="shared" si="41"/>
        <v>0</v>
      </c>
    </row>
    <row r="683" spans="2:9" hidden="1" x14ac:dyDescent="0.25">
      <c r="B683" s="25" t="s">
        <v>16</v>
      </c>
      <c r="C683" s="25" t="s">
        <v>1128</v>
      </c>
      <c r="D683" s="25">
        <v>0</v>
      </c>
      <c r="E683" s="25" t="s">
        <v>1129</v>
      </c>
      <c r="F683" s="26" t="str">
        <f t="shared" si="40"/>
        <v>PIT823332</v>
      </c>
      <c r="G683" s="26">
        <f t="shared" si="42"/>
        <v>0</v>
      </c>
      <c r="H683" s="23" t="str">
        <f t="shared" si="43"/>
        <v>PI823332IO.Mode</v>
      </c>
      <c r="I683" s="23">
        <f t="shared" si="41"/>
        <v>0</v>
      </c>
    </row>
    <row r="684" spans="2:9" hidden="1" x14ac:dyDescent="0.25">
      <c r="B684" s="25" t="s">
        <v>16</v>
      </c>
      <c r="C684" s="25" t="s">
        <v>1130</v>
      </c>
      <c r="D684" s="25">
        <v>0</v>
      </c>
      <c r="E684" s="25" t="s">
        <v>1131</v>
      </c>
      <c r="F684" s="26" t="str">
        <f t="shared" si="40"/>
        <v>PIT825004</v>
      </c>
      <c r="G684" s="26">
        <f t="shared" si="42"/>
        <v>0</v>
      </c>
      <c r="H684" s="23" t="str">
        <f t="shared" si="43"/>
        <v>PI825004IO.Mode</v>
      </c>
      <c r="I684" s="23">
        <f t="shared" si="41"/>
        <v>0</v>
      </c>
    </row>
    <row r="685" spans="2:9" hidden="1" x14ac:dyDescent="0.25">
      <c r="B685" s="25" t="s">
        <v>16</v>
      </c>
      <c r="C685" s="25" t="s">
        <v>1132</v>
      </c>
      <c r="D685" s="25">
        <v>0</v>
      </c>
      <c r="E685" s="25" t="s">
        <v>1133</v>
      </c>
      <c r="F685" s="26" t="str">
        <f t="shared" si="40"/>
        <v>PIT825008</v>
      </c>
      <c r="G685" s="26">
        <f t="shared" si="42"/>
        <v>0</v>
      </c>
      <c r="H685" s="23" t="str">
        <f t="shared" si="43"/>
        <v>PI825008IO.Mode</v>
      </c>
      <c r="I685" s="23">
        <f t="shared" si="41"/>
        <v>0</v>
      </c>
    </row>
    <row r="686" spans="2:9" hidden="1" x14ac:dyDescent="0.25">
      <c r="B686" s="25" t="s">
        <v>16</v>
      </c>
      <c r="C686" s="25" t="s">
        <v>1134</v>
      </c>
      <c r="D686" s="25">
        <v>0</v>
      </c>
      <c r="E686" s="25" t="s">
        <v>1135</v>
      </c>
      <c r="F686" s="26" t="str">
        <f t="shared" si="40"/>
        <v>PIT830101</v>
      </c>
      <c r="G686" s="26">
        <f t="shared" si="42"/>
        <v>0</v>
      </c>
      <c r="H686" s="23" t="str">
        <f t="shared" si="43"/>
        <v>PI830101IO.Mode</v>
      </c>
      <c r="I686" s="23">
        <f t="shared" si="41"/>
        <v>0</v>
      </c>
    </row>
    <row r="687" spans="2:9" x14ac:dyDescent="0.25">
      <c r="B687" s="25" t="s">
        <v>16</v>
      </c>
      <c r="C687" s="25" t="s">
        <v>1865</v>
      </c>
      <c r="D687" s="25">
        <v>0</v>
      </c>
      <c r="E687" s="25" t="s">
        <v>1866</v>
      </c>
      <c r="F687" s="26" t="str">
        <f t="shared" si="40"/>
        <v>PT830119</v>
      </c>
      <c r="G687" s="26">
        <f t="shared" si="42"/>
        <v>2</v>
      </c>
      <c r="H687" s="23" t="str">
        <f t="shared" si="43"/>
        <v>PI830119IO.Mode</v>
      </c>
      <c r="I687" s="23">
        <f t="shared" si="41"/>
        <v>2</v>
      </c>
    </row>
    <row r="688" spans="2:9" hidden="1" x14ac:dyDescent="0.25">
      <c r="B688" s="25" t="s">
        <v>16</v>
      </c>
      <c r="C688" s="25" t="s">
        <v>1136</v>
      </c>
      <c r="D688" s="25">
        <v>0</v>
      </c>
      <c r="E688" s="25" t="s">
        <v>1137</v>
      </c>
      <c r="F688" s="26" t="str">
        <f t="shared" si="40"/>
        <v>PIT830209</v>
      </c>
      <c r="G688" s="26">
        <f t="shared" si="42"/>
        <v>0</v>
      </c>
      <c r="H688" s="23" t="str">
        <f t="shared" si="43"/>
        <v>PI830209IO.Mode</v>
      </c>
      <c r="I688" s="23">
        <f t="shared" si="41"/>
        <v>0</v>
      </c>
    </row>
    <row r="689" spans="2:9" hidden="1" x14ac:dyDescent="0.25">
      <c r="B689" s="25" t="s">
        <v>16</v>
      </c>
      <c r="C689" s="25" t="s">
        <v>1138</v>
      </c>
      <c r="D689" s="25">
        <v>0</v>
      </c>
      <c r="E689" s="25" t="s">
        <v>1139</v>
      </c>
      <c r="F689" s="26" t="str">
        <f t="shared" si="40"/>
        <v>PIT830223</v>
      </c>
      <c r="G689" s="26">
        <f t="shared" si="42"/>
        <v>0</v>
      </c>
      <c r="H689" s="23" t="str">
        <f t="shared" si="43"/>
        <v>PI830223IO.Mode</v>
      </c>
      <c r="I689" s="23">
        <f t="shared" si="41"/>
        <v>0</v>
      </c>
    </row>
    <row r="690" spans="2:9" x14ac:dyDescent="0.25">
      <c r="B690" s="25" t="s">
        <v>16</v>
      </c>
      <c r="C690" s="25" t="s">
        <v>1867</v>
      </c>
      <c r="D690" s="25">
        <v>0</v>
      </c>
      <c r="E690" s="25" t="s">
        <v>1868</v>
      </c>
      <c r="F690" s="26" t="str">
        <f t="shared" ref="F690:F753" si="44">+LEFT(E690,FIND(".",E690,1)-1)</f>
        <v>PT830226</v>
      </c>
      <c r="G690" s="26">
        <f t="shared" si="42"/>
        <v>2</v>
      </c>
      <c r="H690" s="23" t="str">
        <f t="shared" si="43"/>
        <v>PI830226IO.Mode</v>
      </c>
      <c r="I690" s="23">
        <f t="shared" ref="I690:I753" si="45">+G690</f>
        <v>2</v>
      </c>
    </row>
    <row r="691" spans="2:9" x14ac:dyDescent="0.25">
      <c r="B691" s="25" t="s">
        <v>16</v>
      </c>
      <c r="C691" s="25" t="s">
        <v>1869</v>
      </c>
      <c r="D691" s="25">
        <v>0</v>
      </c>
      <c r="E691" s="25" t="s">
        <v>1870</v>
      </c>
      <c r="F691" s="26" t="str">
        <f t="shared" si="44"/>
        <v>PT830231</v>
      </c>
      <c r="G691" s="26">
        <f t="shared" si="42"/>
        <v>2</v>
      </c>
      <c r="H691" s="23" t="str">
        <f t="shared" si="43"/>
        <v>PI830231IO.Mode</v>
      </c>
      <c r="I691" s="23">
        <f t="shared" si="45"/>
        <v>2</v>
      </c>
    </row>
    <row r="692" spans="2:9" hidden="1" x14ac:dyDescent="0.25">
      <c r="B692" s="25" t="s">
        <v>16</v>
      </c>
      <c r="C692" s="25" t="s">
        <v>1140</v>
      </c>
      <c r="D692" s="25">
        <v>0</v>
      </c>
      <c r="E692" s="25" t="s">
        <v>1141</v>
      </c>
      <c r="F692" s="26" t="str">
        <f t="shared" si="44"/>
        <v>PIT830307</v>
      </c>
      <c r="G692" s="26">
        <f t="shared" si="42"/>
        <v>0</v>
      </c>
      <c r="H692" s="23" t="str">
        <f t="shared" si="43"/>
        <v>PI830307IO.Mode</v>
      </c>
      <c r="I692" s="23">
        <f t="shared" si="45"/>
        <v>0</v>
      </c>
    </row>
    <row r="693" spans="2:9" hidden="1" x14ac:dyDescent="0.25">
      <c r="B693" s="25" t="s">
        <v>16</v>
      </c>
      <c r="C693" s="25" t="s">
        <v>1142</v>
      </c>
      <c r="D693" s="25">
        <v>0</v>
      </c>
      <c r="E693" s="25" t="s">
        <v>1143</v>
      </c>
      <c r="F693" s="26" t="str">
        <f t="shared" si="44"/>
        <v>PIT830318</v>
      </c>
      <c r="G693" s="26">
        <f t="shared" si="42"/>
        <v>0</v>
      </c>
      <c r="H693" s="23" t="str">
        <f t="shared" si="43"/>
        <v>PI830318IO.Mode</v>
      </c>
      <c r="I693" s="23">
        <f t="shared" si="45"/>
        <v>0</v>
      </c>
    </row>
    <row r="694" spans="2:9" hidden="1" x14ac:dyDescent="0.25">
      <c r="B694" s="25" t="s">
        <v>16</v>
      </c>
      <c r="C694" s="25" t="s">
        <v>1144</v>
      </c>
      <c r="D694" s="25">
        <v>0</v>
      </c>
      <c r="E694" s="25" t="s">
        <v>1145</v>
      </c>
      <c r="F694" s="26" t="str">
        <f t="shared" si="44"/>
        <v>PIT830324</v>
      </c>
      <c r="G694" s="26">
        <f t="shared" si="42"/>
        <v>0</v>
      </c>
      <c r="H694" s="23" t="str">
        <f t="shared" si="43"/>
        <v>PI830324IO.Mode</v>
      </c>
      <c r="I694" s="23">
        <f t="shared" si="45"/>
        <v>0</v>
      </c>
    </row>
    <row r="695" spans="2:9" hidden="1" x14ac:dyDescent="0.25">
      <c r="B695" s="25" t="s">
        <v>16</v>
      </c>
      <c r="C695" s="25" t="s">
        <v>1146</v>
      </c>
      <c r="D695" s="25">
        <v>0</v>
      </c>
      <c r="E695" s="25" t="s">
        <v>1147</v>
      </c>
      <c r="F695" s="26" t="str">
        <f t="shared" si="44"/>
        <v>PIT830328</v>
      </c>
      <c r="G695" s="26">
        <f t="shared" si="42"/>
        <v>0</v>
      </c>
      <c r="H695" s="23" t="str">
        <f t="shared" si="43"/>
        <v>PI830328IO.Mode</v>
      </c>
      <c r="I695" s="23">
        <f t="shared" si="45"/>
        <v>0</v>
      </c>
    </row>
    <row r="696" spans="2:9" hidden="1" x14ac:dyDescent="0.25">
      <c r="B696" s="25" t="s">
        <v>16</v>
      </c>
      <c r="C696" s="25" t="s">
        <v>1148</v>
      </c>
      <c r="D696" s="25">
        <v>0</v>
      </c>
      <c r="E696" s="25" t="s">
        <v>1149</v>
      </c>
      <c r="F696" s="26" t="str">
        <f t="shared" si="44"/>
        <v>PT830332</v>
      </c>
      <c r="G696" s="26">
        <f t="shared" si="42"/>
        <v>0</v>
      </c>
      <c r="H696" s="23" t="str">
        <f t="shared" si="43"/>
        <v>PI830332IO.Mode</v>
      </c>
      <c r="I696" s="23">
        <f t="shared" si="45"/>
        <v>0</v>
      </c>
    </row>
    <row r="697" spans="2:9" hidden="1" x14ac:dyDescent="0.25">
      <c r="B697" s="25" t="s">
        <v>16</v>
      </c>
      <c r="C697" s="25" t="s">
        <v>1150</v>
      </c>
      <c r="D697" s="25">
        <v>0</v>
      </c>
      <c r="E697" s="25" t="s">
        <v>1151</v>
      </c>
      <c r="F697" s="26" t="str">
        <f t="shared" si="44"/>
        <v>PIT830414</v>
      </c>
      <c r="G697" s="26">
        <f t="shared" si="42"/>
        <v>0</v>
      </c>
      <c r="H697" s="23" t="str">
        <f t="shared" si="43"/>
        <v>PI830414IO.Mode</v>
      </c>
      <c r="I697" s="23">
        <f t="shared" si="45"/>
        <v>0</v>
      </c>
    </row>
    <row r="698" spans="2:9" hidden="1" x14ac:dyDescent="0.25">
      <c r="B698" s="25" t="s">
        <v>16</v>
      </c>
      <c r="C698" s="25" t="s">
        <v>1152</v>
      </c>
      <c r="D698" s="25">
        <v>0</v>
      </c>
      <c r="E698" s="25" t="s">
        <v>1153</v>
      </c>
      <c r="F698" s="26" t="str">
        <f t="shared" si="44"/>
        <v>PIT830501A</v>
      </c>
      <c r="G698" s="26">
        <f t="shared" si="42"/>
        <v>0</v>
      </c>
      <c r="H698" s="23" t="str">
        <f t="shared" si="43"/>
        <v>PI830501A_1oo2IO_MA1.Mode</v>
      </c>
      <c r="I698" s="23">
        <f t="shared" si="45"/>
        <v>0</v>
      </c>
    </row>
    <row r="699" spans="2:9" hidden="1" x14ac:dyDescent="0.25">
      <c r="B699" s="25" t="s">
        <v>16</v>
      </c>
      <c r="C699" s="25" t="s">
        <v>1154</v>
      </c>
      <c r="D699" s="25">
        <v>0</v>
      </c>
      <c r="E699" s="25" t="s">
        <v>1155</v>
      </c>
      <c r="F699" s="26" t="str">
        <f t="shared" si="44"/>
        <v>PIT830501B</v>
      </c>
      <c r="G699" s="26">
        <f t="shared" si="42"/>
        <v>0</v>
      </c>
      <c r="H699" s="23" t="str">
        <f t="shared" si="43"/>
        <v>PI830501A_1oo2IO_MA2.Mode</v>
      </c>
      <c r="I699" s="23">
        <f t="shared" si="45"/>
        <v>0</v>
      </c>
    </row>
    <row r="700" spans="2:9" hidden="1" x14ac:dyDescent="0.25">
      <c r="B700" s="25" t="s">
        <v>16</v>
      </c>
      <c r="C700" s="25" t="s">
        <v>1156</v>
      </c>
      <c r="D700" s="25">
        <v>0</v>
      </c>
      <c r="E700" s="25" t="s">
        <v>1157</v>
      </c>
      <c r="F700" s="26" t="str">
        <f t="shared" si="44"/>
        <v>PIT830528</v>
      </c>
      <c r="G700" s="26">
        <f t="shared" si="42"/>
        <v>0</v>
      </c>
      <c r="H700" s="23" t="str">
        <f t="shared" si="43"/>
        <v>PI830528IO.Mode</v>
      </c>
      <c r="I700" s="23">
        <f t="shared" si="45"/>
        <v>0</v>
      </c>
    </row>
    <row r="701" spans="2:9" hidden="1" x14ac:dyDescent="0.25">
      <c r="B701" s="25" t="s">
        <v>16</v>
      </c>
      <c r="C701" s="25" t="s">
        <v>1158</v>
      </c>
      <c r="D701" s="25">
        <v>0</v>
      </c>
      <c r="E701" s="25" t="s">
        <v>1159</v>
      </c>
      <c r="F701" s="26" t="str">
        <f t="shared" si="44"/>
        <v>PIT830529</v>
      </c>
      <c r="G701" s="26">
        <f t="shared" si="42"/>
        <v>0</v>
      </c>
      <c r="H701" s="23" t="str">
        <f t="shared" si="43"/>
        <v>PI830529IO.Mode</v>
      </c>
      <c r="I701" s="23">
        <f t="shared" si="45"/>
        <v>0</v>
      </c>
    </row>
    <row r="702" spans="2:9" x14ac:dyDescent="0.25">
      <c r="B702" s="25" t="s">
        <v>16</v>
      </c>
      <c r="C702" s="25" t="s">
        <v>1871</v>
      </c>
      <c r="D702" s="25">
        <v>0</v>
      </c>
      <c r="E702" s="25" t="s">
        <v>1872</v>
      </c>
      <c r="F702" s="26" t="str">
        <f t="shared" si="44"/>
        <v>PT830532</v>
      </c>
      <c r="G702" s="26">
        <f t="shared" si="42"/>
        <v>2</v>
      </c>
      <c r="H702" s="23" t="str">
        <f t="shared" si="43"/>
        <v>PI830532IO.Mode</v>
      </c>
      <c r="I702" s="23">
        <f t="shared" si="45"/>
        <v>2</v>
      </c>
    </row>
    <row r="703" spans="2:9" hidden="1" x14ac:dyDescent="0.25">
      <c r="B703" s="25" t="s">
        <v>16</v>
      </c>
      <c r="C703" s="25" t="s">
        <v>1160</v>
      </c>
      <c r="D703" s="25">
        <v>0</v>
      </c>
      <c r="E703" s="25" t="s">
        <v>1161</v>
      </c>
      <c r="F703" s="26" t="str">
        <f t="shared" si="44"/>
        <v>PIT830535</v>
      </c>
      <c r="G703" s="26">
        <f t="shared" si="42"/>
        <v>0</v>
      </c>
      <c r="H703" s="23" t="str">
        <f t="shared" si="43"/>
        <v>PI830535IO.Mode</v>
      </c>
      <c r="I703" s="23">
        <f t="shared" si="45"/>
        <v>0</v>
      </c>
    </row>
    <row r="704" spans="2:9" hidden="1" x14ac:dyDescent="0.25">
      <c r="B704" s="25" t="s">
        <v>16</v>
      </c>
      <c r="C704" s="25" t="s">
        <v>1162</v>
      </c>
      <c r="D704" s="25">
        <v>0</v>
      </c>
      <c r="E704" s="25" t="s">
        <v>1163</v>
      </c>
      <c r="F704" s="26" t="str">
        <f t="shared" si="44"/>
        <v>PIT830604</v>
      </c>
      <c r="G704" s="26">
        <f t="shared" si="42"/>
        <v>0</v>
      </c>
      <c r="H704" s="23" t="str">
        <f t="shared" si="43"/>
        <v>PI830604IO.Mode</v>
      </c>
      <c r="I704" s="23">
        <f t="shared" si="45"/>
        <v>0</v>
      </c>
    </row>
    <row r="705" spans="2:9" x14ac:dyDescent="0.25">
      <c r="B705" s="25" t="s">
        <v>16</v>
      </c>
      <c r="C705" s="25" t="s">
        <v>1873</v>
      </c>
      <c r="D705" s="25">
        <v>0</v>
      </c>
      <c r="E705" s="25" t="s">
        <v>1874</v>
      </c>
      <c r="F705" s="26" t="str">
        <f t="shared" si="44"/>
        <v>PT830609</v>
      </c>
      <c r="G705" s="26">
        <f t="shared" si="42"/>
        <v>2</v>
      </c>
      <c r="H705" s="23" t="str">
        <f t="shared" si="43"/>
        <v>PI830609IO.Mode</v>
      </c>
      <c r="I705" s="23">
        <f t="shared" si="45"/>
        <v>2</v>
      </c>
    </row>
    <row r="706" spans="2:9" x14ac:dyDescent="0.25">
      <c r="B706" s="25" t="s">
        <v>16</v>
      </c>
      <c r="C706" s="25" t="s">
        <v>1875</v>
      </c>
      <c r="D706" s="25">
        <v>0</v>
      </c>
      <c r="E706" s="25" t="s">
        <v>1876</v>
      </c>
      <c r="F706" s="26" t="str">
        <f t="shared" si="44"/>
        <v>PT830629</v>
      </c>
      <c r="G706" s="26">
        <f t="shared" ref="G706:G769" si="46">+IFERROR(IF(VLOOKUP(F706,DI,2,FALSE)="IO",2,0),"N/A")</f>
        <v>2</v>
      </c>
      <c r="H706" s="23" t="str">
        <f t="shared" ref="H706:H769" si="47">+CONCATENATE(C706,".Mode")</f>
        <v>PI830629IO.Mode</v>
      </c>
      <c r="I706" s="23">
        <f t="shared" si="45"/>
        <v>2</v>
      </c>
    </row>
    <row r="707" spans="2:9" hidden="1" x14ac:dyDescent="0.25">
      <c r="B707" s="25" t="s">
        <v>16</v>
      </c>
      <c r="C707" s="25" t="s">
        <v>1164</v>
      </c>
      <c r="D707" s="25">
        <v>0</v>
      </c>
      <c r="E707" s="25" t="s">
        <v>1165</v>
      </c>
      <c r="F707" s="26" t="str">
        <f t="shared" si="44"/>
        <v>PIT830704</v>
      </c>
      <c r="G707" s="26">
        <f t="shared" si="46"/>
        <v>0</v>
      </c>
      <c r="H707" s="23" t="str">
        <f t="shared" si="47"/>
        <v>PI830704IO.Mode</v>
      </c>
      <c r="I707" s="23">
        <f t="shared" si="45"/>
        <v>0</v>
      </c>
    </row>
    <row r="708" spans="2:9" x14ac:dyDescent="0.25">
      <c r="B708" s="25" t="s">
        <v>16</v>
      </c>
      <c r="C708" s="25" t="s">
        <v>1877</v>
      </c>
      <c r="D708" s="25">
        <v>0</v>
      </c>
      <c r="E708" s="25" t="s">
        <v>1878</v>
      </c>
      <c r="F708" s="26" t="str">
        <f t="shared" si="44"/>
        <v>PT830706</v>
      </c>
      <c r="G708" s="26">
        <f t="shared" si="46"/>
        <v>2</v>
      </c>
      <c r="H708" s="23" t="str">
        <f t="shared" si="47"/>
        <v>PI830706IO.Mode</v>
      </c>
      <c r="I708" s="23">
        <f t="shared" si="45"/>
        <v>2</v>
      </c>
    </row>
    <row r="709" spans="2:9" hidden="1" x14ac:dyDescent="0.25">
      <c r="B709" s="25" t="s">
        <v>16</v>
      </c>
      <c r="C709" s="25" t="s">
        <v>1166</v>
      </c>
      <c r="D709" s="25">
        <v>0</v>
      </c>
      <c r="E709" s="25" t="s">
        <v>1167</v>
      </c>
      <c r="F709" s="26" t="str">
        <f t="shared" si="44"/>
        <v>PIT830813</v>
      </c>
      <c r="G709" s="26">
        <f t="shared" si="46"/>
        <v>0</v>
      </c>
      <c r="H709" s="23" t="str">
        <f t="shared" si="47"/>
        <v>PI830813IO.Mode</v>
      </c>
      <c r="I709" s="23">
        <f t="shared" si="45"/>
        <v>0</v>
      </c>
    </row>
    <row r="710" spans="2:9" hidden="1" x14ac:dyDescent="0.25">
      <c r="B710" s="25" t="s">
        <v>16</v>
      </c>
      <c r="C710" s="25" t="s">
        <v>1168</v>
      </c>
      <c r="D710" s="25">
        <v>0</v>
      </c>
      <c r="E710" s="25" t="s">
        <v>1169</v>
      </c>
      <c r="F710" s="26" t="str">
        <f t="shared" si="44"/>
        <v>PIT830833</v>
      </c>
      <c r="G710" s="26">
        <f t="shared" si="46"/>
        <v>0</v>
      </c>
      <c r="H710" s="23" t="str">
        <f t="shared" si="47"/>
        <v>PI830833IO.Mode</v>
      </c>
      <c r="I710" s="23">
        <f t="shared" si="45"/>
        <v>0</v>
      </c>
    </row>
    <row r="711" spans="2:9" hidden="1" x14ac:dyDescent="0.25">
      <c r="B711" s="25" t="s">
        <v>16</v>
      </c>
      <c r="C711" s="25" t="s">
        <v>1170</v>
      </c>
      <c r="D711" s="25">
        <v>0</v>
      </c>
      <c r="E711" s="25" t="s">
        <v>1171</v>
      </c>
      <c r="F711" s="26" t="str">
        <f t="shared" si="44"/>
        <v>PIT830852</v>
      </c>
      <c r="G711" s="26">
        <f t="shared" si="46"/>
        <v>0</v>
      </c>
      <c r="H711" s="23" t="str">
        <f t="shared" si="47"/>
        <v>PI830852IO.Mode</v>
      </c>
      <c r="I711" s="23">
        <f t="shared" si="45"/>
        <v>0</v>
      </c>
    </row>
    <row r="712" spans="2:9" hidden="1" x14ac:dyDescent="0.25">
      <c r="B712" s="25" t="s">
        <v>16</v>
      </c>
      <c r="C712" s="25" t="s">
        <v>1172</v>
      </c>
      <c r="D712" s="25">
        <v>0</v>
      </c>
      <c r="E712" s="25" t="s">
        <v>1173</v>
      </c>
      <c r="F712" s="26" t="str">
        <f t="shared" si="44"/>
        <v>PIT830901</v>
      </c>
      <c r="G712" s="26">
        <f t="shared" si="46"/>
        <v>0</v>
      </c>
      <c r="H712" s="23" t="str">
        <f t="shared" si="47"/>
        <v>PI830901IO.Mode</v>
      </c>
      <c r="I712" s="23">
        <f t="shared" si="45"/>
        <v>0</v>
      </c>
    </row>
    <row r="713" spans="2:9" hidden="1" x14ac:dyDescent="0.25">
      <c r="B713" s="25" t="s">
        <v>16</v>
      </c>
      <c r="C713" s="25" t="s">
        <v>1174</v>
      </c>
      <c r="D713" s="25">
        <v>0</v>
      </c>
      <c r="E713" s="25" t="s">
        <v>1175</v>
      </c>
      <c r="F713" s="26" t="str">
        <f t="shared" si="44"/>
        <v>PIT830908</v>
      </c>
      <c r="G713" s="26">
        <f t="shared" si="46"/>
        <v>0</v>
      </c>
      <c r="H713" s="23" t="str">
        <f t="shared" si="47"/>
        <v>PI830908IO.Mode</v>
      </c>
      <c r="I713" s="23">
        <f t="shared" si="45"/>
        <v>0</v>
      </c>
    </row>
    <row r="714" spans="2:9" hidden="1" x14ac:dyDescent="0.25">
      <c r="B714" s="25" t="s">
        <v>16</v>
      </c>
      <c r="C714" s="25" t="s">
        <v>1176</v>
      </c>
      <c r="D714" s="25">
        <v>0</v>
      </c>
      <c r="E714" s="25" t="s">
        <v>1177</v>
      </c>
      <c r="F714" s="26" t="str">
        <f t="shared" si="44"/>
        <v>PIT830909A</v>
      </c>
      <c r="G714" s="26">
        <f t="shared" si="46"/>
        <v>0</v>
      </c>
      <c r="H714" s="23" t="str">
        <f t="shared" si="47"/>
        <v>PI830909AIO.Mode</v>
      </c>
      <c r="I714" s="23">
        <f t="shared" si="45"/>
        <v>0</v>
      </c>
    </row>
    <row r="715" spans="2:9" hidden="1" x14ac:dyDescent="0.25">
      <c r="B715" s="25" t="s">
        <v>16</v>
      </c>
      <c r="C715" s="25" t="s">
        <v>1178</v>
      </c>
      <c r="D715" s="25">
        <v>0</v>
      </c>
      <c r="E715" s="25" t="s">
        <v>1179</v>
      </c>
      <c r="F715" s="26" t="str">
        <f t="shared" si="44"/>
        <v>PIT830909B</v>
      </c>
      <c r="G715" s="26">
        <f t="shared" si="46"/>
        <v>0</v>
      </c>
      <c r="H715" s="23" t="str">
        <f t="shared" si="47"/>
        <v>PI830909BIO.Mode</v>
      </c>
      <c r="I715" s="23">
        <f t="shared" si="45"/>
        <v>0</v>
      </c>
    </row>
    <row r="716" spans="2:9" hidden="1" x14ac:dyDescent="0.25">
      <c r="B716" s="25" t="s">
        <v>16</v>
      </c>
      <c r="C716" s="25" t="s">
        <v>1180</v>
      </c>
      <c r="D716" s="25">
        <v>0</v>
      </c>
      <c r="E716" s="25" t="s">
        <v>1181</v>
      </c>
      <c r="F716" s="26" t="str">
        <f t="shared" si="44"/>
        <v>PIT830919</v>
      </c>
      <c r="G716" s="26">
        <f t="shared" si="46"/>
        <v>0</v>
      </c>
      <c r="H716" s="23" t="str">
        <f t="shared" si="47"/>
        <v>PI830919IO.Mode</v>
      </c>
      <c r="I716" s="23">
        <f t="shared" si="45"/>
        <v>0</v>
      </c>
    </row>
    <row r="717" spans="2:9" hidden="1" x14ac:dyDescent="0.25">
      <c r="B717" s="25" t="s">
        <v>16</v>
      </c>
      <c r="C717" s="25" t="s">
        <v>1182</v>
      </c>
      <c r="D717" s="25">
        <v>0</v>
      </c>
      <c r="E717" s="25" t="s">
        <v>1183</v>
      </c>
      <c r="F717" s="26" t="str">
        <f t="shared" si="44"/>
        <v>PIT830934</v>
      </c>
      <c r="G717" s="26">
        <f t="shared" si="46"/>
        <v>0</v>
      </c>
      <c r="H717" s="23" t="str">
        <f t="shared" si="47"/>
        <v>PI830934IO.Mode</v>
      </c>
      <c r="I717" s="23">
        <f t="shared" si="45"/>
        <v>0</v>
      </c>
    </row>
    <row r="718" spans="2:9" hidden="1" x14ac:dyDescent="0.25">
      <c r="B718" s="25" t="s">
        <v>16</v>
      </c>
      <c r="C718" s="25" t="s">
        <v>1184</v>
      </c>
      <c r="D718" s="25">
        <v>0</v>
      </c>
      <c r="E718" s="25" t="s">
        <v>1185</v>
      </c>
      <c r="F718" s="26" t="str">
        <f t="shared" si="44"/>
        <v>PIT830942</v>
      </c>
      <c r="G718" s="26">
        <f t="shared" si="46"/>
        <v>0</v>
      </c>
      <c r="H718" s="23" t="str">
        <f t="shared" si="47"/>
        <v>PI830942IO.Mode</v>
      </c>
      <c r="I718" s="23">
        <f t="shared" si="45"/>
        <v>0</v>
      </c>
    </row>
    <row r="719" spans="2:9" hidden="1" x14ac:dyDescent="0.25">
      <c r="B719" s="25" t="s">
        <v>16</v>
      </c>
      <c r="C719" s="25" t="s">
        <v>1186</v>
      </c>
      <c r="D719" s="25">
        <v>0</v>
      </c>
      <c r="E719" s="25" t="s">
        <v>1187</v>
      </c>
      <c r="F719" s="26" t="str">
        <f t="shared" si="44"/>
        <v>PIT830944</v>
      </c>
      <c r="G719" s="26">
        <f t="shared" si="46"/>
        <v>0</v>
      </c>
      <c r="H719" s="23" t="str">
        <f t="shared" si="47"/>
        <v>PI830944IO.Mode</v>
      </c>
      <c r="I719" s="23">
        <f t="shared" si="45"/>
        <v>0</v>
      </c>
    </row>
    <row r="720" spans="2:9" x14ac:dyDescent="0.25">
      <c r="B720" s="25" t="s">
        <v>16</v>
      </c>
      <c r="C720" s="25" t="s">
        <v>1879</v>
      </c>
      <c r="D720" s="25">
        <v>0</v>
      </c>
      <c r="E720" s="25" t="s">
        <v>1880</v>
      </c>
      <c r="F720" s="26" t="str">
        <f t="shared" si="44"/>
        <v>PT830952</v>
      </c>
      <c r="G720" s="26">
        <f t="shared" si="46"/>
        <v>2</v>
      </c>
      <c r="H720" s="23" t="str">
        <f t="shared" si="47"/>
        <v>PI830952IO.Mode</v>
      </c>
      <c r="I720" s="23">
        <f t="shared" si="45"/>
        <v>2</v>
      </c>
    </row>
    <row r="721" spans="2:9" hidden="1" x14ac:dyDescent="0.25">
      <c r="B721" s="25" t="s">
        <v>16</v>
      </c>
      <c r="C721" s="25" t="s">
        <v>1188</v>
      </c>
      <c r="D721" s="25">
        <v>0</v>
      </c>
      <c r="E721" s="25" t="s">
        <v>1189</v>
      </c>
      <c r="F721" s="26" t="str">
        <f t="shared" si="44"/>
        <v>PIT831103</v>
      </c>
      <c r="G721" s="26">
        <f t="shared" si="46"/>
        <v>0</v>
      </c>
      <c r="H721" s="23" t="str">
        <f t="shared" si="47"/>
        <v>PI831103IO.Mode</v>
      </c>
      <c r="I721" s="23">
        <f t="shared" si="45"/>
        <v>0</v>
      </c>
    </row>
    <row r="722" spans="2:9" hidden="1" x14ac:dyDescent="0.25">
      <c r="B722" s="25" t="s">
        <v>16</v>
      </c>
      <c r="C722" s="25" t="s">
        <v>1190</v>
      </c>
      <c r="D722" s="25">
        <v>0</v>
      </c>
      <c r="E722" s="25" t="s">
        <v>1191</v>
      </c>
      <c r="F722" s="26" t="str">
        <f t="shared" si="44"/>
        <v>PIT831107</v>
      </c>
      <c r="G722" s="26">
        <f t="shared" si="46"/>
        <v>0</v>
      </c>
      <c r="H722" s="23" t="str">
        <f t="shared" si="47"/>
        <v>PI831107IO.Mode</v>
      </c>
      <c r="I722" s="23">
        <f t="shared" si="45"/>
        <v>0</v>
      </c>
    </row>
    <row r="723" spans="2:9" hidden="1" x14ac:dyDescent="0.25">
      <c r="B723" s="25" t="s">
        <v>16</v>
      </c>
      <c r="C723" s="25" t="s">
        <v>1192</v>
      </c>
      <c r="D723" s="25">
        <v>0</v>
      </c>
      <c r="E723" s="25" t="s">
        <v>1193</v>
      </c>
      <c r="F723" s="26" t="str">
        <f t="shared" si="44"/>
        <v>PIT831203</v>
      </c>
      <c r="G723" s="26">
        <f t="shared" si="46"/>
        <v>0</v>
      </c>
      <c r="H723" s="23" t="str">
        <f t="shared" si="47"/>
        <v>PI831203IO.Mode</v>
      </c>
      <c r="I723" s="23">
        <f t="shared" si="45"/>
        <v>0</v>
      </c>
    </row>
    <row r="724" spans="2:9" hidden="1" x14ac:dyDescent="0.25">
      <c r="B724" s="25" t="s">
        <v>16</v>
      </c>
      <c r="C724" s="25" t="s">
        <v>1194</v>
      </c>
      <c r="D724" s="25">
        <v>0</v>
      </c>
      <c r="E724" s="25" t="s">
        <v>1195</v>
      </c>
      <c r="F724" s="26" t="str">
        <f t="shared" si="44"/>
        <v>PIT831207</v>
      </c>
      <c r="G724" s="26">
        <f t="shared" si="46"/>
        <v>0</v>
      </c>
      <c r="H724" s="23" t="str">
        <f t="shared" si="47"/>
        <v>PI831207IO.Mode</v>
      </c>
      <c r="I724" s="23">
        <f t="shared" si="45"/>
        <v>0</v>
      </c>
    </row>
    <row r="725" spans="2:9" hidden="1" x14ac:dyDescent="0.25">
      <c r="B725" s="25" t="s">
        <v>16</v>
      </c>
      <c r="C725" s="25" t="s">
        <v>1196</v>
      </c>
      <c r="D725" s="25">
        <v>0</v>
      </c>
      <c r="E725" s="25" t="s">
        <v>1197</v>
      </c>
      <c r="F725" s="26" t="str">
        <f t="shared" si="44"/>
        <v>PIT832106</v>
      </c>
      <c r="G725" s="26">
        <f t="shared" si="46"/>
        <v>0</v>
      </c>
      <c r="H725" s="23" t="str">
        <f t="shared" si="47"/>
        <v>PI832106IO.Mode</v>
      </c>
      <c r="I725" s="23">
        <f t="shared" si="45"/>
        <v>0</v>
      </c>
    </row>
    <row r="726" spans="2:9" hidden="1" x14ac:dyDescent="0.25">
      <c r="B726" s="25" t="s">
        <v>16</v>
      </c>
      <c r="C726" s="25" t="s">
        <v>1198</v>
      </c>
      <c r="D726" s="25">
        <v>0</v>
      </c>
      <c r="E726" s="25" t="s">
        <v>1199</v>
      </c>
      <c r="F726" s="26" t="str">
        <f t="shared" si="44"/>
        <v>PIT832202</v>
      </c>
      <c r="G726" s="26">
        <f t="shared" si="46"/>
        <v>0</v>
      </c>
      <c r="H726" s="23" t="str">
        <f t="shared" si="47"/>
        <v>PI832202IO.Mode</v>
      </c>
      <c r="I726" s="23">
        <f t="shared" si="45"/>
        <v>0</v>
      </c>
    </row>
    <row r="727" spans="2:9" hidden="1" x14ac:dyDescent="0.25">
      <c r="B727" s="25" t="s">
        <v>16</v>
      </c>
      <c r="C727" s="25" t="s">
        <v>1200</v>
      </c>
      <c r="D727" s="25">
        <v>0</v>
      </c>
      <c r="E727" s="25" t="s">
        <v>1201</v>
      </c>
      <c r="F727" s="26" t="str">
        <f t="shared" si="44"/>
        <v>PIT832205</v>
      </c>
      <c r="G727" s="26">
        <f t="shared" si="46"/>
        <v>0</v>
      </c>
      <c r="H727" s="23" t="str">
        <f t="shared" si="47"/>
        <v>PI832205IO.Mode</v>
      </c>
      <c r="I727" s="23">
        <f t="shared" si="45"/>
        <v>0</v>
      </c>
    </row>
    <row r="728" spans="2:9" hidden="1" x14ac:dyDescent="0.25">
      <c r="B728" s="25" t="s">
        <v>16</v>
      </c>
      <c r="C728" s="25" t="s">
        <v>1202</v>
      </c>
      <c r="D728" s="25">
        <v>0</v>
      </c>
      <c r="E728" s="25" t="s">
        <v>1203</v>
      </c>
      <c r="F728" s="26" t="str">
        <f t="shared" si="44"/>
        <v>PIT832313</v>
      </c>
      <c r="G728" s="26">
        <f t="shared" si="46"/>
        <v>0</v>
      </c>
      <c r="H728" s="23" t="str">
        <f t="shared" si="47"/>
        <v>PI832313IO.Mode</v>
      </c>
      <c r="I728" s="23">
        <f t="shared" si="45"/>
        <v>0</v>
      </c>
    </row>
    <row r="729" spans="2:9" hidden="1" x14ac:dyDescent="0.25">
      <c r="B729" s="25" t="s">
        <v>16</v>
      </c>
      <c r="C729" s="25" t="s">
        <v>1204</v>
      </c>
      <c r="D729" s="25">
        <v>0</v>
      </c>
      <c r="E729" s="25" t="s">
        <v>1205</v>
      </c>
      <c r="F729" s="26" t="str">
        <f t="shared" si="44"/>
        <v>PIT832324</v>
      </c>
      <c r="G729" s="26">
        <f t="shared" si="46"/>
        <v>0</v>
      </c>
      <c r="H729" s="23" t="str">
        <f t="shared" si="47"/>
        <v>PI832324IO.Mode</v>
      </c>
      <c r="I729" s="23">
        <f t="shared" si="45"/>
        <v>0</v>
      </c>
    </row>
    <row r="730" spans="2:9" hidden="1" x14ac:dyDescent="0.25">
      <c r="B730" s="25" t="s">
        <v>16</v>
      </c>
      <c r="C730" s="25" t="s">
        <v>1206</v>
      </c>
      <c r="D730" s="25">
        <v>0</v>
      </c>
      <c r="E730" s="25" t="s">
        <v>1207</v>
      </c>
      <c r="F730" s="26" t="str">
        <f t="shared" si="44"/>
        <v>PIT832334</v>
      </c>
      <c r="G730" s="26">
        <f t="shared" si="46"/>
        <v>0</v>
      </c>
      <c r="H730" s="23" t="str">
        <f t="shared" si="47"/>
        <v>PI832334IO.Mode</v>
      </c>
      <c r="I730" s="23">
        <f t="shared" si="45"/>
        <v>0</v>
      </c>
    </row>
    <row r="731" spans="2:9" hidden="1" x14ac:dyDescent="0.25">
      <c r="B731" s="25" t="s">
        <v>16</v>
      </c>
      <c r="C731" s="25" t="s">
        <v>1208</v>
      </c>
      <c r="D731" s="25">
        <v>0</v>
      </c>
      <c r="E731" s="25" t="s">
        <v>1209</v>
      </c>
      <c r="F731" s="26" t="str">
        <f t="shared" si="44"/>
        <v>PIT832340</v>
      </c>
      <c r="G731" s="26">
        <f t="shared" si="46"/>
        <v>0</v>
      </c>
      <c r="H731" s="23" t="str">
        <f t="shared" si="47"/>
        <v>PI832340IO.Mode</v>
      </c>
      <c r="I731" s="23">
        <f t="shared" si="45"/>
        <v>0</v>
      </c>
    </row>
    <row r="732" spans="2:9" hidden="1" x14ac:dyDescent="0.25">
      <c r="B732" s="25" t="s">
        <v>16</v>
      </c>
      <c r="C732" s="25" t="s">
        <v>1210</v>
      </c>
      <c r="D732" s="25">
        <v>0</v>
      </c>
      <c r="E732" s="25" t="s">
        <v>1211</v>
      </c>
      <c r="F732" s="26" t="str">
        <f t="shared" si="44"/>
        <v>PIT832345</v>
      </c>
      <c r="G732" s="26">
        <f t="shared" si="46"/>
        <v>0</v>
      </c>
      <c r="H732" s="23" t="str">
        <f t="shared" si="47"/>
        <v>PI832345IO.Mode</v>
      </c>
      <c r="I732" s="23">
        <f t="shared" si="45"/>
        <v>0</v>
      </c>
    </row>
    <row r="733" spans="2:9" hidden="1" x14ac:dyDescent="0.25">
      <c r="B733" s="25" t="s">
        <v>16</v>
      </c>
      <c r="C733" s="25" t="s">
        <v>1212</v>
      </c>
      <c r="D733" s="25">
        <v>0</v>
      </c>
      <c r="E733" s="25" t="s">
        <v>1213</v>
      </c>
      <c r="F733" s="26" t="str">
        <f t="shared" si="44"/>
        <v>PIT832402</v>
      </c>
      <c r="G733" s="26">
        <f t="shared" si="46"/>
        <v>0</v>
      </c>
      <c r="H733" s="23" t="str">
        <f t="shared" si="47"/>
        <v>PI832402IO.Mode</v>
      </c>
      <c r="I733" s="23">
        <f t="shared" si="45"/>
        <v>0</v>
      </c>
    </row>
    <row r="734" spans="2:9" hidden="1" x14ac:dyDescent="0.25">
      <c r="B734" s="25" t="s">
        <v>16</v>
      </c>
      <c r="C734" s="25" t="s">
        <v>1214</v>
      </c>
      <c r="D734" s="25">
        <v>0</v>
      </c>
      <c r="E734" s="25" t="s">
        <v>1215</v>
      </c>
      <c r="F734" s="26" t="str">
        <f t="shared" si="44"/>
        <v>PIT832404</v>
      </c>
      <c r="G734" s="26">
        <f t="shared" si="46"/>
        <v>0</v>
      </c>
      <c r="H734" s="23" t="str">
        <f t="shared" si="47"/>
        <v>PI832404IO.Mode</v>
      </c>
      <c r="I734" s="23">
        <f t="shared" si="45"/>
        <v>0</v>
      </c>
    </row>
    <row r="735" spans="2:9" hidden="1" x14ac:dyDescent="0.25">
      <c r="B735" s="25" t="s">
        <v>16</v>
      </c>
      <c r="C735" s="25" t="s">
        <v>1216</v>
      </c>
      <c r="D735" s="25">
        <v>0</v>
      </c>
      <c r="E735" s="25" t="s">
        <v>1217</v>
      </c>
      <c r="F735" s="26" t="str">
        <f t="shared" si="44"/>
        <v>PIT832502</v>
      </c>
      <c r="G735" s="26">
        <f t="shared" si="46"/>
        <v>0</v>
      </c>
      <c r="H735" s="23" t="str">
        <f t="shared" si="47"/>
        <v>PI832502IO.Mode</v>
      </c>
      <c r="I735" s="23">
        <f t="shared" si="45"/>
        <v>0</v>
      </c>
    </row>
    <row r="736" spans="2:9" hidden="1" x14ac:dyDescent="0.25">
      <c r="B736" s="25" t="s">
        <v>16</v>
      </c>
      <c r="C736" s="25" t="s">
        <v>1218</v>
      </c>
      <c r="D736" s="25">
        <v>0</v>
      </c>
      <c r="E736" s="25" t="s">
        <v>1219</v>
      </c>
      <c r="F736" s="26" t="str">
        <f t="shared" si="44"/>
        <v>PIT832504</v>
      </c>
      <c r="G736" s="26">
        <f t="shared" si="46"/>
        <v>0</v>
      </c>
      <c r="H736" s="23" t="str">
        <f t="shared" si="47"/>
        <v>PI832504IO.Mode</v>
      </c>
      <c r="I736" s="23">
        <f t="shared" si="45"/>
        <v>0</v>
      </c>
    </row>
    <row r="737" spans="2:9" hidden="1" x14ac:dyDescent="0.25">
      <c r="B737" s="25" t="s">
        <v>16</v>
      </c>
      <c r="C737" s="25" t="s">
        <v>1220</v>
      </c>
      <c r="D737" s="25">
        <v>0</v>
      </c>
      <c r="E737" s="25" t="s">
        <v>1221</v>
      </c>
      <c r="F737" s="26" t="str">
        <f t="shared" si="44"/>
        <v>PIT835004</v>
      </c>
      <c r="G737" s="26">
        <f t="shared" si="46"/>
        <v>0</v>
      </c>
      <c r="H737" s="23" t="str">
        <f t="shared" si="47"/>
        <v>PI835004IO.Mode</v>
      </c>
      <c r="I737" s="23">
        <f t="shared" si="45"/>
        <v>0</v>
      </c>
    </row>
    <row r="738" spans="2:9" hidden="1" x14ac:dyDescent="0.25">
      <c r="B738" s="25" t="s">
        <v>16</v>
      </c>
      <c r="C738" s="25" t="s">
        <v>1222</v>
      </c>
      <c r="D738" s="25">
        <v>0</v>
      </c>
      <c r="E738" s="25" t="s">
        <v>1223</v>
      </c>
      <c r="F738" s="26" t="str">
        <f t="shared" si="44"/>
        <v>PIT835008</v>
      </c>
      <c r="G738" s="26">
        <f t="shared" si="46"/>
        <v>0</v>
      </c>
      <c r="H738" s="23" t="str">
        <f t="shared" si="47"/>
        <v>PI835008IO.Mode</v>
      </c>
      <c r="I738" s="23">
        <f t="shared" si="45"/>
        <v>0</v>
      </c>
    </row>
    <row r="739" spans="2:9" hidden="1" x14ac:dyDescent="0.25">
      <c r="B739" s="25" t="s">
        <v>16</v>
      </c>
      <c r="C739" s="25" t="s">
        <v>1224</v>
      </c>
      <c r="D739" s="25">
        <v>0</v>
      </c>
      <c r="E739" s="25" t="s">
        <v>1225</v>
      </c>
      <c r="F739" s="26" t="str">
        <f t="shared" si="44"/>
        <v>PIT840003</v>
      </c>
      <c r="G739" s="26">
        <f t="shared" si="46"/>
        <v>0</v>
      </c>
      <c r="H739" s="23" t="str">
        <f t="shared" si="47"/>
        <v>PI840003IO.Mode</v>
      </c>
      <c r="I739" s="23">
        <f t="shared" si="45"/>
        <v>0</v>
      </c>
    </row>
    <row r="740" spans="2:9" x14ac:dyDescent="0.25">
      <c r="B740" s="25" t="s">
        <v>16</v>
      </c>
      <c r="C740" s="25" t="s">
        <v>1881</v>
      </c>
      <c r="D740" s="25">
        <v>0</v>
      </c>
      <c r="E740" s="25" t="s">
        <v>1882</v>
      </c>
      <c r="F740" s="26" t="str">
        <f t="shared" si="44"/>
        <v>PT841107</v>
      </c>
      <c r="G740" s="26">
        <f t="shared" si="46"/>
        <v>2</v>
      </c>
      <c r="H740" s="23" t="str">
        <f t="shared" si="47"/>
        <v>PI841107IO.Mode</v>
      </c>
      <c r="I740" s="23">
        <f t="shared" si="45"/>
        <v>2</v>
      </c>
    </row>
    <row r="741" spans="2:9" hidden="1" x14ac:dyDescent="0.25">
      <c r="B741" s="25" t="s">
        <v>16</v>
      </c>
      <c r="C741" s="25" t="s">
        <v>1226</v>
      </c>
      <c r="D741" s="25">
        <v>0</v>
      </c>
      <c r="E741" s="25" t="s">
        <v>1227</v>
      </c>
      <c r="F741" s="26" t="str">
        <f t="shared" si="44"/>
        <v>PT841402</v>
      </c>
      <c r="G741" s="26">
        <f t="shared" si="46"/>
        <v>0</v>
      </c>
      <c r="H741" s="23" t="str">
        <f t="shared" si="47"/>
        <v>PI841402IO.Mode</v>
      </c>
      <c r="I741" s="23">
        <f t="shared" si="45"/>
        <v>0</v>
      </c>
    </row>
    <row r="742" spans="2:9" x14ac:dyDescent="0.25">
      <c r="B742" s="25" t="s">
        <v>16</v>
      </c>
      <c r="C742" s="25" t="s">
        <v>1883</v>
      </c>
      <c r="D742" s="25">
        <v>0</v>
      </c>
      <c r="E742" s="25" t="s">
        <v>1884</v>
      </c>
      <c r="F742" s="26" t="str">
        <f t="shared" si="44"/>
        <v>PT841905</v>
      </c>
      <c r="G742" s="26">
        <f t="shared" si="46"/>
        <v>2</v>
      </c>
      <c r="H742" s="23" t="str">
        <f t="shared" si="47"/>
        <v>PI841905IO.Mode</v>
      </c>
      <c r="I742" s="23">
        <f t="shared" si="45"/>
        <v>2</v>
      </c>
    </row>
    <row r="743" spans="2:9" hidden="1" x14ac:dyDescent="0.25">
      <c r="B743" s="25" t="s">
        <v>16</v>
      </c>
      <c r="C743" s="25" t="s">
        <v>1228</v>
      </c>
      <c r="D743" s="25">
        <v>0</v>
      </c>
      <c r="E743" s="25" t="s">
        <v>1229</v>
      </c>
      <c r="F743" s="26" t="str">
        <f t="shared" si="44"/>
        <v>PIT842902</v>
      </c>
      <c r="G743" s="26">
        <f t="shared" si="46"/>
        <v>0</v>
      </c>
      <c r="H743" s="23" t="str">
        <f t="shared" si="47"/>
        <v>PI842902IO.Mode</v>
      </c>
      <c r="I743" s="23">
        <f t="shared" si="45"/>
        <v>0</v>
      </c>
    </row>
    <row r="744" spans="2:9" hidden="1" x14ac:dyDescent="0.25">
      <c r="B744" s="25" t="s">
        <v>16</v>
      </c>
      <c r="C744" s="25" t="s">
        <v>1230</v>
      </c>
      <c r="D744" s="25">
        <v>0</v>
      </c>
      <c r="E744" s="25" t="s">
        <v>1231</v>
      </c>
      <c r="F744" s="26" t="str">
        <f t="shared" si="44"/>
        <v>PIT842903</v>
      </c>
      <c r="G744" s="26">
        <f t="shared" si="46"/>
        <v>0</v>
      </c>
      <c r="H744" s="23" t="str">
        <f t="shared" si="47"/>
        <v>PI842903IO.Mode</v>
      </c>
      <c r="I744" s="23">
        <f t="shared" si="45"/>
        <v>0</v>
      </c>
    </row>
    <row r="745" spans="2:9" x14ac:dyDescent="0.25">
      <c r="B745" s="25" t="s">
        <v>16</v>
      </c>
      <c r="C745" s="25" t="s">
        <v>1885</v>
      </c>
      <c r="D745" s="25">
        <v>0</v>
      </c>
      <c r="E745" s="25" t="s">
        <v>1886</v>
      </c>
      <c r="F745" s="26" t="str">
        <f t="shared" si="44"/>
        <v>PIT843011A</v>
      </c>
      <c r="G745" s="26">
        <f t="shared" si="46"/>
        <v>2</v>
      </c>
      <c r="H745" s="23" t="str">
        <f t="shared" si="47"/>
        <v>PI843011AIO.Mode</v>
      </c>
      <c r="I745" s="23">
        <f t="shared" si="45"/>
        <v>2</v>
      </c>
    </row>
    <row r="746" spans="2:9" x14ac:dyDescent="0.25">
      <c r="B746" s="25" t="s">
        <v>16</v>
      </c>
      <c r="C746" s="25" t="s">
        <v>1887</v>
      </c>
      <c r="D746" s="25">
        <v>0</v>
      </c>
      <c r="E746" s="25" t="s">
        <v>1888</v>
      </c>
      <c r="F746" s="26" t="str">
        <f t="shared" si="44"/>
        <v>PIT843011B</v>
      </c>
      <c r="G746" s="26">
        <f t="shared" si="46"/>
        <v>2</v>
      </c>
      <c r="H746" s="23" t="str">
        <f t="shared" si="47"/>
        <v>PI843011BIO.Mode</v>
      </c>
      <c r="I746" s="23">
        <f t="shared" si="45"/>
        <v>2</v>
      </c>
    </row>
    <row r="747" spans="2:9" x14ac:dyDescent="0.25">
      <c r="B747" s="25" t="s">
        <v>16</v>
      </c>
      <c r="C747" s="25" t="s">
        <v>1889</v>
      </c>
      <c r="D747" s="25">
        <v>0</v>
      </c>
      <c r="E747" s="25" t="s">
        <v>1890</v>
      </c>
      <c r="F747" s="26" t="str">
        <f t="shared" si="44"/>
        <v>PIT843017A</v>
      </c>
      <c r="G747" s="26">
        <f t="shared" si="46"/>
        <v>2</v>
      </c>
      <c r="H747" s="23" t="str">
        <f t="shared" si="47"/>
        <v>PI843017AIO.Mode</v>
      </c>
      <c r="I747" s="23">
        <f t="shared" si="45"/>
        <v>2</v>
      </c>
    </row>
    <row r="748" spans="2:9" x14ac:dyDescent="0.25">
      <c r="B748" s="25" t="s">
        <v>16</v>
      </c>
      <c r="C748" s="25" t="s">
        <v>1891</v>
      </c>
      <c r="D748" s="25">
        <v>0</v>
      </c>
      <c r="E748" s="25" t="s">
        <v>1892</v>
      </c>
      <c r="F748" s="26" t="str">
        <f t="shared" si="44"/>
        <v>PIT843017B</v>
      </c>
      <c r="G748" s="26">
        <f t="shared" si="46"/>
        <v>2</v>
      </c>
      <c r="H748" s="23" t="str">
        <f t="shared" si="47"/>
        <v>PI843017BIO.Mode</v>
      </c>
      <c r="I748" s="23">
        <f t="shared" si="45"/>
        <v>2</v>
      </c>
    </row>
    <row r="749" spans="2:9" x14ac:dyDescent="0.25">
      <c r="B749" s="25" t="s">
        <v>16</v>
      </c>
      <c r="C749" s="25" t="s">
        <v>1893</v>
      </c>
      <c r="D749" s="25">
        <v>0</v>
      </c>
      <c r="E749" s="25" t="s">
        <v>1894</v>
      </c>
      <c r="F749" s="26" t="str">
        <f t="shared" si="44"/>
        <v>PIT843021</v>
      </c>
      <c r="G749" s="26">
        <f t="shared" si="46"/>
        <v>2</v>
      </c>
      <c r="H749" s="23" t="str">
        <f t="shared" si="47"/>
        <v>PI843021IO.Mode</v>
      </c>
      <c r="I749" s="23">
        <f t="shared" si="45"/>
        <v>2</v>
      </c>
    </row>
    <row r="750" spans="2:9" x14ac:dyDescent="0.25">
      <c r="B750" s="25" t="s">
        <v>16</v>
      </c>
      <c r="C750" s="25" t="s">
        <v>1895</v>
      </c>
      <c r="D750" s="25">
        <v>0</v>
      </c>
      <c r="E750" s="25" t="s">
        <v>1896</v>
      </c>
      <c r="F750" s="26" t="str">
        <f t="shared" si="44"/>
        <v>PIT843025A</v>
      </c>
      <c r="G750" s="26">
        <f t="shared" si="46"/>
        <v>2</v>
      </c>
      <c r="H750" s="23" t="str">
        <f t="shared" si="47"/>
        <v>PI843025AIO.Mode</v>
      </c>
      <c r="I750" s="23">
        <f t="shared" si="45"/>
        <v>2</v>
      </c>
    </row>
    <row r="751" spans="2:9" x14ac:dyDescent="0.25">
      <c r="B751" s="25" t="s">
        <v>16</v>
      </c>
      <c r="C751" s="25" t="s">
        <v>1897</v>
      </c>
      <c r="D751" s="25">
        <v>0</v>
      </c>
      <c r="E751" s="25" t="s">
        <v>1898</v>
      </c>
      <c r="F751" s="26" t="str">
        <f t="shared" si="44"/>
        <v>PIT843025B</v>
      </c>
      <c r="G751" s="26">
        <f t="shared" si="46"/>
        <v>2</v>
      </c>
      <c r="H751" s="23" t="str">
        <f t="shared" si="47"/>
        <v>PI843025BIO.Mode</v>
      </c>
      <c r="I751" s="23">
        <f t="shared" si="45"/>
        <v>2</v>
      </c>
    </row>
    <row r="752" spans="2:9" x14ac:dyDescent="0.25">
      <c r="B752" s="25" t="s">
        <v>16</v>
      </c>
      <c r="C752" s="25" t="s">
        <v>1899</v>
      </c>
      <c r="D752" s="25">
        <v>0</v>
      </c>
      <c r="E752" s="25" t="s">
        <v>1900</v>
      </c>
      <c r="F752" s="26" t="str">
        <f t="shared" si="44"/>
        <v>PT843107</v>
      </c>
      <c r="G752" s="26">
        <f t="shared" si="46"/>
        <v>2</v>
      </c>
      <c r="H752" s="23" t="str">
        <f t="shared" si="47"/>
        <v>PI843107IO.Mode</v>
      </c>
      <c r="I752" s="23">
        <f t="shared" si="45"/>
        <v>2</v>
      </c>
    </row>
    <row r="753" spans="2:9" x14ac:dyDescent="0.25">
      <c r="B753" s="25" t="s">
        <v>16</v>
      </c>
      <c r="C753" s="25" t="s">
        <v>1901</v>
      </c>
      <c r="D753" s="25">
        <v>0</v>
      </c>
      <c r="E753" s="25" t="s">
        <v>1902</v>
      </c>
      <c r="F753" s="26" t="str">
        <f t="shared" si="44"/>
        <v>PT843615A</v>
      </c>
      <c r="G753" s="26">
        <f t="shared" si="46"/>
        <v>2</v>
      </c>
      <c r="H753" s="23" t="str">
        <f t="shared" si="47"/>
        <v>PI843615AIO.Mode</v>
      </c>
      <c r="I753" s="23">
        <f t="shared" si="45"/>
        <v>2</v>
      </c>
    </row>
    <row r="754" spans="2:9" x14ac:dyDescent="0.25">
      <c r="B754" s="25" t="s">
        <v>16</v>
      </c>
      <c r="C754" s="25" t="s">
        <v>1903</v>
      </c>
      <c r="D754" s="25">
        <v>0</v>
      </c>
      <c r="E754" s="25" t="s">
        <v>1904</v>
      </c>
      <c r="F754" s="26" t="str">
        <f t="shared" ref="F754:F817" si="48">+LEFT(E754,FIND(".",E754,1)-1)</f>
        <v>PT843615B</v>
      </c>
      <c r="G754" s="26">
        <f t="shared" si="46"/>
        <v>2</v>
      </c>
      <c r="H754" s="23" t="str">
        <f t="shared" si="47"/>
        <v>PI843615BIO.Mode</v>
      </c>
      <c r="I754" s="23">
        <f t="shared" ref="I754:I817" si="49">+G754</f>
        <v>2</v>
      </c>
    </row>
    <row r="755" spans="2:9" x14ac:dyDescent="0.25">
      <c r="B755" s="25" t="s">
        <v>16</v>
      </c>
      <c r="C755" s="25" t="s">
        <v>1905</v>
      </c>
      <c r="D755" s="25">
        <v>2</v>
      </c>
      <c r="E755" s="25" t="s">
        <v>1906</v>
      </c>
      <c r="F755" s="26" t="str">
        <f t="shared" si="48"/>
        <v>PT843620</v>
      </c>
      <c r="G755" s="26">
        <f t="shared" si="46"/>
        <v>2</v>
      </c>
      <c r="H755" s="23" t="str">
        <f t="shared" si="47"/>
        <v>PI843620IO.Mode</v>
      </c>
      <c r="I755" s="23">
        <f t="shared" si="49"/>
        <v>2</v>
      </c>
    </row>
    <row r="756" spans="2:9" x14ac:dyDescent="0.25">
      <c r="B756" s="25" t="s">
        <v>16</v>
      </c>
      <c r="C756" s="25" t="s">
        <v>1907</v>
      </c>
      <c r="D756" s="25">
        <v>0</v>
      </c>
      <c r="E756" s="25" t="s">
        <v>1908</v>
      </c>
      <c r="F756" s="26" t="str">
        <f t="shared" si="48"/>
        <v>PT843702A</v>
      </c>
      <c r="G756" s="26">
        <f t="shared" si="46"/>
        <v>2</v>
      </c>
      <c r="H756" s="23" t="str">
        <f t="shared" si="47"/>
        <v>PI843702AIO.Mode</v>
      </c>
      <c r="I756" s="23">
        <f t="shared" si="49"/>
        <v>2</v>
      </c>
    </row>
    <row r="757" spans="2:9" x14ac:dyDescent="0.25">
      <c r="B757" s="25" t="s">
        <v>16</v>
      </c>
      <c r="C757" s="25" t="s">
        <v>1909</v>
      </c>
      <c r="D757" s="25">
        <v>0</v>
      </c>
      <c r="E757" s="25" t="s">
        <v>1910</v>
      </c>
      <c r="F757" s="26" t="str">
        <f t="shared" si="48"/>
        <v>PT843702B</v>
      </c>
      <c r="G757" s="26">
        <f t="shared" si="46"/>
        <v>2</v>
      </c>
      <c r="H757" s="23" t="str">
        <f t="shared" si="47"/>
        <v>PI843702BIO.Mode</v>
      </c>
      <c r="I757" s="23">
        <f t="shared" si="49"/>
        <v>2</v>
      </c>
    </row>
    <row r="758" spans="2:9" x14ac:dyDescent="0.25">
      <c r="B758" s="25" t="s">
        <v>16</v>
      </c>
      <c r="C758" s="25" t="s">
        <v>1911</v>
      </c>
      <c r="D758" s="25">
        <v>0</v>
      </c>
      <c r="E758" s="25" t="s">
        <v>1912</v>
      </c>
      <c r="F758" s="26" t="str">
        <f t="shared" si="48"/>
        <v>PT843717</v>
      </c>
      <c r="G758" s="26">
        <f t="shared" si="46"/>
        <v>2</v>
      </c>
      <c r="H758" s="23" t="str">
        <f t="shared" si="47"/>
        <v>PI843717IO.Mode</v>
      </c>
      <c r="I758" s="23">
        <f t="shared" si="49"/>
        <v>2</v>
      </c>
    </row>
    <row r="759" spans="2:9" hidden="1" x14ac:dyDescent="0.25">
      <c r="B759" s="25" t="s">
        <v>16</v>
      </c>
      <c r="C759" s="25" t="s">
        <v>1232</v>
      </c>
      <c r="D759" s="25">
        <v>0</v>
      </c>
      <c r="E759" s="25" t="s">
        <v>1233</v>
      </c>
      <c r="F759" s="26" t="str">
        <f t="shared" si="48"/>
        <v>PIT844003</v>
      </c>
      <c r="G759" s="26">
        <f t="shared" si="46"/>
        <v>0</v>
      </c>
      <c r="H759" s="23" t="str">
        <f t="shared" si="47"/>
        <v>PI844003IO.Mode</v>
      </c>
      <c r="I759" s="23">
        <f t="shared" si="49"/>
        <v>0</v>
      </c>
    </row>
    <row r="760" spans="2:9" hidden="1" x14ac:dyDescent="0.25">
      <c r="B760" s="25" t="s">
        <v>16</v>
      </c>
      <c r="C760" s="25" t="s">
        <v>1234</v>
      </c>
      <c r="D760" s="25">
        <v>0</v>
      </c>
      <c r="E760" s="25" t="s">
        <v>1235</v>
      </c>
      <c r="F760" s="26" t="str">
        <f t="shared" si="48"/>
        <v>PIT844108</v>
      </c>
      <c r="G760" s="26">
        <f t="shared" si="46"/>
        <v>0</v>
      </c>
      <c r="H760" s="23" t="str">
        <f t="shared" si="47"/>
        <v>PI844108IO.Mode</v>
      </c>
      <c r="I760" s="23">
        <f t="shared" si="49"/>
        <v>0</v>
      </c>
    </row>
    <row r="761" spans="2:9" x14ac:dyDescent="0.25">
      <c r="B761" s="25" t="s">
        <v>16</v>
      </c>
      <c r="C761" s="25" t="s">
        <v>1913</v>
      </c>
      <c r="D761" s="25">
        <v>0</v>
      </c>
      <c r="E761" s="25" t="s">
        <v>1914</v>
      </c>
      <c r="F761" s="26" t="str">
        <f t="shared" si="48"/>
        <v>PT845002</v>
      </c>
      <c r="G761" s="26">
        <f t="shared" si="46"/>
        <v>2</v>
      </c>
      <c r="H761" s="23" t="str">
        <f t="shared" si="47"/>
        <v>PI845002IO.Mode</v>
      </c>
      <c r="I761" s="23">
        <f t="shared" si="49"/>
        <v>2</v>
      </c>
    </row>
    <row r="762" spans="2:9" hidden="1" x14ac:dyDescent="0.25">
      <c r="B762" s="25" t="s">
        <v>16</v>
      </c>
      <c r="C762" s="25" t="s">
        <v>1236</v>
      </c>
      <c r="D762" s="25">
        <v>0</v>
      </c>
      <c r="E762" s="25" t="s">
        <v>1237</v>
      </c>
      <c r="F762" s="26" t="str">
        <f t="shared" si="48"/>
        <v>PT845007</v>
      </c>
      <c r="G762" s="26">
        <f t="shared" si="46"/>
        <v>0</v>
      </c>
      <c r="H762" s="23" t="str">
        <f t="shared" si="47"/>
        <v>PI845007IO.Mode</v>
      </c>
      <c r="I762" s="23">
        <f t="shared" si="49"/>
        <v>0</v>
      </c>
    </row>
    <row r="763" spans="2:9" x14ac:dyDescent="0.25">
      <c r="B763" s="25" t="s">
        <v>16</v>
      </c>
      <c r="C763" s="25" t="s">
        <v>1915</v>
      </c>
      <c r="D763" s="25">
        <v>0</v>
      </c>
      <c r="E763" s="25" t="s">
        <v>1916</v>
      </c>
      <c r="F763" s="26" t="str">
        <f t="shared" si="48"/>
        <v>PT845204</v>
      </c>
      <c r="G763" s="26">
        <f t="shared" si="46"/>
        <v>2</v>
      </c>
      <c r="H763" s="23" t="str">
        <f t="shared" si="47"/>
        <v>PI845204IO.Mode</v>
      </c>
      <c r="I763" s="23">
        <f t="shared" si="49"/>
        <v>2</v>
      </c>
    </row>
    <row r="764" spans="2:9" hidden="1" x14ac:dyDescent="0.25">
      <c r="B764" s="25" t="s">
        <v>16</v>
      </c>
      <c r="C764" s="25" t="s">
        <v>1238</v>
      </c>
      <c r="D764" s="25">
        <v>0</v>
      </c>
      <c r="E764" s="25" t="s">
        <v>1239</v>
      </c>
      <c r="F764" s="26" t="str">
        <f t="shared" si="48"/>
        <v>PIT850003</v>
      </c>
      <c r="G764" s="26">
        <f t="shared" si="46"/>
        <v>0</v>
      </c>
      <c r="H764" s="23" t="str">
        <f t="shared" si="47"/>
        <v>PI850003IO.Mode</v>
      </c>
      <c r="I764" s="23">
        <f t="shared" si="49"/>
        <v>0</v>
      </c>
    </row>
    <row r="765" spans="2:9" hidden="1" x14ac:dyDescent="0.25">
      <c r="B765" s="25" t="s">
        <v>16</v>
      </c>
      <c r="C765" s="25" t="s">
        <v>1240</v>
      </c>
      <c r="D765" s="25">
        <v>0</v>
      </c>
      <c r="E765" s="25" t="s">
        <v>1241</v>
      </c>
      <c r="F765" s="26" t="str">
        <f t="shared" si="48"/>
        <v>PIT850007</v>
      </c>
      <c r="G765" s="26">
        <f t="shared" si="46"/>
        <v>0</v>
      </c>
      <c r="H765" s="23" t="str">
        <f t="shared" si="47"/>
        <v>PI850007IO.Mode</v>
      </c>
      <c r="I765" s="23">
        <f t="shared" si="49"/>
        <v>0</v>
      </c>
    </row>
    <row r="766" spans="2:9" hidden="1" x14ac:dyDescent="0.25">
      <c r="B766" s="25" t="s">
        <v>16</v>
      </c>
      <c r="C766" s="25" t="s">
        <v>1242</v>
      </c>
      <c r="D766" s="25">
        <v>0</v>
      </c>
      <c r="E766" s="25" t="s">
        <v>1243</v>
      </c>
      <c r="F766" s="26" t="str">
        <f t="shared" si="48"/>
        <v>PIT850018</v>
      </c>
      <c r="G766" s="26">
        <f t="shared" si="46"/>
        <v>0</v>
      </c>
      <c r="H766" s="23" t="str">
        <f t="shared" si="47"/>
        <v>PI850018IO.Mode</v>
      </c>
      <c r="I766" s="23">
        <f t="shared" si="49"/>
        <v>0</v>
      </c>
    </row>
    <row r="767" spans="2:9" hidden="1" x14ac:dyDescent="0.25">
      <c r="B767" s="25" t="s">
        <v>16</v>
      </c>
      <c r="C767" s="25" t="s">
        <v>1244</v>
      </c>
      <c r="D767" s="25">
        <v>0</v>
      </c>
      <c r="E767" s="25" t="s">
        <v>1245</v>
      </c>
      <c r="F767" s="26" t="str">
        <f t="shared" si="48"/>
        <v>PIT850103</v>
      </c>
      <c r="G767" s="26">
        <f t="shared" si="46"/>
        <v>0</v>
      </c>
      <c r="H767" s="23" t="str">
        <f t="shared" si="47"/>
        <v>PI850103IO.Mode</v>
      </c>
      <c r="I767" s="23">
        <f t="shared" si="49"/>
        <v>0</v>
      </c>
    </row>
    <row r="768" spans="2:9" hidden="1" x14ac:dyDescent="0.25">
      <c r="B768" s="25" t="s">
        <v>16</v>
      </c>
      <c r="C768" s="25" t="s">
        <v>1246</v>
      </c>
      <c r="D768" s="25">
        <v>0</v>
      </c>
      <c r="E768" s="25" t="s">
        <v>1247</v>
      </c>
      <c r="F768" s="26" t="str">
        <f t="shared" si="48"/>
        <v>PIT850107</v>
      </c>
      <c r="G768" s="26">
        <f t="shared" si="46"/>
        <v>0</v>
      </c>
      <c r="H768" s="23" t="str">
        <f t="shared" si="47"/>
        <v>PI850107IO.Mode</v>
      </c>
      <c r="I768" s="23">
        <f t="shared" si="49"/>
        <v>0</v>
      </c>
    </row>
    <row r="769" spans="2:9" hidden="1" x14ac:dyDescent="0.25">
      <c r="B769" s="25" t="s">
        <v>16</v>
      </c>
      <c r="C769" s="25" t="s">
        <v>1248</v>
      </c>
      <c r="D769" s="25">
        <v>0</v>
      </c>
      <c r="E769" s="25" t="s">
        <v>1249</v>
      </c>
      <c r="F769" s="26" t="str">
        <f t="shared" si="48"/>
        <v>PIT850131</v>
      </c>
      <c r="G769" s="26">
        <f t="shared" si="46"/>
        <v>0</v>
      </c>
      <c r="H769" s="23" t="str">
        <f t="shared" si="47"/>
        <v>PI850131IO.Mode</v>
      </c>
      <c r="I769" s="23">
        <f t="shared" si="49"/>
        <v>0</v>
      </c>
    </row>
    <row r="770" spans="2:9" hidden="1" x14ac:dyDescent="0.25">
      <c r="B770" s="25" t="s">
        <v>16</v>
      </c>
      <c r="C770" s="25" t="s">
        <v>1250</v>
      </c>
      <c r="D770" s="25">
        <v>0</v>
      </c>
      <c r="E770" s="25" t="s">
        <v>1251</v>
      </c>
      <c r="F770" s="26" t="str">
        <f t="shared" si="48"/>
        <v>PIT850203</v>
      </c>
      <c r="G770" s="26">
        <f t="shared" ref="G770:G833" si="50">+IFERROR(IF(VLOOKUP(F770,DI,2,FALSE)="IO",2,0),"N/A")</f>
        <v>0</v>
      </c>
      <c r="H770" s="23" t="str">
        <f t="shared" ref="H770:H833" si="51">+CONCATENATE(C770,".Mode")</f>
        <v>PI850203IO.Mode</v>
      </c>
      <c r="I770" s="23">
        <f t="shared" si="49"/>
        <v>0</v>
      </c>
    </row>
    <row r="771" spans="2:9" hidden="1" x14ac:dyDescent="0.25">
      <c r="B771" s="25" t="s">
        <v>16</v>
      </c>
      <c r="C771" s="25" t="s">
        <v>1252</v>
      </c>
      <c r="D771" s="25">
        <v>0</v>
      </c>
      <c r="E771" s="25" t="s">
        <v>1253</v>
      </c>
      <c r="F771" s="26" t="str">
        <f t="shared" si="48"/>
        <v>PIT850207</v>
      </c>
      <c r="G771" s="26">
        <f t="shared" si="50"/>
        <v>0</v>
      </c>
      <c r="H771" s="23" t="str">
        <f t="shared" si="51"/>
        <v>PI850207IO.Mode</v>
      </c>
      <c r="I771" s="23">
        <f t="shared" si="49"/>
        <v>0</v>
      </c>
    </row>
    <row r="772" spans="2:9" hidden="1" x14ac:dyDescent="0.25">
      <c r="B772" s="25" t="s">
        <v>16</v>
      </c>
      <c r="C772" s="25" t="s">
        <v>1254</v>
      </c>
      <c r="D772" s="25">
        <v>0</v>
      </c>
      <c r="E772" s="25" t="s">
        <v>1255</v>
      </c>
      <c r="F772" s="26" t="str">
        <f t="shared" si="48"/>
        <v>PIT852003</v>
      </c>
      <c r="G772" s="26">
        <f t="shared" si="50"/>
        <v>0</v>
      </c>
      <c r="H772" s="23" t="str">
        <f t="shared" si="51"/>
        <v>PI852003IO.Mode</v>
      </c>
      <c r="I772" s="23">
        <f t="shared" si="49"/>
        <v>0</v>
      </c>
    </row>
    <row r="773" spans="2:9" hidden="1" x14ac:dyDescent="0.25">
      <c r="B773" s="25" t="s">
        <v>16</v>
      </c>
      <c r="C773" s="25" t="s">
        <v>1256</v>
      </c>
      <c r="D773" s="25">
        <v>0</v>
      </c>
      <c r="E773" s="25" t="s">
        <v>1257</v>
      </c>
      <c r="F773" s="26" t="str">
        <f t="shared" si="48"/>
        <v>PIT852007</v>
      </c>
      <c r="G773" s="26">
        <f t="shared" si="50"/>
        <v>0</v>
      </c>
      <c r="H773" s="23" t="str">
        <f t="shared" si="51"/>
        <v>PI852007IO.Mode</v>
      </c>
      <c r="I773" s="23">
        <f t="shared" si="49"/>
        <v>0</v>
      </c>
    </row>
    <row r="774" spans="2:9" hidden="1" x14ac:dyDescent="0.25">
      <c r="B774" s="25" t="s">
        <v>16</v>
      </c>
      <c r="C774" s="25" t="s">
        <v>1258</v>
      </c>
      <c r="D774" s="25">
        <v>0</v>
      </c>
      <c r="E774" s="25" t="s">
        <v>1259</v>
      </c>
      <c r="F774" s="26" t="str">
        <f t="shared" si="48"/>
        <v>PIT853003</v>
      </c>
      <c r="G774" s="26">
        <f t="shared" si="50"/>
        <v>0</v>
      </c>
      <c r="H774" s="23" t="str">
        <f t="shared" si="51"/>
        <v>PI853003IO.Mode</v>
      </c>
      <c r="I774" s="23">
        <f t="shared" si="49"/>
        <v>0</v>
      </c>
    </row>
    <row r="775" spans="2:9" hidden="1" x14ac:dyDescent="0.25">
      <c r="B775" s="25" t="s">
        <v>16</v>
      </c>
      <c r="C775" s="25" t="s">
        <v>1260</v>
      </c>
      <c r="D775" s="25">
        <v>0</v>
      </c>
      <c r="E775" s="25" t="s">
        <v>1261</v>
      </c>
      <c r="F775" s="26" t="str">
        <f t="shared" si="48"/>
        <v>PIT856006</v>
      </c>
      <c r="G775" s="26">
        <f t="shared" si="50"/>
        <v>0</v>
      </c>
      <c r="H775" s="23" t="str">
        <f t="shared" si="51"/>
        <v>PI856006IO.Mode</v>
      </c>
      <c r="I775" s="23">
        <f t="shared" si="49"/>
        <v>0</v>
      </c>
    </row>
    <row r="776" spans="2:9" hidden="1" x14ac:dyDescent="0.25">
      <c r="B776" s="25" t="s">
        <v>16</v>
      </c>
      <c r="C776" s="25" t="s">
        <v>1262</v>
      </c>
      <c r="D776" s="25">
        <v>0</v>
      </c>
      <c r="E776" s="25" t="s">
        <v>1263</v>
      </c>
      <c r="F776" s="26" t="str">
        <f t="shared" si="48"/>
        <v>PT859006</v>
      </c>
      <c r="G776" s="26">
        <f t="shared" si="50"/>
        <v>0</v>
      </c>
      <c r="H776" s="23" t="str">
        <f t="shared" si="51"/>
        <v>PI859006IO.Mode</v>
      </c>
      <c r="I776" s="23">
        <f t="shared" si="49"/>
        <v>0</v>
      </c>
    </row>
    <row r="777" spans="2:9" x14ac:dyDescent="0.25">
      <c r="B777" s="25" t="s">
        <v>16</v>
      </c>
      <c r="C777" s="25" t="s">
        <v>1917</v>
      </c>
      <c r="D777" s="25">
        <v>0</v>
      </c>
      <c r="E777" s="25" t="s">
        <v>1918</v>
      </c>
      <c r="F777" s="26" t="str">
        <f t="shared" si="48"/>
        <v>PT896103</v>
      </c>
      <c r="G777" s="26">
        <f t="shared" si="50"/>
        <v>2</v>
      </c>
      <c r="H777" s="23" t="str">
        <f t="shared" si="51"/>
        <v>PI896103IO.Mode</v>
      </c>
      <c r="I777" s="23">
        <f t="shared" si="49"/>
        <v>2</v>
      </c>
    </row>
    <row r="778" spans="2:9" x14ac:dyDescent="0.25">
      <c r="B778" s="25" t="s">
        <v>16</v>
      </c>
      <c r="C778" s="25" t="s">
        <v>1919</v>
      </c>
      <c r="D778" s="25">
        <v>0</v>
      </c>
      <c r="E778" s="25" t="s">
        <v>1920</v>
      </c>
      <c r="F778" s="26" t="str">
        <f t="shared" si="48"/>
        <v>PT896104</v>
      </c>
      <c r="G778" s="26">
        <f t="shared" si="50"/>
        <v>2</v>
      </c>
      <c r="H778" s="23" t="str">
        <f t="shared" si="51"/>
        <v>PI896104IO.Mode</v>
      </c>
      <c r="I778" s="23">
        <f t="shared" si="49"/>
        <v>2</v>
      </c>
    </row>
    <row r="779" spans="2:9" hidden="1" x14ac:dyDescent="0.25">
      <c r="B779" s="25" t="s">
        <v>16</v>
      </c>
      <c r="C779" s="25" t="s">
        <v>1264</v>
      </c>
      <c r="D779" s="25">
        <v>0</v>
      </c>
      <c r="E779" s="25" t="s">
        <v>1265</v>
      </c>
      <c r="F779" s="26" t="str">
        <f t="shared" si="48"/>
        <v>PIT897502</v>
      </c>
      <c r="G779" s="26">
        <f t="shared" si="50"/>
        <v>0</v>
      </c>
      <c r="H779" s="23" t="str">
        <f t="shared" si="51"/>
        <v>PI897502IO.Mode</v>
      </c>
      <c r="I779" s="23">
        <f t="shared" si="49"/>
        <v>0</v>
      </c>
    </row>
    <row r="780" spans="2:9" hidden="1" x14ac:dyDescent="0.25">
      <c r="B780" s="25" t="s">
        <v>16</v>
      </c>
      <c r="C780" s="25" t="s">
        <v>1266</v>
      </c>
      <c r="D780" s="25">
        <v>0</v>
      </c>
      <c r="E780" s="25" t="s">
        <v>1267</v>
      </c>
      <c r="F780" s="26" t="str">
        <f t="shared" si="48"/>
        <v>PT899010</v>
      </c>
      <c r="G780" s="26">
        <f t="shared" si="50"/>
        <v>0</v>
      </c>
      <c r="H780" s="23" t="str">
        <f t="shared" si="51"/>
        <v>PI899010IO.Mode</v>
      </c>
      <c r="I780" s="23">
        <f t="shared" si="49"/>
        <v>0</v>
      </c>
    </row>
    <row r="781" spans="2:9" x14ac:dyDescent="0.25">
      <c r="B781" s="25" t="s">
        <v>16</v>
      </c>
      <c r="C781" s="25" t="s">
        <v>1921</v>
      </c>
      <c r="D781" s="25">
        <v>0</v>
      </c>
      <c r="E781" s="25" t="s">
        <v>1922</v>
      </c>
      <c r="F781" s="26" t="str">
        <f t="shared" si="48"/>
        <v>PT899402</v>
      </c>
      <c r="G781" s="26">
        <f t="shared" si="50"/>
        <v>2</v>
      </c>
      <c r="H781" s="23" t="str">
        <f t="shared" si="51"/>
        <v>PI899402IO.Mode</v>
      </c>
      <c r="I781" s="23">
        <f t="shared" si="49"/>
        <v>2</v>
      </c>
    </row>
    <row r="782" spans="2:9" x14ac:dyDescent="0.25">
      <c r="B782" s="25" t="s">
        <v>16</v>
      </c>
      <c r="C782" s="25" t="s">
        <v>1923</v>
      </c>
      <c r="D782" s="25">
        <v>0</v>
      </c>
      <c r="E782" s="25" t="s">
        <v>1924</v>
      </c>
      <c r="F782" s="26" t="str">
        <f t="shared" si="48"/>
        <v>PT899403</v>
      </c>
      <c r="G782" s="26">
        <f t="shared" si="50"/>
        <v>2</v>
      </c>
      <c r="H782" s="23" t="str">
        <f t="shared" si="51"/>
        <v>PI899403IO.Mode</v>
      </c>
      <c r="I782" s="23">
        <f t="shared" si="49"/>
        <v>2</v>
      </c>
    </row>
    <row r="783" spans="2:9" x14ac:dyDescent="0.25">
      <c r="B783" s="25" t="s">
        <v>16</v>
      </c>
      <c r="C783" s="25" t="s">
        <v>1925</v>
      </c>
      <c r="D783" s="25">
        <v>0</v>
      </c>
      <c r="E783" s="25" t="s">
        <v>1926</v>
      </c>
      <c r="F783" s="26" t="str">
        <f t="shared" si="48"/>
        <v>PT899405</v>
      </c>
      <c r="G783" s="26">
        <f t="shared" si="50"/>
        <v>2</v>
      </c>
      <c r="H783" s="23" t="str">
        <f t="shared" si="51"/>
        <v>PI899405IO.Mode</v>
      </c>
      <c r="I783" s="23">
        <f t="shared" si="49"/>
        <v>2</v>
      </c>
    </row>
    <row r="784" spans="2:9" x14ac:dyDescent="0.25">
      <c r="B784" s="25" t="s">
        <v>16</v>
      </c>
      <c r="C784" s="25" t="s">
        <v>1927</v>
      </c>
      <c r="D784" s="25">
        <v>0</v>
      </c>
      <c r="E784" s="25" t="s">
        <v>1928</v>
      </c>
      <c r="F784" s="26" t="str">
        <f t="shared" si="48"/>
        <v>PT899406</v>
      </c>
      <c r="G784" s="26">
        <f t="shared" si="50"/>
        <v>2</v>
      </c>
      <c r="H784" s="23" t="str">
        <f t="shared" si="51"/>
        <v>PI899406IO.Mode</v>
      </c>
      <c r="I784" s="23">
        <f t="shared" si="49"/>
        <v>2</v>
      </c>
    </row>
    <row r="785" spans="2:9" x14ac:dyDescent="0.25">
      <c r="B785" s="25" t="s">
        <v>16</v>
      </c>
      <c r="C785" s="25" t="s">
        <v>1929</v>
      </c>
      <c r="D785" s="25">
        <v>0</v>
      </c>
      <c r="E785" s="25" t="s">
        <v>1930</v>
      </c>
      <c r="F785" s="26" t="str">
        <f t="shared" si="48"/>
        <v>PT899502</v>
      </c>
      <c r="G785" s="26">
        <f t="shared" si="50"/>
        <v>2</v>
      </c>
      <c r="H785" s="23" t="str">
        <f t="shared" si="51"/>
        <v>PI899502IO.Mode</v>
      </c>
      <c r="I785" s="23">
        <f t="shared" si="49"/>
        <v>2</v>
      </c>
    </row>
    <row r="786" spans="2:9" x14ac:dyDescent="0.25">
      <c r="B786" s="25" t="s">
        <v>16</v>
      </c>
      <c r="C786" s="25" t="s">
        <v>1931</v>
      </c>
      <c r="D786" s="25">
        <v>0</v>
      </c>
      <c r="E786" s="25" t="s">
        <v>1932</v>
      </c>
      <c r="F786" s="26" t="str">
        <f t="shared" si="48"/>
        <v>PT899503</v>
      </c>
      <c r="G786" s="26">
        <f t="shared" si="50"/>
        <v>2</v>
      </c>
      <c r="H786" s="23" t="str">
        <f t="shared" si="51"/>
        <v>PI899503IO.Mode</v>
      </c>
      <c r="I786" s="23">
        <f t="shared" si="49"/>
        <v>2</v>
      </c>
    </row>
    <row r="787" spans="2:9" x14ac:dyDescent="0.25">
      <c r="B787" s="25" t="s">
        <v>16</v>
      </c>
      <c r="C787" s="25" t="s">
        <v>1933</v>
      </c>
      <c r="D787" s="25">
        <v>0</v>
      </c>
      <c r="E787" s="25" t="s">
        <v>1934</v>
      </c>
      <c r="F787" s="26" t="str">
        <f t="shared" si="48"/>
        <v>PT899505</v>
      </c>
      <c r="G787" s="26">
        <f t="shared" si="50"/>
        <v>2</v>
      </c>
      <c r="H787" s="23" t="str">
        <f t="shared" si="51"/>
        <v>PI899505IO.Mode</v>
      </c>
      <c r="I787" s="23">
        <f t="shared" si="49"/>
        <v>2</v>
      </c>
    </row>
    <row r="788" spans="2:9" x14ac:dyDescent="0.25">
      <c r="B788" s="25" t="s">
        <v>16</v>
      </c>
      <c r="C788" s="25" t="s">
        <v>1935</v>
      </c>
      <c r="D788" s="25">
        <v>0</v>
      </c>
      <c r="E788" s="25" t="s">
        <v>1936</v>
      </c>
      <c r="F788" s="26" t="str">
        <f t="shared" si="48"/>
        <v>PT899506</v>
      </c>
      <c r="G788" s="26">
        <f t="shared" si="50"/>
        <v>2</v>
      </c>
      <c r="H788" s="23" t="str">
        <f t="shared" si="51"/>
        <v>PI899506IO.Mode</v>
      </c>
      <c r="I788" s="23">
        <f t="shared" si="49"/>
        <v>2</v>
      </c>
    </row>
    <row r="789" spans="2:9" x14ac:dyDescent="0.25">
      <c r="B789" s="25" t="s">
        <v>16</v>
      </c>
      <c r="C789" s="25" t="s">
        <v>1937</v>
      </c>
      <c r="D789" s="25">
        <v>0</v>
      </c>
      <c r="E789" s="25" t="s">
        <v>1938</v>
      </c>
      <c r="F789" s="26" t="str">
        <f t="shared" si="48"/>
        <v>PT899508</v>
      </c>
      <c r="G789" s="26">
        <f t="shared" si="50"/>
        <v>2</v>
      </c>
      <c r="H789" s="23" t="str">
        <f t="shared" si="51"/>
        <v>PI899508IO.Mode</v>
      </c>
      <c r="I789" s="23">
        <f t="shared" si="49"/>
        <v>2</v>
      </c>
    </row>
    <row r="790" spans="2:9" x14ac:dyDescent="0.25">
      <c r="B790" s="25" t="s">
        <v>16</v>
      </c>
      <c r="C790" s="25" t="s">
        <v>1939</v>
      </c>
      <c r="D790" s="25">
        <v>0</v>
      </c>
      <c r="E790" s="25" t="s">
        <v>1940</v>
      </c>
      <c r="F790" s="26" t="str">
        <f t="shared" si="48"/>
        <v>PT899509</v>
      </c>
      <c r="G790" s="26">
        <f t="shared" si="50"/>
        <v>2</v>
      </c>
      <c r="H790" s="23" t="str">
        <f t="shared" si="51"/>
        <v>PI899509IO.Mode</v>
      </c>
      <c r="I790" s="23">
        <f t="shared" si="49"/>
        <v>2</v>
      </c>
    </row>
    <row r="791" spans="2:9" hidden="1" x14ac:dyDescent="0.25">
      <c r="B791" s="25" t="s">
        <v>16</v>
      </c>
      <c r="C791" s="25" t="s">
        <v>1268</v>
      </c>
      <c r="D791" s="25">
        <v>0</v>
      </c>
      <c r="E791" s="25" t="s">
        <v>1269</v>
      </c>
      <c r="F791" s="26" t="str">
        <f t="shared" si="48"/>
        <v>real1</v>
      </c>
      <c r="G791" s="26" t="str">
        <f t="shared" si="50"/>
        <v>N/A</v>
      </c>
      <c r="H791" s="23" t="str">
        <f t="shared" si="51"/>
        <v>real1.Mode</v>
      </c>
      <c r="I791" s="23" t="str">
        <f t="shared" si="49"/>
        <v>N/A</v>
      </c>
    </row>
    <row r="792" spans="2:9" hidden="1" x14ac:dyDescent="0.25">
      <c r="B792" s="25" t="s">
        <v>16</v>
      </c>
      <c r="C792" s="25" t="s">
        <v>1270</v>
      </c>
      <c r="D792" s="25">
        <v>0</v>
      </c>
      <c r="E792" s="25" t="s">
        <v>1271</v>
      </c>
      <c r="F792" s="26" t="str">
        <f t="shared" si="48"/>
        <v>real2</v>
      </c>
      <c r="G792" s="26" t="str">
        <f t="shared" si="50"/>
        <v>N/A</v>
      </c>
      <c r="H792" s="23" t="str">
        <f t="shared" si="51"/>
        <v>real2.Mode</v>
      </c>
      <c r="I792" s="23" t="str">
        <f t="shared" si="49"/>
        <v>N/A</v>
      </c>
    </row>
    <row r="793" spans="2:9" hidden="1" x14ac:dyDescent="0.25">
      <c r="B793" s="25" t="s">
        <v>16</v>
      </c>
      <c r="C793" s="25" t="s">
        <v>1272</v>
      </c>
      <c r="D793" s="25">
        <v>0</v>
      </c>
      <c r="E793" s="25" t="s">
        <v>1273</v>
      </c>
      <c r="F793" s="26" t="str">
        <f t="shared" si="48"/>
        <v>realio1</v>
      </c>
      <c r="G793" s="26" t="str">
        <f t="shared" si="50"/>
        <v>N/A</v>
      </c>
      <c r="H793" s="23" t="str">
        <f t="shared" si="51"/>
        <v>realio1.Mode</v>
      </c>
      <c r="I793" s="23" t="str">
        <f t="shared" si="49"/>
        <v>N/A</v>
      </c>
    </row>
    <row r="794" spans="2:9" hidden="1" x14ac:dyDescent="0.25">
      <c r="B794" s="25" t="s">
        <v>16</v>
      </c>
      <c r="C794" s="25" t="s">
        <v>1274</v>
      </c>
      <c r="D794" s="25">
        <v>0</v>
      </c>
      <c r="E794" s="25" t="s">
        <v>1275</v>
      </c>
      <c r="F794" s="26" t="str">
        <f t="shared" si="48"/>
        <v>realio2</v>
      </c>
      <c r="G794" s="26" t="str">
        <f t="shared" si="50"/>
        <v>N/A</v>
      </c>
      <c r="H794" s="23" t="str">
        <f t="shared" si="51"/>
        <v>realio2.Mode</v>
      </c>
      <c r="I794" s="23" t="str">
        <f t="shared" si="49"/>
        <v>N/A</v>
      </c>
    </row>
    <row r="795" spans="2:9" hidden="1" x14ac:dyDescent="0.25">
      <c r="B795" s="25" t="s">
        <v>16</v>
      </c>
      <c r="C795" s="25" t="s">
        <v>1276</v>
      </c>
      <c r="D795" s="25">
        <v>0</v>
      </c>
      <c r="E795" s="25" t="s">
        <v>1277</v>
      </c>
      <c r="F795" s="26" t="str">
        <f t="shared" si="48"/>
        <v>ST800105</v>
      </c>
      <c r="G795" s="26">
        <f t="shared" si="50"/>
        <v>0</v>
      </c>
      <c r="H795" s="23" t="str">
        <f t="shared" si="51"/>
        <v>SI800105IO.Mode</v>
      </c>
      <c r="I795" s="23">
        <f t="shared" si="49"/>
        <v>0</v>
      </c>
    </row>
    <row r="796" spans="2:9" hidden="1" x14ac:dyDescent="0.25">
      <c r="B796" s="25" t="s">
        <v>16</v>
      </c>
      <c r="C796" s="25" t="s">
        <v>1278</v>
      </c>
      <c r="D796" s="25">
        <v>0</v>
      </c>
      <c r="E796" s="25" t="s">
        <v>358</v>
      </c>
      <c r="F796" s="26" t="str">
        <f t="shared" si="48"/>
        <v>ST803414</v>
      </c>
      <c r="G796" s="26">
        <f t="shared" si="50"/>
        <v>0</v>
      </c>
      <c r="H796" s="23" t="str">
        <f t="shared" si="51"/>
        <v>SI803414IO.Mode</v>
      </c>
      <c r="I796" s="23">
        <f t="shared" si="49"/>
        <v>0</v>
      </c>
    </row>
    <row r="797" spans="2:9" hidden="1" x14ac:dyDescent="0.25">
      <c r="B797" s="25" t="s">
        <v>16</v>
      </c>
      <c r="C797" s="25" t="s">
        <v>1279</v>
      </c>
      <c r="D797" s="25">
        <v>0</v>
      </c>
      <c r="E797" s="25" t="s">
        <v>366</v>
      </c>
      <c r="F797" s="26" t="str">
        <f t="shared" si="48"/>
        <v>ST803505</v>
      </c>
      <c r="G797" s="26">
        <f t="shared" si="50"/>
        <v>0</v>
      </c>
      <c r="H797" s="23" t="str">
        <f t="shared" si="51"/>
        <v>SI803505IO.Mode</v>
      </c>
      <c r="I797" s="23">
        <f t="shared" si="49"/>
        <v>0</v>
      </c>
    </row>
    <row r="798" spans="2:9" hidden="1" x14ac:dyDescent="0.25">
      <c r="B798" s="25" t="s">
        <v>16</v>
      </c>
      <c r="C798" s="25" t="s">
        <v>1280</v>
      </c>
      <c r="D798" s="25">
        <v>0</v>
      </c>
      <c r="E798" s="25" t="s">
        <v>379</v>
      </c>
      <c r="F798" s="26" t="str">
        <f t="shared" si="48"/>
        <v>ST803610</v>
      </c>
      <c r="G798" s="26">
        <f t="shared" si="50"/>
        <v>0</v>
      </c>
      <c r="H798" s="23" t="str">
        <f t="shared" si="51"/>
        <v>SI803610IO.Mode</v>
      </c>
      <c r="I798" s="23">
        <f t="shared" si="49"/>
        <v>0</v>
      </c>
    </row>
    <row r="799" spans="2:9" hidden="1" x14ac:dyDescent="0.25">
      <c r="B799" s="25" t="s">
        <v>16</v>
      </c>
      <c r="C799" s="25" t="s">
        <v>1281</v>
      </c>
      <c r="D799" s="25">
        <v>0</v>
      </c>
      <c r="E799" s="25" t="s">
        <v>1282</v>
      </c>
      <c r="F799" s="26" t="str">
        <f t="shared" si="48"/>
        <v>ST810422</v>
      </c>
      <c r="G799" s="26">
        <f t="shared" si="50"/>
        <v>0</v>
      </c>
      <c r="H799" s="23" t="str">
        <f t="shared" si="51"/>
        <v>SI810422IO.Mode</v>
      </c>
      <c r="I799" s="23">
        <f t="shared" si="49"/>
        <v>0</v>
      </c>
    </row>
    <row r="800" spans="2:9" hidden="1" x14ac:dyDescent="0.25">
      <c r="B800" s="25" t="s">
        <v>16</v>
      </c>
      <c r="C800" s="25" t="s">
        <v>1283</v>
      </c>
      <c r="D800" s="25">
        <v>0</v>
      </c>
      <c r="E800" s="25" t="s">
        <v>1284</v>
      </c>
      <c r="F800" s="26" t="str">
        <f t="shared" si="48"/>
        <v>ST810511</v>
      </c>
      <c r="G800" s="26">
        <f t="shared" si="50"/>
        <v>0</v>
      </c>
      <c r="H800" s="23" t="str">
        <f t="shared" si="51"/>
        <v>SI810511IO.Mode</v>
      </c>
      <c r="I800" s="23">
        <f t="shared" si="49"/>
        <v>0</v>
      </c>
    </row>
    <row r="801" spans="2:9" hidden="1" x14ac:dyDescent="0.25">
      <c r="B801" s="25" t="s">
        <v>16</v>
      </c>
      <c r="C801" s="25" t="s">
        <v>1285</v>
      </c>
      <c r="D801" s="25">
        <v>0</v>
      </c>
      <c r="E801" s="25" t="s">
        <v>1286</v>
      </c>
      <c r="F801" s="26" t="str">
        <f t="shared" si="48"/>
        <v>ST820415</v>
      </c>
      <c r="G801" s="26">
        <f t="shared" si="50"/>
        <v>0</v>
      </c>
      <c r="H801" s="23" t="str">
        <f t="shared" si="51"/>
        <v>SI820415IO.Mode</v>
      </c>
      <c r="I801" s="23">
        <f t="shared" si="49"/>
        <v>0</v>
      </c>
    </row>
    <row r="802" spans="2:9" hidden="1" x14ac:dyDescent="0.25">
      <c r="B802" s="25" t="s">
        <v>16</v>
      </c>
      <c r="C802" s="25" t="s">
        <v>1287</v>
      </c>
      <c r="D802" s="25">
        <v>0</v>
      </c>
      <c r="E802" s="25" t="s">
        <v>1288</v>
      </c>
      <c r="F802" s="26" t="str">
        <f t="shared" si="48"/>
        <v>ST820511</v>
      </c>
      <c r="G802" s="26">
        <f t="shared" si="50"/>
        <v>0</v>
      </c>
      <c r="H802" s="23" t="str">
        <f t="shared" si="51"/>
        <v>SI820511IO.Mode</v>
      </c>
      <c r="I802" s="23">
        <f t="shared" si="49"/>
        <v>0</v>
      </c>
    </row>
    <row r="803" spans="2:9" hidden="1" x14ac:dyDescent="0.25">
      <c r="B803" s="25" t="s">
        <v>16</v>
      </c>
      <c r="C803" s="25" t="s">
        <v>1289</v>
      </c>
      <c r="D803" s="25">
        <v>0</v>
      </c>
      <c r="E803" s="25" t="s">
        <v>1290</v>
      </c>
      <c r="F803" s="26" t="str">
        <f t="shared" si="48"/>
        <v>ST830117</v>
      </c>
      <c r="G803" s="26">
        <f t="shared" si="50"/>
        <v>0</v>
      </c>
      <c r="H803" s="23" t="str">
        <f t="shared" si="51"/>
        <v>SI830117IO.Mode</v>
      </c>
      <c r="I803" s="23">
        <f t="shared" si="49"/>
        <v>0</v>
      </c>
    </row>
    <row r="804" spans="2:9" hidden="1" x14ac:dyDescent="0.25">
      <c r="B804" s="25" t="s">
        <v>16</v>
      </c>
      <c r="C804" s="25" t="s">
        <v>1291</v>
      </c>
      <c r="D804" s="25">
        <v>0</v>
      </c>
      <c r="E804" s="25" t="s">
        <v>1292</v>
      </c>
      <c r="F804" s="26" t="str">
        <f t="shared" si="48"/>
        <v>ST830201</v>
      </c>
      <c r="G804" s="26">
        <f t="shared" si="50"/>
        <v>0</v>
      </c>
      <c r="H804" s="23" t="str">
        <f t="shared" si="51"/>
        <v>SI830201IO.Mode</v>
      </c>
      <c r="I804" s="23">
        <f t="shared" si="49"/>
        <v>0</v>
      </c>
    </row>
    <row r="805" spans="2:9" hidden="1" x14ac:dyDescent="0.25">
      <c r="B805" s="25" t="s">
        <v>16</v>
      </c>
      <c r="C805" s="25" t="s">
        <v>1293</v>
      </c>
      <c r="D805" s="25">
        <v>0</v>
      </c>
      <c r="E805" s="25" t="s">
        <v>1294</v>
      </c>
      <c r="F805" s="26" t="str">
        <f t="shared" si="48"/>
        <v>ST830509</v>
      </c>
      <c r="G805" s="26">
        <f t="shared" si="50"/>
        <v>0</v>
      </c>
      <c r="H805" s="23" t="str">
        <f t="shared" si="51"/>
        <v>SI830509IO.Mode</v>
      </c>
      <c r="I805" s="23">
        <f t="shared" si="49"/>
        <v>0</v>
      </c>
    </row>
    <row r="806" spans="2:9" x14ac:dyDescent="0.25">
      <c r="B806" s="25" t="s">
        <v>16</v>
      </c>
      <c r="C806" s="25" t="s">
        <v>1941</v>
      </c>
      <c r="D806" s="25">
        <v>0</v>
      </c>
      <c r="E806" s="25" t="s">
        <v>1942</v>
      </c>
      <c r="F806" s="26" t="str">
        <f t="shared" si="48"/>
        <v>TT100112</v>
      </c>
      <c r="G806" s="26">
        <f t="shared" si="50"/>
        <v>2</v>
      </c>
      <c r="H806" s="23" t="str">
        <f t="shared" si="51"/>
        <v>TI100112CCIO.Mode</v>
      </c>
      <c r="I806" s="23">
        <f t="shared" si="49"/>
        <v>2</v>
      </c>
    </row>
    <row r="807" spans="2:9" x14ac:dyDescent="0.25">
      <c r="B807" s="25" t="s">
        <v>16</v>
      </c>
      <c r="C807" s="25" t="s">
        <v>1943</v>
      </c>
      <c r="D807" s="25">
        <v>0</v>
      </c>
      <c r="E807" s="25" t="s">
        <v>1944</v>
      </c>
      <c r="F807" s="26" t="str">
        <f t="shared" si="48"/>
        <v>TT100114</v>
      </c>
      <c r="G807" s="26">
        <f t="shared" si="50"/>
        <v>2</v>
      </c>
      <c r="H807" s="23" t="str">
        <f t="shared" si="51"/>
        <v>TI100114ICIO.Mode</v>
      </c>
      <c r="I807" s="23">
        <f t="shared" si="49"/>
        <v>2</v>
      </c>
    </row>
    <row r="808" spans="2:9" x14ac:dyDescent="0.25">
      <c r="B808" s="25" t="s">
        <v>16</v>
      </c>
      <c r="C808" s="25" t="s">
        <v>1945</v>
      </c>
      <c r="D808" s="25">
        <v>0</v>
      </c>
      <c r="E808" s="25" t="s">
        <v>1946</v>
      </c>
      <c r="F808" s="26" t="str">
        <f t="shared" si="48"/>
        <v>TT100120</v>
      </c>
      <c r="G808" s="26">
        <f t="shared" si="50"/>
        <v>2</v>
      </c>
      <c r="H808" s="23" t="str">
        <f t="shared" si="51"/>
        <v>TI100120NCIO.Mode</v>
      </c>
      <c r="I808" s="23">
        <f t="shared" si="49"/>
        <v>2</v>
      </c>
    </row>
    <row r="809" spans="2:9" x14ac:dyDescent="0.25">
      <c r="B809" s="25" t="s">
        <v>16</v>
      </c>
      <c r="C809" s="25" t="s">
        <v>1947</v>
      </c>
      <c r="D809" s="25">
        <v>0</v>
      </c>
      <c r="E809" s="25" t="s">
        <v>1948</v>
      </c>
      <c r="F809" s="26" t="str">
        <f t="shared" si="48"/>
        <v>TT100201</v>
      </c>
      <c r="G809" s="26">
        <f t="shared" si="50"/>
        <v>2</v>
      </c>
      <c r="H809" s="23" t="str">
        <f t="shared" si="51"/>
        <v>TI100201BPIO.Mode</v>
      </c>
      <c r="I809" s="23">
        <f t="shared" si="49"/>
        <v>2</v>
      </c>
    </row>
    <row r="810" spans="2:9" x14ac:dyDescent="0.25">
      <c r="B810" s="25" t="s">
        <v>16</v>
      </c>
      <c r="C810" s="25" t="s">
        <v>1949</v>
      </c>
      <c r="D810" s="25">
        <v>0</v>
      </c>
      <c r="E810" s="25" t="s">
        <v>1950</v>
      </c>
      <c r="F810" s="26" t="str">
        <f t="shared" si="48"/>
        <v>TT100601</v>
      </c>
      <c r="G810" s="26">
        <f t="shared" si="50"/>
        <v>2</v>
      </c>
      <c r="H810" s="23" t="str">
        <f t="shared" si="51"/>
        <v>TI100601FFIO.Mode</v>
      </c>
      <c r="I810" s="23">
        <f t="shared" si="49"/>
        <v>2</v>
      </c>
    </row>
    <row r="811" spans="2:9" x14ac:dyDescent="0.25">
      <c r="B811" s="25" t="s">
        <v>16</v>
      </c>
      <c r="C811" s="25" t="s">
        <v>1951</v>
      </c>
      <c r="D811" s="25">
        <v>0</v>
      </c>
      <c r="E811" s="25" t="s">
        <v>1952</v>
      </c>
      <c r="F811" s="26" t="str">
        <f t="shared" si="48"/>
        <v>TT100701</v>
      </c>
      <c r="G811" s="26">
        <f t="shared" si="50"/>
        <v>2</v>
      </c>
      <c r="H811" s="23" t="str">
        <f t="shared" si="51"/>
        <v>TI100701FFIO.Mode</v>
      </c>
      <c r="I811" s="23">
        <f t="shared" si="49"/>
        <v>2</v>
      </c>
    </row>
    <row r="812" spans="2:9" hidden="1" x14ac:dyDescent="0.25">
      <c r="B812" s="25" t="s">
        <v>16</v>
      </c>
      <c r="C812" s="25" t="s">
        <v>1295</v>
      </c>
      <c r="D812" s="25">
        <v>0</v>
      </c>
      <c r="E812" s="25" t="s">
        <v>1296</v>
      </c>
      <c r="F812" s="26" t="str">
        <f t="shared" si="48"/>
        <v>TT800003</v>
      </c>
      <c r="G812" s="26">
        <f t="shared" si="50"/>
        <v>0</v>
      </c>
      <c r="H812" s="23" t="str">
        <f t="shared" si="51"/>
        <v>TI800003IO.Mode</v>
      </c>
      <c r="I812" s="23">
        <f t="shared" si="49"/>
        <v>0</v>
      </c>
    </row>
    <row r="813" spans="2:9" hidden="1" x14ac:dyDescent="0.25">
      <c r="B813" s="25" t="s">
        <v>16</v>
      </c>
      <c r="C813" s="25" t="s">
        <v>1297</v>
      </c>
      <c r="D813" s="25">
        <v>0</v>
      </c>
      <c r="E813" s="25" t="s">
        <v>1298</v>
      </c>
      <c r="F813" s="26" t="str">
        <f t="shared" si="48"/>
        <v>TT800007</v>
      </c>
      <c r="G813" s="26">
        <f t="shared" si="50"/>
        <v>0</v>
      </c>
      <c r="H813" s="23" t="str">
        <f t="shared" si="51"/>
        <v>TI800007_1oo1IO.Mode</v>
      </c>
      <c r="I813" s="23">
        <f t="shared" si="49"/>
        <v>0</v>
      </c>
    </row>
    <row r="814" spans="2:9" hidden="1" x14ac:dyDescent="0.25">
      <c r="B814" s="25" t="s">
        <v>16</v>
      </c>
      <c r="C814" s="25" t="s">
        <v>1299</v>
      </c>
      <c r="D814" s="25">
        <v>0</v>
      </c>
      <c r="E814" s="25" t="s">
        <v>1300</v>
      </c>
      <c r="F814" s="26" t="str">
        <f t="shared" si="48"/>
        <v>TT800103</v>
      </c>
      <c r="G814" s="26">
        <f t="shared" si="50"/>
        <v>0</v>
      </c>
      <c r="H814" s="23" t="str">
        <f t="shared" si="51"/>
        <v>TI800103IO.Mode</v>
      </c>
      <c r="I814" s="23">
        <f t="shared" si="49"/>
        <v>0</v>
      </c>
    </row>
    <row r="815" spans="2:9" hidden="1" x14ac:dyDescent="0.25">
      <c r="B815" s="25" t="s">
        <v>16</v>
      </c>
      <c r="C815" s="25" t="s">
        <v>1301</v>
      </c>
      <c r="D815" s="25">
        <v>0</v>
      </c>
      <c r="E815" s="25" t="s">
        <v>1302</v>
      </c>
      <c r="F815" s="26" t="str">
        <f t="shared" si="48"/>
        <v>TT800107</v>
      </c>
      <c r="G815" s="26">
        <f t="shared" si="50"/>
        <v>0</v>
      </c>
      <c r="H815" s="23" t="str">
        <f t="shared" si="51"/>
        <v>TI800107_1oo1IO.Mode</v>
      </c>
      <c r="I815" s="23">
        <f t="shared" si="49"/>
        <v>0</v>
      </c>
    </row>
    <row r="816" spans="2:9" hidden="1" x14ac:dyDescent="0.25">
      <c r="B816" s="25" t="s">
        <v>16</v>
      </c>
      <c r="C816" s="25" t="s">
        <v>1303</v>
      </c>
      <c r="D816" s="25">
        <v>0</v>
      </c>
      <c r="E816" s="25" t="s">
        <v>1304</v>
      </c>
      <c r="F816" s="26" t="str">
        <f t="shared" si="48"/>
        <v>TT800304</v>
      </c>
      <c r="G816" s="26">
        <f t="shared" si="50"/>
        <v>0</v>
      </c>
      <c r="H816" s="23" t="str">
        <f t="shared" si="51"/>
        <v>TI800304IO.Mode</v>
      </c>
      <c r="I816" s="23">
        <f t="shared" si="49"/>
        <v>0</v>
      </c>
    </row>
    <row r="817" spans="2:9" hidden="1" x14ac:dyDescent="0.25">
      <c r="B817" s="25" t="s">
        <v>16</v>
      </c>
      <c r="C817" s="25" t="s">
        <v>1305</v>
      </c>
      <c r="D817" s="25">
        <v>0</v>
      </c>
      <c r="E817" s="25" t="s">
        <v>1306</v>
      </c>
      <c r="F817" s="26" t="str">
        <f t="shared" si="48"/>
        <v>TT800404</v>
      </c>
      <c r="G817" s="26">
        <f t="shared" si="50"/>
        <v>0</v>
      </c>
      <c r="H817" s="23" t="str">
        <f t="shared" si="51"/>
        <v>TI800404IO.Mode</v>
      </c>
      <c r="I817" s="23">
        <f t="shared" si="49"/>
        <v>0</v>
      </c>
    </row>
    <row r="818" spans="2:9" hidden="1" x14ac:dyDescent="0.25">
      <c r="B818" s="25" t="s">
        <v>16</v>
      </c>
      <c r="C818" s="25" t="s">
        <v>1307</v>
      </c>
      <c r="D818" s="25">
        <v>0</v>
      </c>
      <c r="E818" s="25" t="s">
        <v>1308</v>
      </c>
      <c r="F818" s="26" t="str">
        <f t="shared" ref="F818:F881" si="52">+LEFT(E818,FIND(".",E818,1)-1)</f>
        <v>TT800504</v>
      </c>
      <c r="G818" s="26">
        <f t="shared" si="50"/>
        <v>0</v>
      </c>
      <c r="H818" s="23" t="str">
        <f t="shared" si="51"/>
        <v>TI800504IO.Mode</v>
      </c>
      <c r="I818" s="23">
        <f t="shared" ref="I818:I881" si="53">+G818</f>
        <v>0</v>
      </c>
    </row>
    <row r="819" spans="2:9" hidden="1" x14ac:dyDescent="0.25">
      <c r="B819" s="25" t="s">
        <v>16</v>
      </c>
      <c r="C819" s="25" t="s">
        <v>1309</v>
      </c>
      <c r="D819" s="25">
        <v>0</v>
      </c>
      <c r="E819" s="25" t="s">
        <v>1310</v>
      </c>
      <c r="F819" s="26" t="str">
        <f t="shared" si="52"/>
        <v>TT800604</v>
      </c>
      <c r="G819" s="26">
        <f t="shared" si="50"/>
        <v>0</v>
      </c>
      <c r="H819" s="23" t="str">
        <f t="shared" si="51"/>
        <v>TI800604IO.Mode</v>
      </c>
      <c r="I819" s="23">
        <f t="shared" si="53"/>
        <v>0</v>
      </c>
    </row>
    <row r="820" spans="2:9" hidden="1" x14ac:dyDescent="0.25">
      <c r="B820" s="25" t="s">
        <v>16</v>
      </c>
      <c r="C820" s="25" t="s">
        <v>1311</v>
      </c>
      <c r="D820" s="25">
        <v>0</v>
      </c>
      <c r="E820" s="25" t="s">
        <v>1312</v>
      </c>
      <c r="F820" s="26" t="str">
        <f t="shared" si="52"/>
        <v>TT800712</v>
      </c>
      <c r="G820" s="26">
        <f t="shared" si="50"/>
        <v>0</v>
      </c>
      <c r="H820" s="23" t="str">
        <f t="shared" si="51"/>
        <v>TI800712IO.Mode</v>
      </c>
      <c r="I820" s="23">
        <f t="shared" si="53"/>
        <v>0</v>
      </c>
    </row>
    <row r="821" spans="2:9" hidden="1" x14ac:dyDescent="0.25">
      <c r="B821" s="25" t="s">
        <v>16</v>
      </c>
      <c r="C821" s="25" t="s">
        <v>1313</v>
      </c>
      <c r="D821" s="25">
        <v>0</v>
      </c>
      <c r="E821" s="25" t="s">
        <v>1314</v>
      </c>
      <c r="F821" s="26" t="str">
        <f t="shared" si="52"/>
        <v>TT800804</v>
      </c>
      <c r="G821" s="26">
        <f t="shared" si="50"/>
        <v>0</v>
      </c>
      <c r="H821" s="23" t="str">
        <f t="shared" si="51"/>
        <v>TI800804IO.Mode</v>
      </c>
      <c r="I821" s="23">
        <f t="shared" si="53"/>
        <v>0</v>
      </c>
    </row>
    <row r="822" spans="2:9" hidden="1" x14ac:dyDescent="0.25">
      <c r="B822" s="25" t="s">
        <v>16</v>
      </c>
      <c r="C822" s="25" t="s">
        <v>1315</v>
      </c>
      <c r="D822" s="25">
        <v>0</v>
      </c>
      <c r="E822" s="25" t="s">
        <v>1316</v>
      </c>
      <c r="F822" s="26" t="str">
        <f t="shared" si="52"/>
        <v>TT803004</v>
      </c>
      <c r="G822" s="26">
        <f t="shared" si="50"/>
        <v>0</v>
      </c>
      <c r="H822" s="23" t="str">
        <f t="shared" si="51"/>
        <v>TI803004IO.Mode</v>
      </c>
      <c r="I822" s="23">
        <f t="shared" si="53"/>
        <v>0</v>
      </c>
    </row>
    <row r="823" spans="2:9" x14ac:dyDescent="0.25">
      <c r="B823" s="25" t="s">
        <v>16</v>
      </c>
      <c r="C823" s="25" t="s">
        <v>1953</v>
      </c>
      <c r="D823" s="25">
        <v>0</v>
      </c>
      <c r="E823" s="25" t="s">
        <v>1954</v>
      </c>
      <c r="F823" s="26" t="str">
        <f t="shared" si="52"/>
        <v>TT803013</v>
      </c>
      <c r="G823" s="26">
        <f t="shared" si="50"/>
        <v>2</v>
      </c>
      <c r="H823" s="23" t="str">
        <f t="shared" si="51"/>
        <v>TI803013IO.Mode</v>
      </c>
      <c r="I823" s="23">
        <f t="shared" si="53"/>
        <v>2</v>
      </c>
    </row>
    <row r="824" spans="2:9" hidden="1" x14ac:dyDescent="0.25">
      <c r="B824" s="25" t="s">
        <v>16</v>
      </c>
      <c r="C824" s="25" t="s">
        <v>1317</v>
      </c>
      <c r="D824" s="25">
        <v>0</v>
      </c>
      <c r="E824" s="25" t="s">
        <v>1318</v>
      </c>
      <c r="F824" s="26" t="str">
        <f t="shared" si="52"/>
        <v>TT803104</v>
      </c>
      <c r="G824" s="26">
        <f t="shared" si="50"/>
        <v>0</v>
      </c>
      <c r="H824" s="23" t="str">
        <f t="shared" si="51"/>
        <v>TI803104IO.Mode</v>
      </c>
      <c r="I824" s="23">
        <f t="shared" si="53"/>
        <v>0</v>
      </c>
    </row>
    <row r="825" spans="2:9" x14ac:dyDescent="0.25">
      <c r="B825" s="25" t="s">
        <v>16</v>
      </c>
      <c r="C825" s="25" t="s">
        <v>1955</v>
      </c>
      <c r="D825" s="25">
        <v>0</v>
      </c>
      <c r="E825" s="25" t="s">
        <v>1956</v>
      </c>
      <c r="F825" s="26" t="str">
        <f t="shared" si="52"/>
        <v>TT803113</v>
      </c>
      <c r="G825" s="26">
        <f t="shared" si="50"/>
        <v>2</v>
      </c>
      <c r="H825" s="23" t="str">
        <f t="shared" si="51"/>
        <v>TI803113IO.Mode</v>
      </c>
      <c r="I825" s="23">
        <f t="shared" si="53"/>
        <v>2</v>
      </c>
    </row>
    <row r="826" spans="2:9" hidden="1" x14ac:dyDescent="0.25">
      <c r="B826" s="25" t="s">
        <v>16</v>
      </c>
      <c r="C826" s="25" t="s">
        <v>1319</v>
      </c>
      <c r="D826" s="25">
        <v>0</v>
      </c>
      <c r="E826" s="25" t="s">
        <v>1320</v>
      </c>
      <c r="F826" s="26" t="str">
        <f t="shared" si="52"/>
        <v>TT803204</v>
      </c>
      <c r="G826" s="26">
        <f t="shared" si="50"/>
        <v>0</v>
      </c>
      <c r="H826" s="23" t="str">
        <f t="shared" si="51"/>
        <v>TI803204IO.Mode</v>
      </c>
      <c r="I826" s="23">
        <f t="shared" si="53"/>
        <v>0</v>
      </c>
    </row>
    <row r="827" spans="2:9" x14ac:dyDescent="0.25">
      <c r="B827" s="25" t="s">
        <v>16</v>
      </c>
      <c r="C827" s="25" t="s">
        <v>1957</v>
      </c>
      <c r="D827" s="25">
        <v>0</v>
      </c>
      <c r="E827" s="25" t="s">
        <v>1958</v>
      </c>
      <c r="F827" s="26" t="str">
        <f t="shared" si="52"/>
        <v>TT803213</v>
      </c>
      <c r="G827" s="26">
        <f t="shared" si="50"/>
        <v>2</v>
      </c>
      <c r="H827" s="23" t="str">
        <f t="shared" si="51"/>
        <v>TI803213IO.Mode</v>
      </c>
      <c r="I827" s="23">
        <f t="shared" si="53"/>
        <v>2</v>
      </c>
    </row>
    <row r="828" spans="2:9" hidden="1" x14ac:dyDescent="0.25">
      <c r="B828" s="25" t="s">
        <v>16</v>
      </c>
      <c r="C828" s="25" t="s">
        <v>1321</v>
      </c>
      <c r="D828" s="25">
        <v>0</v>
      </c>
      <c r="E828" s="25" t="s">
        <v>1322</v>
      </c>
      <c r="F828" s="26" t="str">
        <f t="shared" si="52"/>
        <v>TT805001</v>
      </c>
      <c r="G828" s="26">
        <f t="shared" si="50"/>
        <v>0</v>
      </c>
      <c r="H828" s="23" t="str">
        <f t="shared" si="51"/>
        <v>TI805001IO.Mode</v>
      </c>
      <c r="I828" s="23">
        <f t="shared" si="53"/>
        <v>0</v>
      </c>
    </row>
    <row r="829" spans="2:9" hidden="1" x14ac:dyDescent="0.25">
      <c r="B829" s="25" t="s">
        <v>16</v>
      </c>
      <c r="C829" s="25" t="s">
        <v>1323</v>
      </c>
      <c r="D829" s="25">
        <v>0</v>
      </c>
      <c r="E829" s="25" t="s">
        <v>1324</v>
      </c>
      <c r="F829" s="26" t="str">
        <f t="shared" si="52"/>
        <v>TT805009</v>
      </c>
      <c r="G829" s="26">
        <f t="shared" si="50"/>
        <v>0</v>
      </c>
      <c r="H829" s="23" t="str">
        <f t="shared" si="51"/>
        <v>TI805009IO.Mode</v>
      </c>
      <c r="I829" s="23">
        <f t="shared" si="53"/>
        <v>0</v>
      </c>
    </row>
    <row r="830" spans="2:9" hidden="1" x14ac:dyDescent="0.25">
      <c r="B830" s="25" t="s">
        <v>16</v>
      </c>
      <c r="C830" s="25" t="s">
        <v>1325</v>
      </c>
      <c r="D830" s="25">
        <v>0</v>
      </c>
      <c r="E830" s="25" t="s">
        <v>1326</v>
      </c>
      <c r="F830" s="26" t="str">
        <f t="shared" si="52"/>
        <v>TT807006</v>
      </c>
      <c r="G830" s="26">
        <f t="shared" si="50"/>
        <v>0</v>
      </c>
      <c r="H830" s="23" t="str">
        <f t="shared" si="51"/>
        <v>TI807006IO.Mode</v>
      </c>
      <c r="I830" s="23">
        <f t="shared" si="53"/>
        <v>0</v>
      </c>
    </row>
    <row r="831" spans="2:9" hidden="1" x14ac:dyDescent="0.25">
      <c r="B831" s="25" t="s">
        <v>16</v>
      </c>
      <c r="C831" s="25" t="s">
        <v>1327</v>
      </c>
      <c r="D831" s="25">
        <v>0</v>
      </c>
      <c r="E831" s="25" t="s">
        <v>1328</v>
      </c>
      <c r="F831" s="26" t="str">
        <f t="shared" si="52"/>
        <v>TT807023</v>
      </c>
      <c r="G831" s="26">
        <f t="shared" si="50"/>
        <v>0</v>
      </c>
      <c r="H831" s="23" t="str">
        <f t="shared" si="51"/>
        <v>TI807023IO.Mode</v>
      </c>
      <c r="I831" s="23">
        <f t="shared" si="53"/>
        <v>0</v>
      </c>
    </row>
    <row r="832" spans="2:9" hidden="1" x14ac:dyDescent="0.25">
      <c r="B832" s="25" t="s">
        <v>16</v>
      </c>
      <c r="C832" s="25" t="s">
        <v>1329</v>
      </c>
      <c r="D832" s="25">
        <v>0</v>
      </c>
      <c r="E832" s="25" t="s">
        <v>1330</v>
      </c>
      <c r="F832" s="26" t="str">
        <f t="shared" si="52"/>
        <v>TT807024</v>
      </c>
      <c r="G832" s="26">
        <f t="shared" si="50"/>
        <v>0</v>
      </c>
      <c r="H832" s="23" t="str">
        <f t="shared" si="51"/>
        <v>TI807024IO.Mode</v>
      </c>
      <c r="I832" s="23">
        <f t="shared" si="53"/>
        <v>0</v>
      </c>
    </row>
    <row r="833" spans="2:9" hidden="1" x14ac:dyDescent="0.25">
      <c r="B833" s="25" t="s">
        <v>16</v>
      </c>
      <c r="C833" s="25" t="s">
        <v>1331</v>
      </c>
      <c r="D833" s="25">
        <v>0</v>
      </c>
      <c r="E833" s="25" t="s">
        <v>1332</v>
      </c>
      <c r="F833" s="26" t="str">
        <f t="shared" si="52"/>
        <v>TT808106</v>
      </c>
      <c r="G833" s="26">
        <f t="shared" si="50"/>
        <v>0</v>
      </c>
      <c r="H833" s="23" t="str">
        <f t="shared" si="51"/>
        <v>TI808106IO.Mode</v>
      </c>
      <c r="I833" s="23">
        <f t="shared" si="53"/>
        <v>0</v>
      </c>
    </row>
    <row r="834" spans="2:9" hidden="1" x14ac:dyDescent="0.25">
      <c r="B834" s="25" t="s">
        <v>16</v>
      </c>
      <c r="C834" s="25" t="s">
        <v>1333</v>
      </c>
      <c r="D834" s="25">
        <v>0</v>
      </c>
      <c r="E834" s="25" t="s">
        <v>1334</v>
      </c>
      <c r="F834" s="26" t="str">
        <f t="shared" si="52"/>
        <v>TT808308</v>
      </c>
      <c r="G834" s="26">
        <f t="shared" ref="G834:G897" si="54">+IFERROR(IF(VLOOKUP(F834,DI,2,FALSE)="IO",2,0),"N/A")</f>
        <v>0</v>
      </c>
      <c r="H834" s="23" t="str">
        <f t="shared" ref="H834:H897" si="55">+CONCATENATE(C834,".Mode")</f>
        <v>TI808308IO.Mode</v>
      </c>
      <c r="I834" s="23">
        <f t="shared" si="53"/>
        <v>0</v>
      </c>
    </row>
    <row r="835" spans="2:9" hidden="1" x14ac:dyDescent="0.25">
      <c r="B835" s="25" t="s">
        <v>16</v>
      </c>
      <c r="C835" s="25" t="s">
        <v>1335</v>
      </c>
      <c r="D835" s="25">
        <v>0</v>
      </c>
      <c r="E835" s="25" t="s">
        <v>1336</v>
      </c>
      <c r="F835" s="26" t="str">
        <f t="shared" si="52"/>
        <v>TT809004</v>
      </c>
      <c r="G835" s="26">
        <f t="shared" si="54"/>
        <v>0</v>
      </c>
      <c r="H835" s="23" t="str">
        <f t="shared" si="55"/>
        <v>TI809004IO.Mode</v>
      </c>
      <c r="I835" s="23">
        <f t="shared" si="53"/>
        <v>0</v>
      </c>
    </row>
    <row r="836" spans="2:9" hidden="1" x14ac:dyDescent="0.25">
      <c r="B836" s="25" t="s">
        <v>16</v>
      </c>
      <c r="C836" s="25" t="s">
        <v>1337</v>
      </c>
      <c r="D836" s="25">
        <v>0</v>
      </c>
      <c r="E836" s="25" t="s">
        <v>1338</v>
      </c>
      <c r="F836" s="26" t="str">
        <f t="shared" si="52"/>
        <v>TT809104</v>
      </c>
      <c r="G836" s="26">
        <f t="shared" si="54"/>
        <v>0</v>
      </c>
      <c r="H836" s="23" t="str">
        <f t="shared" si="55"/>
        <v>TI809104IO.Mode</v>
      </c>
      <c r="I836" s="23">
        <f t="shared" si="53"/>
        <v>0</v>
      </c>
    </row>
    <row r="837" spans="2:9" hidden="1" x14ac:dyDescent="0.25">
      <c r="B837" s="25" t="s">
        <v>16</v>
      </c>
      <c r="C837" s="25" t="s">
        <v>1339</v>
      </c>
      <c r="D837" s="25">
        <v>0</v>
      </c>
      <c r="E837" s="25" t="s">
        <v>1340</v>
      </c>
      <c r="F837" s="26" t="str">
        <f t="shared" si="52"/>
        <v>TT809204</v>
      </c>
      <c r="G837" s="26">
        <f t="shared" si="54"/>
        <v>0</v>
      </c>
      <c r="H837" s="23" t="str">
        <f t="shared" si="55"/>
        <v>TI809204IO.Mode</v>
      </c>
      <c r="I837" s="23">
        <f t="shared" si="53"/>
        <v>0</v>
      </c>
    </row>
    <row r="838" spans="2:9" hidden="1" x14ac:dyDescent="0.25">
      <c r="B838" s="25" t="s">
        <v>16</v>
      </c>
      <c r="C838" s="25" t="s">
        <v>1341</v>
      </c>
      <c r="D838" s="25">
        <v>0</v>
      </c>
      <c r="E838" s="25" t="s">
        <v>1342</v>
      </c>
      <c r="F838" s="26" t="str">
        <f t="shared" si="52"/>
        <v>TT810407A</v>
      </c>
      <c r="G838" s="26">
        <f t="shared" si="54"/>
        <v>0</v>
      </c>
      <c r="H838" s="23" t="str">
        <f t="shared" si="55"/>
        <v>TI810407A_1oo2IO_MA1.Mode</v>
      </c>
      <c r="I838" s="23">
        <f t="shared" si="53"/>
        <v>0</v>
      </c>
    </row>
    <row r="839" spans="2:9" hidden="1" x14ac:dyDescent="0.25">
      <c r="B839" s="25" t="s">
        <v>16</v>
      </c>
      <c r="C839" s="25" t="s">
        <v>1343</v>
      </c>
      <c r="D839" s="25">
        <v>0</v>
      </c>
      <c r="E839" s="25" t="s">
        <v>1344</v>
      </c>
      <c r="F839" s="26" t="str">
        <f t="shared" si="52"/>
        <v>TT810407B</v>
      </c>
      <c r="G839" s="26">
        <f t="shared" si="54"/>
        <v>0</v>
      </c>
      <c r="H839" s="23" t="str">
        <f t="shared" si="55"/>
        <v>TI810407A_1oo2IO_MA2.Mode</v>
      </c>
      <c r="I839" s="23">
        <f t="shared" si="53"/>
        <v>0</v>
      </c>
    </row>
    <row r="840" spans="2:9" hidden="1" x14ac:dyDescent="0.25">
      <c r="B840" s="25" t="s">
        <v>16</v>
      </c>
      <c r="C840" s="25" t="s">
        <v>1345</v>
      </c>
      <c r="D840" s="25">
        <v>0</v>
      </c>
      <c r="E840" s="25" t="s">
        <v>1346</v>
      </c>
      <c r="F840" s="26" t="str">
        <f t="shared" si="52"/>
        <v>TT810418</v>
      </c>
      <c r="G840" s="26">
        <f t="shared" si="54"/>
        <v>0</v>
      </c>
      <c r="H840" s="23" t="str">
        <f t="shared" si="55"/>
        <v>TI810418IO.Mode</v>
      </c>
      <c r="I840" s="23">
        <f t="shared" si="53"/>
        <v>0</v>
      </c>
    </row>
    <row r="841" spans="2:9" hidden="1" x14ac:dyDescent="0.25">
      <c r="B841" s="25" t="s">
        <v>16</v>
      </c>
      <c r="C841" s="25" t="s">
        <v>1347</v>
      </c>
      <c r="D841" s="25">
        <v>0</v>
      </c>
      <c r="E841" s="25" t="s">
        <v>1348</v>
      </c>
      <c r="F841" s="26" t="str">
        <f t="shared" si="52"/>
        <v>TT810423A</v>
      </c>
      <c r="G841" s="26">
        <f t="shared" si="54"/>
        <v>0</v>
      </c>
      <c r="H841" s="23" t="str">
        <f t="shared" si="55"/>
        <v>TI810423A_1oo2IO_MA1.Mode</v>
      </c>
      <c r="I841" s="23">
        <f t="shared" si="53"/>
        <v>0</v>
      </c>
    </row>
    <row r="842" spans="2:9" hidden="1" x14ac:dyDescent="0.25">
      <c r="B842" s="25" t="s">
        <v>16</v>
      </c>
      <c r="C842" s="25" t="s">
        <v>1349</v>
      </c>
      <c r="D842" s="25">
        <v>0</v>
      </c>
      <c r="E842" s="25" t="s">
        <v>1350</v>
      </c>
      <c r="F842" s="26" t="str">
        <f t="shared" si="52"/>
        <v>TT810423B</v>
      </c>
      <c r="G842" s="26">
        <f t="shared" si="54"/>
        <v>0</v>
      </c>
      <c r="H842" s="23" t="str">
        <f t="shared" si="55"/>
        <v>TI810423A_1oo2IO_MA2.Mode</v>
      </c>
      <c r="I842" s="23">
        <f t="shared" si="53"/>
        <v>0</v>
      </c>
    </row>
    <row r="843" spans="2:9" hidden="1" x14ac:dyDescent="0.25">
      <c r="B843" s="25" t="s">
        <v>16</v>
      </c>
      <c r="C843" s="25" t="s">
        <v>1351</v>
      </c>
      <c r="D843" s="25">
        <v>0</v>
      </c>
      <c r="E843" s="25" t="s">
        <v>1352</v>
      </c>
      <c r="F843" s="26" t="str">
        <f t="shared" si="52"/>
        <v>TT810447</v>
      </c>
      <c r="G843" s="26">
        <f t="shared" si="54"/>
        <v>0</v>
      </c>
      <c r="H843" s="23" t="str">
        <f t="shared" si="55"/>
        <v>TI810447IO.Mode</v>
      </c>
      <c r="I843" s="23">
        <f t="shared" si="53"/>
        <v>0</v>
      </c>
    </row>
    <row r="844" spans="2:9" hidden="1" x14ac:dyDescent="0.25">
      <c r="B844" s="25" t="s">
        <v>16</v>
      </c>
      <c r="C844" s="25" t="s">
        <v>1353</v>
      </c>
      <c r="D844" s="25">
        <v>0</v>
      </c>
      <c r="E844" s="25" t="s">
        <v>1354</v>
      </c>
      <c r="F844" s="26" t="str">
        <f t="shared" si="52"/>
        <v>TT810505</v>
      </c>
      <c r="G844" s="26">
        <f t="shared" si="54"/>
        <v>0</v>
      </c>
      <c r="H844" s="23" t="str">
        <f t="shared" si="55"/>
        <v>TI810505IO.Mode</v>
      </c>
      <c r="I844" s="23">
        <f t="shared" si="53"/>
        <v>0</v>
      </c>
    </row>
    <row r="845" spans="2:9" hidden="1" x14ac:dyDescent="0.25">
      <c r="B845" s="25" t="s">
        <v>16</v>
      </c>
      <c r="C845" s="25" t="s">
        <v>1355</v>
      </c>
      <c r="D845" s="25">
        <v>0</v>
      </c>
      <c r="E845" s="25" t="s">
        <v>1356</v>
      </c>
      <c r="F845" s="26" t="str">
        <f t="shared" si="52"/>
        <v>TT810534</v>
      </c>
      <c r="G845" s="26">
        <f t="shared" si="54"/>
        <v>0</v>
      </c>
      <c r="H845" s="23" t="str">
        <f t="shared" si="55"/>
        <v>TI810534IO.Mode</v>
      </c>
      <c r="I845" s="23">
        <f t="shared" si="53"/>
        <v>0</v>
      </c>
    </row>
    <row r="846" spans="2:9" hidden="1" x14ac:dyDescent="0.25">
      <c r="B846" s="25" t="s">
        <v>16</v>
      </c>
      <c r="C846" s="25" t="s">
        <v>1357</v>
      </c>
      <c r="D846" s="25">
        <v>0</v>
      </c>
      <c r="E846" s="25" t="s">
        <v>1358</v>
      </c>
      <c r="F846" s="26" t="str">
        <f t="shared" si="52"/>
        <v>TT810535</v>
      </c>
      <c r="G846" s="26">
        <f t="shared" si="54"/>
        <v>0</v>
      </c>
      <c r="H846" s="23" t="str">
        <f t="shared" si="55"/>
        <v>TI810535_1oo1IO.Mode</v>
      </c>
      <c r="I846" s="23">
        <f t="shared" si="53"/>
        <v>0</v>
      </c>
    </row>
    <row r="847" spans="2:9" hidden="1" x14ac:dyDescent="0.25">
      <c r="B847" s="25" t="s">
        <v>16</v>
      </c>
      <c r="C847" s="25" t="s">
        <v>1359</v>
      </c>
      <c r="D847" s="25">
        <v>0</v>
      </c>
      <c r="E847" s="25" t="s">
        <v>1360</v>
      </c>
      <c r="F847" s="26" t="str">
        <f t="shared" si="52"/>
        <v>TT810536</v>
      </c>
      <c r="G847" s="26">
        <f t="shared" si="54"/>
        <v>0</v>
      </c>
      <c r="H847" s="23" t="str">
        <f t="shared" si="55"/>
        <v>TI810536_1oo1IO.Mode</v>
      </c>
      <c r="I847" s="23">
        <f t="shared" si="53"/>
        <v>0</v>
      </c>
    </row>
    <row r="848" spans="2:9" hidden="1" x14ac:dyDescent="0.25">
      <c r="B848" s="25" t="s">
        <v>16</v>
      </c>
      <c r="C848" s="25" t="s">
        <v>1361</v>
      </c>
      <c r="D848" s="25">
        <v>0</v>
      </c>
      <c r="E848" s="25" t="s">
        <v>1362</v>
      </c>
      <c r="F848" s="26" t="str">
        <f t="shared" si="52"/>
        <v>TT810537</v>
      </c>
      <c r="G848" s="26">
        <f t="shared" si="54"/>
        <v>0</v>
      </c>
      <c r="H848" s="23" t="str">
        <f t="shared" si="55"/>
        <v>TI810537_1oo1IO.Mode</v>
      </c>
      <c r="I848" s="23">
        <f t="shared" si="53"/>
        <v>0</v>
      </c>
    </row>
    <row r="849" spans="2:9" hidden="1" x14ac:dyDescent="0.25">
      <c r="B849" s="25" t="s">
        <v>16</v>
      </c>
      <c r="C849" s="25" t="s">
        <v>1363</v>
      </c>
      <c r="D849" s="25">
        <v>0</v>
      </c>
      <c r="E849" s="25" t="s">
        <v>1364</v>
      </c>
      <c r="F849" s="26" t="str">
        <f t="shared" si="52"/>
        <v>TT810601</v>
      </c>
      <c r="G849" s="26">
        <f t="shared" si="54"/>
        <v>0</v>
      </c>
      <c r="H849" s="23" t="str">
        <f t="shared" si="55"/>
        <v>TI810601IO.Mode</v>
      </c>
      <c r="I849" s="23">
        <f t="shared" si="53"/>
        <v>0</v>
      </c>
    </row>
    <row r="850" spans="2:9" hidden="1" x14ac:dyDescent="0.25">
      <c r="B850" s="25" t="s">
        <v>16</v>
      </c>
      <c r="C850" s="25" t="s">
        <v>1365</v>
      </c>
      <c r="D850" s="25">
        <v>0</v>
      </c>
      <c r="E850" s="25" t="s">
        <v>1366</v>
      </c>
      <c r="F850" s="26" t="str">
        <f t="shared" si="52"/>
        <v>TT810603</v>
      </c>
      <c r="G850" s="26">
        <f t="shared" si="54"/>
        <v>0</v>
      </c>
      <c r="H850" s="23" t="str">
        <f t="shared" si="55"/>
        <v>TI810603IO.Mode</v>
      </c>
      <c r="I850" s="23">
        <f t="shared" si="53"/>
        <v>0</v>
      </c>
    </row>
    <row r="851" spans="2:9" hidden="1" x14ac:dyDescent="0.25">
      <c r="B851" s="25" t="s">
        <v>16</v>
      </c>
      <c r="C851" s="25" t="s">
        <v>1367</v>
      </c>
      <c r="D851" s="25">
        <v>0</v>
      </c>
      <c r="E851" s="25" t="s">
        <v>1368</v>
      </c>
      <c r="F851" s="26" t="str">
        <f t="shared" si="52"/>
        <v>TT810623</v>
      </c>
      <c r="G851" s="26">
        <f t="shared" si="54"/>
        <v>0</v>
      </c>
      <c r="H851" s="23" t="str">
        <f t="shared" si="55"/>
        <v>TI810623IO.Mode</v>
      </c>
      <c r="I851" s="23">
        <f t="shared" si="53"/>
        <v>0</v>
      </c>
    </row>
    <row r="852" spans="2:9" hidden="1" x14ac:dyDescent="0.25">
      <c r="B852" s="25" t="s">
        <v>16</v>
      </c>
      <c r="C852" s="25" t="s">
        <v>1369</v>
      </c>
      <c r="D852" s="25">
        <v>0</v>
      </c>
      <c r="E852" s="25" t="s">
        <v>1370</v>
      </c>
      <c r="F852" s="26" t="str">
        <f t="shared" si="52"/>
        <v>TT810631</v>
      </c>
      <c r="G852" s="26">
        <f t="shared" si="54"/>
        <v>0</v>
      </c>
      <c r="H852" s="23" t="str">
        <f t="shared" si="55"/>
        <v>TI810631IO.Mode</v>
      </c>
      <c r="I852" s="23">
        <f t="shared" si="53"/>
        <v>0</v>
      </c>
    </row>
    <row r="853" spans="2:9" hidden="1" x14ac:dyDescent="0.25">
      <c r="B853" s="25" t="s">
        <v>16</v>
      </c>
      <c r="C853" s="25" t="s">
        <v>1371</v>
      </c>
      <c r="D853" s="25">
        <v>0</v>
      </c>
      <c r="E853" s="25" t="s">
        <v>1372</v>
      </c>
      <c r="F853" s="26" t="str">
        <f t="shared" si="52"/>
        <v>TT810634</v>
      </c>
      <c r="G853" s="26">
        <f t="shared" si="54"/>
        <v>0</v>
      </c>
      <c r="H853" s="23" t="str">
        <f t="shared" si="55"/>
        <v>TI810634IO.Mode</v>
      </c>
      <c r="I853" s="23">
        <f t="shared" si="53"/>
        <v>0</v>
      </c>
    </row>
    <row r="854" spans="2:9" hidden="1" x14ac:dyDescent="0.25">
      <c r="B854" s="25" t="s">
        <v>16</v>
      </c>
      <c r="C854" s="25" t="s">
        <v>1373</v>
      </c>
      <c r="D854" s="25">
        <v>0</v>
      </c>
      <c r="E854" s="25" t="s">
        <v>1374</v>
      </c>
      <c r="F854" s="26" t="str">
        <f t="shared" si="52"/>
        <v>TT810637</v>
      </c>
      <c r="G854" s="26">
        <f t="shared" si="54"/>
        <v>0</v>
      </c>
      <c r="H854" s="23" t="str">
        <f t="shared" si="55"/>
        <v>TI810637IO.Mode</v>
      </c>
      <c r="I854" s="23">
        <f t="shared" si="53"/>
        <v>0</v>
      </c>
    </row>
    <row r="855" spans="2:9" hidden="1" x14ac:dyDescent="0.25">
      <c r="B855" s="25" t="s">
        <v>16</v>
      </c>
      <c r="C855" s="25" t="s">
        <v>1375</v>
      </c>
      <c r="D855" s="25">
        <v>0</v>
      </c>
      <c r="E855" s="25" t="s">
        <v>1376</v>
      </c>
      <c r="F855" s="26" t="str">
        <f t="shared" si="52"/>
        <v>TT810638A</v>
      </c>
      <c r="G855" s="26">
        <f t="shared" si="54"/>
        <v>0</v>
      </c>
      <c r="H855" s="23" t="str">
        <f t="shared" si="55"/>
        <v>TI810638AIO.Mode</v>
      </c>
      <c r="I855" s="23">
        <f t="shared" si="53"/>
        <v>0</v>
      </c>
    </row>
    <row r="856" spans="2:9" hidden="1" x14ac:dyDescent="0.25">
      <c r="B856" s="25" t="s">
        <v>16</v>
      </c>
      <c r="C856" s="25" t="s">
        <v>1377</v>
      </c>
      <c r="D856" s="25">
        <v>0</v>
      </c>
      <c r="E856" s="25" t="s">
        <v>1378</v>
      </c>
      <c r="F856" s="26" t="str">
        <f t="shared" si="52"/>
        <v>TT810638B</v>
      </c>
      <c r="G856" s="26">
        <f t="shared" si="54"/>
        <v>0</v>
      </c>
      <c r="H856" s="23" t="str">
        <f t="shared" si="55"/>
        <v>TI810638BIO.Mode</v>
      </c>
      <c r="I856" s="23">
        <f t="shared" si="53"/>
        <v>0</v>
      </c>
    </row>
    <row r="857" spans="2:9" hidden="1" x14ac:dyDescent="0.25">
      <c r="B857" s="25" t="s">
        <v>16</v>
      </c>
      <c r="C857" s="25" t="s">
        <v>1379</v>
      </c>
      <c r="D857" s="25">
        <v>0</v>
      </c>
      <c r="E857" s="25" t="s">
        <v>1380</v>
      </c>
      <c r="F857" s="26" t="str">
        <f t="shared" si="52"/>
        <v>TT811004</v>
      </c>
      <c r="G857" s="26">
        <f t="shared" si="54"/>
        <v>0</v>
      </c>
      <c r="H857" s="23" t="str">
        <f t="shared" si="55"/>
        <v>TI811004IO.Mode</v>
      </c>
      <c r="I857" s="23">
        <f t="shared" si="53"/>
        <v>0</v>
      </c>
    </row>
    <row r="858" spans="2:9" hidden="1" x14ac:dyDescent="0.25">
      <c r="B858" s="25" t="s">
        <v>16</v>
      </c>
      <c r="C858" s="25" t="s">
        <v>1381</v>
      </c>
      <c r="D858" s="25">
        <v>0</v>
      </c>
      <c r="E858" s="25" t="s">
        <v>1382</v>
      </c>
      <c r="F858" s="26" t="str">
        <f t="shared" si="52"/>
        <v>TT811104</v>
      </c>
      <c r="G858" s="26">
        <f t="shared" si="54"/>
        <v>0</v>
      </c>
      <c r="H858" s="23" t="str">
        <f t="shared" si="55"/>
        <v>TI811104IO.Mode</v>
      </c>
      <c r="I858" s="23">
        <f t="shared" si="53"/>
        <v>0</v>
      </c>
    </row>
    <row r="859" spans="2:9" hidden="1" x14ac:dyDescent="0.25">
      <c r="B859" s="25" t="s">
        <v>16</v>
      </c>
      <c r="C859" s="25" t="s">
        <v>1383</v>
      </c>
      <c r="D859" s="25">
        <v>0</v>
      </c>
      <c r="E859" s="25" t="s">
        <v>1384</v>
      </c>
      <c r="F859" s="26" t="str">
        <f t="shared" si="52"/>
        <v>TT812002</v>
      </c>
      <c r="G859" s="26">
        <f t="shared" si="54"/>
        <v>0</v>
      </c>
      <c r="H859" s="23" t="str">
        <f t="shared" si="55"/>
        <v>TI812002IO.Mode</v>
      </c>
      <c r="I859" s="23">
        <f t="shared" si="53"/>
        <v>0</v>
      </c>
    </row>
    <row r="860" spans="2:9" hidden="1" x14ac:dyDescent="0.25">
      <c r="B860" s="25" t="s">
        <v>16</v>
      </c>
      <c r="C860" s="25" t="s">
        <v>1385</v>
      </c>
      <c r="D860" s="25">
        <v>0</v>
      </c>
      <c r="E860" s="25" t="s">
        <v>1386</v>
      </c>
      <c r="F860" s="26" t="str">
        <f t="shared" si="52"/>
        <v>TT812022</v>
      </c>
      <c r="G860" s="26">
        <f t="shared" si="54"/>
        <v>0</v>
      </c>
      <c r="H860" s="23" t="str">
        <f t="shared" si="55"/>
        <v>TI812022IO.Mode</v>
      </c>
      <c r="I860" s="23">
        <f t="shared" si="53"/>
        <v>0</v>
      </c>
    </row>
    <row r="861" spans="2:9" hidden="1" x14ac:dyDescent="0.25">
      <c r="B861" s="25" t="s">
        <v>16</v>
      </c>
      <c r="C861" s="25" t="s">
        <v>1387</v>
      </c>
      <c r="D861" s="25">
        <v>0</v>
      </c>
      <c r="E861" s="25" t="s">
        <v>1388</v>
      </c>
      <c r="F861" s="26" t="str">
        <f t="shared" si="52"/>
        <v>TT812101</v>
      </c>
      <c r="G861" s="26">
        <f t="shared" si="54"/>
        <v>0</v>
      </c>
      <c r="H861" s="23" t="str">
        <f t="shared" si="55"/>
        <v>TI812101IO.Mode</v>
      </c>
      <c r="I861" s="23">
        <f t="shared" si="53"/>
        <v>0</v>
      </c>
    </row>
    <row r="862" spans="2:9" x14ac:dyDescent="0.25">
      <c r="B862" s="25" t="s">
        <v>16</v>
      </c>
      <c r="C862" s="25" t="s">
        <v>1959</v>
      </c>
      <c r="D862" s="25">
        <v>0</v>
      </c>
      <c r="E862" s="25" t="s">
        <v>1960</v>
      </c>
      <c r="F862" s="26" t="str">
        <f t="shared" si="52"/>
        <v>TT812109</v>
      </c>
      <c r="G862" s="26">
        <f t="shared" si="54"/>
        <v>2</v>
      </c>
      <c r="H862" s="23" t="str">
        <f t="shared" si="55"/>
        <v>TI812109IO.Mode</v>
      </c>
      <c r="I862" s="23">
        <f t="shared" si="53"/>
        <v>2</v>
      </c>
    </row>
    <row r="863" spans="2:9" x14ac:dyDescent="0.25">
      <c r="B863" s="25" t="s">
        <v>16</v>
      </c>
      <c r="C863" s="25" t="s">
        <v>1961</v>
      </c>
      <c r="D863" s="25">
        <v>0</v>
      </c>
      <c r="E863" s="25" t="s">
        <v>1962</v>
      </c>
      <c r="F863" s="26" t="str">
        <f t="shared" si="52"/>
        <v>TT812124</v>
      </c>
      <c r="G863" s="26">
        <f t="shared" si="54"/>
        <v>2</v>
      </c>
      <c r="H863" s="23" t="str">
        <f t="shared" si="55"/>
        <v>TI812124IO.Mode</v>
      </c>
      <c r="I863" s="23">
        <f t="shared" si="53"/>
        <v>2</v>
      </c>
    </row>
    <row r="864" spans="2:9" hidden="1" x14ac:dyDescent="0.25">
      <c r="B864" s="25" t="s">
        <v>16</v>
      </c>
      <c r="C864" s="25" t="s">
        <v>1389</v>
      </c>
      <c r="D864" s="25">
        <v>0</v>
      </c>
      <c r="E864" s="25" t="s">
        <v>1390</v>
      </c>
      <c r="F864" s="26" t="str">
        <f t="shared" si="52"/>
        <v>TT812203</v>
      </c>
      <c r="G864" s="26">
        <f t="shared" si="54"/>
        <v>0</v>
      </c>
      <c r="H864" s="23" t="str">
        <f t="shared" si="55"/>
        <v>TI812203IO.Mode</v>
      </c>
      <c r="I864" s="23">
        <f t="shared" si="53"/>
        <v>0</v>
      </c>
    </row>
    <row r="865" spans="2:9" x14ac:dyDescent="0.25">
      <c r="B865" s="25" t="s">
        <v>16</v>
      </c>
      <c r="C865" s="25" t="s">
        <v>1963</v>
      </c>
      <c r="D865" s="25">
        <v>0</v>
      </c>
      <c r="E865" s="25" t="s">
        <v>1964</v>
      </c>
      <c r="F865" s="26" t="str">
        <f t="shared" si="52"/>
        <v>TT812221</v>
      </c>
      <c r="G865" s="26">
        <f t="shared" si="54"/>
        <v>2</v>
      </c>
      <c r="H865" s="23" t="str">
        <f t="shared" si="55"/>
        <v>TI812221IO.Mode</v>
      </c>
      <c r="I865" s="23">
        <f t="shared" si="53"/>
        <v>2</v>
      </c>
    </row>
    <row r="866" spans="2:9" hidden="1" x14ac:dyDescent="0.25">
      <c r="B866" s="25" t="s">
        <v>16</v>
      </c>
      <c r="C866" s="25" t="s">
        <v>1391</v>
      </c>
      <c r="D866" s="25">
        <v>0</v>
      </c>
      <c r="E866" s="25" t="s">
        <v>1392</v>
      </c>
      <c r="F866" s="26" t="str">
        <f t="shared" si="52"/>
        <v>TT820011A</v>
      </c>
      <c r="G866" s="26">
        <f t="shared" si="54"/>
        <v>0</v>
      </c>
      <c r="H866" s="23" t="str">
        <f t="shared" si="55"/>
        <v>TI820011A_1oo2IO_MA1.Mode</v>
      </c>
      <c r="I866" s="23">
        <f t="shared" si="53"/>
        <v>0</v>
      </c>
    </row>
    <row r="867" spans="2:9" hidden="1" x14ac:dyDescent="0.25">
      <c r="B867" s="25" t="s">
        <v>16</v>
      </c>
      <c r="C867" s="25" t="s">
        <v>1393</v>
      </c>
      <c r="D867" s="25">
        <v>0</v>
      </c>
      <c r="E867" s="25" t="s">
        <v>1392</v>
      </c>
      <c r="F867" s="26" t="str">
        <f t="shared" si="52"/>
        <v>TT820011A</v>
      </c>
      <c r="G867" s="26">
        <f t="shared" si="54"/>
        <v>0</v>
      </c>
      <c r="H867" s="23" t="str">
        <f t="shared" si="55"/>
        <v>TI820011A_1oo2IO_MA2.Mode</v>
      </c>
      <c r="I867" s="23">
        <f t="shared" si="53"/>
        <v>0</v>
      </c>
    </row>
    <row r="868" spans="2:9" hidden="1" x14ac:dyDescent="0.25">
      <c r="B868" s="25" t="s">
        <v>16</v>
      </c>
      <c r="C868" s="25" t="s">
        <v>1394</v>
      </c>
      <c r="D868" s="25">
        <v>0</v>
      </c>
      <c r="E868" s="25" t="s">
        <v>1392</v>
      </c>
      <c r="F868" s="26" t="str">
        <f t="shared" si="52"/>
        <v>TT820011A</v>
      </c>
      <c r="G868" s="26">
        <f t="shared" si="54"/>
        <v>0</v>
      </c>
      <c r="H868" s="23" t="str">
        <f t="shared" si="55"/>
        <v>TI820011AIO.Mode</v>
      </c>
      <c r="I868" s="23">
        <f t="shared" si="53"/>
        <v>0</v>
      </c>
    </row>
    <row r="869" spans="2:9" hidden="1" x14ac:dyDescent="0.25">
      <c r="B869" s="25" t="s">
        <v>16</v>
      </c>
      <c r="C869" s="25" t="s">
        <v>1395</v>
      </c>
      <c r="D869" s="25">
        <v>0</v>
      </c>
      <c r="E869" s="25" t="s">
        <v>1396</v>
      </c>
      <c r="F869" s="26" t="str">
        <f t="shared" si="52"/>
        <v>TT820011B</v>
      </c>
      <c r="G869" s="26">
        <f t="shared" si="54"/>
        <v>0</v>
      </c>
      <c r="H869" s="23" t="str">
        <f t="shared" si="55"/>
        <v>TI820011BIO.Mode</v>
      </c>
      <c r="I869" s="23">
        <f t="shared" si="53"/>
        <v>0</v>
      </c>
    </row>
    <row r="870" spans="2:9" hidden="1" x14ac:dyDescent="0.25">
      <c r="B870" s="25" t="s">
        <v>16</v>
      </c>
      <c r="C870" s="25" t="s">
        <v>1397</v>
      </c>
      <c r="D870" s="25">
        <v>0</v>
      </c>
      <c r="E870" s="25" t="s">
        <v>1398</v>
      </c>
      <c r="F870" s="26" t="str">
        <f t="shared" si="52"/>
        <v>TT820405</v>
      </c>
      <c r="G870" s="26">
        <f t="shared" si="54"/>
        <v>0</v>
      </c>
      <c r="H870" s="23" t="str">
        <f t="shared" si="55"/>
        <v>TI820405IO.Mode</v>
      </c>
      <c r="I870" s="23">
        <f t="shared" si="53"/>
        <v>0</v>
      </c>
    </row>
    <row r="871" spans="2:9" hidden="1" x14ac:dyDescent="0.25">
      <c r="B871" s="25" t="s">
        <v>16</v>
      </c>
      <c r="C871" s="25" t="s">
        <v>1399</v>
      </c>
      <c r="D871" s="25">
        <v>0</v>
      </c>
      <c r="E871" s="25" t="s">
        <v>1400</v>
      </c>
      <c r="F871" s="26" t="str">
        <f t="shared" si="52"/>
        <v>TT820418A</v>
      </c>
      <c r="G871" s="26">
        <f t="shared" si="54"/>
        <v>0</v>
      </c>
      <c r="H871" s="23" t="str">
        <f t="shared" si="55"/>
        <v>TI820418A_1oo2IO_MA1.Mode</v>
      </c>
      <c r="I871" s="23">
        <f t="shared" si="53"/>
        <v>0</v>
      </c>
    </row>
    <row r="872" spans="2:9" hidden="1" x14ac:dyDescent="0.25">
      <c r="B872" s="25" t="s">
        <v>16</v>
      </c>
      <c r="C872" s="25" t="s">
        <v>1401</v>
      </c>
      <c r="D872" s="25">
        <v>0</v>
      </c>
      <c r="E872" s="25" t="s">
        <v>1402</v>
      </c>
      <c r="F872" s="26" t="str">
        <f t="shared" si="52"/>
        <v>TT820418B</v>
      </c>
      <c r="G872" s="26">
        <f t="shared" si="54"/>
        <v>0</v>
      </c>
      <c r="H872" s="23" t="str">
        <f t="shared" si="55"/>
        <v>TI820418A_1oo2IO_MA2.Mode</v>
      </c>
      <c r="I872" s="23">
        <f t="shared" si="53"/>
        <v>0</v>
      </c>
    </row>
    <row r="873" spans="2:9" hidden="1" x14ac:dyDescent="0.25">
      <c r="B873" s="25" t="s">
        <v>16</v>
      </c>
      <c r="C873" s="25" t="s">
        <v>1403</v>
      </c>
      <c r="D873" s="25">
        <v>0</v>
      </c>
      <c r="E873" s="25" t="s">
        <v>1404</v>
      </c>
      <c r="F873" s="26" t="str">
        <f t="shared" si="52"/>
        <v>TT820422A</v>
      </c>
      <c r="G873" s="26">
        <f t="shared" si="54"/>
        <v>0</v>
      </c>
      <c r="H873" s="23" t="str">
        <f t="shared" si="55"/>
        <v>TI820422A_1oo2IO_MA1.Mode</v>
      </c>
      <c r="I873" s="23">
        <f t="shared" si="53"/>
        <v>0</v>
      </c>
    </row>
    <row r="874" spans="2:9" hidden="1" x14ac:dyDescent="0.25">
      <c r="B874" s="25" t="s">
        <v>16</v>
      </c>
      <c r="C874" s="25" t="s">
        <v>1405</v>
      </c>
      <c r="D874" s="25">
        <v>0</v>
      </c>
      <c r="E874" s="25" t="s">
        <v>1406</v>
      </c>
      <c r="F874" s="26" t="str">
        <f t="shared" si="52"/>
        <v>TT820422B</v>
      </c>
      <c r="G874" s="26">
        <f t="shared" si="54"/>
        <v>0</v>
      </c>
      <c r="H874" s="23" t="str">
        <f t="shared" si="55"/>
        <v>TI820422A_1oo2IO_MA2.Mode</v>
      </c>
      <c r="I874" s="23">
        <f t="shared" si="53"/>
        <v>0</v>
      </c>
    </row>
    <row r="875" spans="2:9" hidden="1" x14ac:dyDescent="0.25">
      <c r="B875" s="25" t="s">
        <v>16</v>
      </c>
      <c r="C875" s="25" t="s">
        <v>1407</v>
      </c>
      <c r="D875" s="25">
        <v>0</v>
      </c>
      <c r="E875" s="25" t="s">
        <v>1408</v>
      </c>
      <c r="F875" s="26" t="str">
        <f t="shared" si="52"/>
        <v>TT820505</v>
      </c>
      <c r="G875" s="26">
        <f t="shared" si="54"/>
        <v>0</v>
      </c>
      <c r="H875" s="23" t="str">
        <f t="shared" si="55"/>
        <v>TI820505_1oo1IO.Mode</v>
      </c>
      <c r="I875" s="23">
        <f t="shared" si="53"/>
        <v>0</v>
      </c>
    </row>
    <row r="876" spans="2:9" hidden="1" x14ac:dyDescent="0.25">
      <c r="B876" s="25" t="s">
        <v>16</v>
      </c>
      <c r="C876" s="25" t="s">
        <v>1409</v>
      </c>
      <c r="D876" s="25">
        <v>0</v>
      </c>
      <c r="E876" s="25" t="s">
        <v>1408</v>
      </c>
      <c r="F876" s="26" t="str">
        <f t="shared" si="52"/>
        <v>TT820505</v>
      </c>
      <c r="G876" s="26">
        <f t="shared" si="54"/>
        <v>0</v>
      </c>
      <c r="H876" s="23" t="str">
        <f t="shared" si="55"/>
        <v>TI820505IO.Mode</v>
      </c>
      <c r="I876" s="23">
        <f t="shared" si="53"/>
        <v>0</v>
      </c>
    </row>
    <row r="877" spans="2:9" hidden="1" x14ac:dyDescent="0.25">
      <c r="B877" s="25" t="s">
        <v>16</v>
      </c>
      <c r="C877" s="25" t="s">
        <v>1410</v>
      </c>
      <c r="D877" s="25">
        <v>0</v>
      </c>
      <c r="E877" s="25" t="s">
        <v>1411</v>
      </c>
      <c r="F877" s="26" t="str">
        <f t="shared" si="52"/>
        <v>TT820542</v>
      </c>
      <c r="G877" s="26">
        <f t="shared" si="54"/>
        <v>0</v>
      </c>
      <c r="H877" s="23" t="str">
        <f t="shared" si="55"/>
        <v>TI820542IO.Mode</v>
      </c>
      <c r="I877" s="23">
        <f t="shared" si="53"/>
        <v>0</v>
      </c>
    </row>
    <row r="878" spans="2:9" x14ac:dyDescent="0.25">
      <c r="B878" s="25" t="s">
        <v>16</v>
      </c>
      <c r="C878" s="25" t="s">
        <v>1965</v>
      </c>
      <c r="D878" s="25">
        <v>0</v>
      </c>
      <c r="E878" s="25" t="s">
        <v>1966</v>
      </c>
      <c r="F878" s="26" t="str">
        <f t="shared" si="52"/>
        <v>TT820551</v>
      </c>
      <c r="G878" s="26">
        <f t="shared" si="54"/>
        <v>2</v>
      </c>
      <c r="H878" s="23" t="str">
        <f t="shared" si="55"/>
        <v>TI820551IO.Mode</v>
      </c>
      <c r="I878" s="23">
        <f t="shared" si="53"/>
        <v>2</v>
      </c>
    </row>
    <row r="879" spans="2:9" hidden="1" x14ac:dyDescent="0.25">
      <c r="B879" s="25" t="s">
        <v>16</v>
      </c>
      <c r="C879" s="25" t="s">
        <v>1412</v>
      </c>
      <c r="D879" s="25">
        <v>0</v>
      </c>
      <c r="E879" s="25" t="s">
        <v>1413</v>
      </c>
      <c r="F879" s="26" t="str">
        <f t="shared" si="52"/>
        <v>TT820563</v>
      </c>
      <c r="G879" s="26">
        <f t="shared" si="54"/>
        <v>0</v>
      </c>
      <c r="H879" s="23" t="str">
        <f t="shared" si="55"/>
        <v>TI820563_1oo1IO.Mode</v>
      </c>
      <c r="I879" s="23">
        <f t="shared" si="53"/>
        <v>0</v>
      </c>
    </row>
    <row r="880" spans="2:9" hidden="1" x14ac:dyDescent="0.25">
      <c r="B880" s="25" t="s">
        <v>16</v>
      </c>
      <c r="C880" s="25" t="s">
        <v>1414</v>
      </c>
      <c r="D880" s="25">
        <v>0</v>
      </c>
      <c r="E880" s="25" t="s">
        <v>1415</v>
      </c>
      <c r="F880" s="26" t="str">
        <f t="shared" si="52"/>
        <v>TT820564</v>
      </c>
      <c r="G880" s="26">
        <f t="shared" si="54"/>
        <v>0</v>
      </c>
      <c r="H880" s="23" t="str">
        <f t="shared" si="55"/>
        <v>TI820564_1oo1IO.Mode</v>
      </c>
      <c r="I880" s="23">
        <f t="shared" si="53"/>
        <v>0</v>
      </c>
    </row>
    <row r="881" spans="2:9" hidden="1" x14ac:dyDescent="0.25">
      <c r="B881" s="25" t="s">
        <v>16</v>
      </c>
      <c r="C881" s="25" t="s">
        <v>1416</v>
      </c>
      <c r="D881" s="25">
        <v>0</v>
      </c>
      <c r="E881" s="25" t="s">
        <v>1417</v>
      </c>
      <c r="F881" s="26" t="str">
        <f t="shared" si="52"/>
        <v>TT820601</v>
      </c>
      <c r="G881" s="26">
        <f t="shared" si="54"/>
        <v>0</v>
      </c>
      <c r="H881" s="23" t="str">
        <f t="shared" si="55"/>
        <v>TI820601IO.Mode</v>
      </c>
      <c r="I881" s="23">
        <f t="shared" si="53"/>
        <v>0</v>
      </c>
    </row>
    <row r="882" spans="2:9" hidden="1" x14ac:dyDescent="0.25">
      <c r="B882" s="25" t="s">
        <v>16</v>
      </c>
      <c r="C882" s="25" t="s">
        <v>1418</v>
      </c>
      <c r="D882" s="25">
        <v>0</v>
      </c>
      <c r="E882" s="25" t="s">
        <v>1419</v>
      </c>
      <c r="F882" s="26" t="str">
        <f t="shared" ref="F882:F945" si="56">+LEFT(E882,FIND(".",E882,1)-1)</f>
        <v>TT820603</v>
      </c>
      <c r="G882" s="26">
        <f t="shared" si="54"/>
        <v>0</v>
      </c>
      <c r="H882" s="23" t="str">
        <f t="shared" si="55"/>
        <v>TI820603IO.Mode</v>
      </c>
      <c r="I882" s="23">
        <f t="shared" ref="I882:I945" si="57">+G882</f>
        <v>0</v>
      </c>
    </row>
    <row r="883" spans="2:9" hidden="1" x14ac:dyDescent="0.25">
      <c r="B883" s="25" t="s">
        <v>16</v>
      </c>
      <c r="C883" s="25" t="s">
        <v>1420</v>
      </c>
      <c r="D883" s="25">
        <v>0</v>
      </c>
      <c r="E883" s="25" t="s">
        <v>1421</v>
      </c>
      <c r="F883" s="26" t="str">
        <f t="shared" si="56"/>
        <v>TT820623</v>
      </c>
      <c r="G883" s="26">
        <f t="shared" si="54"/>
        <v>0</v>
      </c>
      <c r="H883" s="23" t="str">
        <f t="shared" si="55"/>
        <v>TI820623IO.Mode</v>
      </c>
      <c r="I883" s="23">
        <f t="shared" si="57"/>
        <v>0</v>
      </c>
    </row>
    <row r="884" spans="2:9" hidden="1" x14ac:dyDescent="0.25">
      <c r="B884" s="25" t="s">
        <v>16</v>
      </c>
      <c r="C884" s="25" t="s">
        <v>1422</v>
      </c>
      <c r="D884" s="25">
        <v>0</v>
      </c>
      <c r="E884" s="25" t="s">
        <v>1423</v>
      </c>
      <c r="F884" s="26" t="str">
        <f t="shared" si="56"/>
        <v>TT820631</v>
      </c>
      <c r="G884" s="26">
        <f t="shared" si="54"/>
        <v>0</v>
      </c>
      <c r="H884" s="23" t="str">
        <f t="shared" si="55"/>
        <v>TI820631IO.Mode</v>
      </c>
      <c r="I884" s="23">
        <f t="shared" si="57"/>
        <v>0</v>
      </c>
    </row>
    <row r="885" spans="2:9" hidden="1" x14ac:dyDescent="0.25">
      <c r="B885" s="25" t="s">
        <v>16</v>
      </c>
      <c r="C885" s="25" t="s">
        <v>1424</v>
      </c>
      <c r="D885" s="25">
        <v>0</v>
      </c>
      <c r="E885" s="25" t="s">
        <v>1425</v>
      </c>
      <c r="F885" s="26" t="str">
        <f t="shared" si="56"/>
        <v>TT820634</v>
      </c>
      <c r="G885" s="26">
        <f t="shared" si="54"/>
        <v>0</v>
      </c>
      <c r="H885" s="23" t="str">
        <f t="shared" si="55"/>
        <v>TI820634IO.Mode</v>
      </c>
      <c r="I885" s="23">
        <f t="shared" si="57"/>
        <v>0</v>
      </c>
    </row>
    <row r="886" spans="2:9" hidden="1" x14ac:dyDescent="0.25">
      <c r="B886" s="25" t="s">
        <v>16</v>
      </c>
      <c r="C886" s="25" t="s">
        <v>1426</v>
      </c>
      <c r="D886" s="25">
        <v>0</v>
      </c>
      <c r="E886" s="25" t="s">
        <v>1427</v>
      </c>
      <c r="F886" s="26" t="str">
        <f t="shared" si="56"/>
        <v>TT820637</v>
      </c>
      <c r="G886" s="26">
        <f t="shared" si="54"/>
        <v>0</v>
      </c>
      <c r="H886" s="23" t="str">
        <f t="shared" si="55"/>
        <v>TI820637IO.Mode</v>
      </c>
      <c r="I886" s="23">
        <f t="shared" si="57"/>
        <v>0</v>
      </c>
    </row>
    <row r="887" spans="2:9" hidden="1" x14ac:dyDescent="0.25">
      <c r="B887" s="25" t="s">
        <v>16</v>
      </c>
      <c r="C887" s="25" t="s">
        <v>1428</v>
      </c>
      <c r="D887" s="25">
        <v>0</v>
      </c>
      <c r="E887" s="25" t="s">
        <v>1429</v>
      </c>
      <c r="F887" s="26" t="str">
        <f t="shared" si="56"/>
        <v>TT820638A</v>
      </c>
      <c r="G887" s="26">
        <f t="shared" si="54"/>
        <v>0</v>
      </c>
      <c r="H887" s="23" t="str">
        <f t="shared" si="55"/>
        <v>TI820638AIO.Mode</v>
      </c>
      <c r="I887" s="23">
        <f t="shared" si="57"/>
        <v>0</v>
      </c>
    </row>
    <row r="888" spans="2:9" hidden="1" x14ac:dyDescent="0.25">
      <c r="B888" s="25" t="s">
        <v>16</v>
      </c>
      <c r="C888" s="25" t="s">
        <v>1430</v>
      </c>
      <c r="D888" s="25">
        <v>0</v>
      </c>
      <c r="E888" s="25" t="s">
        <v>1431</v>
      </c>
      <c r="F888" s="26" t="str">
        <f t="shared" si="56"/>
        <v>TT820638B</v>
      </c>
      <c r="G888" s="26">
        <f t="shared" si="54"/>
        <v>0</v>
      </c>
      <c r="H888" s="23" t="str">
        <f t="shared" si="55"/>
        <v>TI820638BIO.Mode</v>
      </c>
      <c r="I888" s="23">
        <f t="shared" si="57"/>
        <v>0</v>
      </c>
    </row>
    <row r="889" spans="2:9" hidden="1" x14ac:dyDescent="0.25">
      <c r="B889" s="25" t="s">
        <v>16</v>
      </c>
      <c r="C889" s="25" t="s">
        <v>1432</v>
      </c>
      <c r="D889" s="25">
        <v>0</v>
      </c>
      <c r="E889" s="25" t="s">
        <v>1433</v>
      </c>
      <c r="F889" s="26" t="str">
        <f t="shared" si="56"/>
        <v>TT820811</v>
      </c>
      <c r="G889" s="26">
        <f t="shared" si="54"/>
        <v>0</v>
      </c>
      <c r="H889" s="23" t="str">
        <f t="shared" si="55"/>
        <v>TI820811IO.Mode</v>
      </c>
      <c r="I889" s="23">
        <f t="shared" si="57"/>
        <v>0</v>
      </c>
    </row>
    <row r="890" spans="2:9" hidden="1" x14ac:dyDescent="0.25">
      <c r="B890" s="25" t="s">
        <v>16</v>
      </c>
      <c r="C890" s="25" t="s">
        <v>1434</v>
      </c>
      <c r="D890" s="25">
        <v>0</v>
      </c>
      <c r="E890" s="25" t="s">
        <v>1435</v>
      </c>
      <c r="F890" s="26" t="str">
        <f t="shared" si="56"/>
        <v>TT820833</v>
      </c>
      <c r="G890" s="26">
        <f t="shared" si="54"/>
        <v>0</v>
      </c>
      <c r="H890" s="23" t="str">
        <f t="shared" si="55"/>
        <v>TI820833IO.Mode</v>
      </c>
      <c r="I890" s="23">
        <f t="shared" si="57"/>
        <v>0</v>
      </c>
    </row>
    <row r="891" spans="2:9" hidden="1" x14ac:dyDescent="0.25">
      <c r="B891" s="25" t="s">
        <v>16</v>
      </c>
      <c r="C891" s="25" t="s">
        <v>1436</v>
      </c>
      <c r="D891" s="25">
        <v>0</v>
      </c>
      <c r="E891" s="25" t="s">
        <v>1437</v>
      </c>
      <c r="F891" s="26" t="str">
        <f t="shared" si="56"/>
        <v>TT820912</v>
      </c>
      <c r="G891" s="26">
        <f t="shared" si="54"/>
        <v>0</v>
      </c>
      <c r="H891" s="23" t="str">
        <f t="shared" si="55"/>
        <v>TI820912IO.Mode</v>
      </c>
      <c r="I891" s="23">
        <f t="shared" si="57"/>
        <v>0</v>
      </c>
    </row>
    <row r="892" spans="2:9" hidden="1" x14ac:dyDescent="0.25">
      <c r="B892" s="25" t="s">
        <v>16</v>
      </c>
      <c r="C892" s="25" t="s">
        <v>1438</v>
      </c>
      <c r="D892" s="25">
        <v>0</v>
      </c>
      <c r="E892" s="25" t="s">
        <v>1439</v>
      </c>
      <c r="F892" s="26" t="str">
        <f t="shared" si="56"/>
        <v>TT821003</v>
      </c>
      <c r="G892" s="26">
        <f t="shared" si="54"/>
        <v>0</v>
      </c>
      <c r="H892" s="23" t="str">
        <f t="shared" si="55"/>
        <v>TI821003IO.Mode</v>
      </c>
      <c r="I892" s="23">
        <f t="shared" si="57"/>
        <v>0</v>
      </c>
    </row>
    <row r="893" spans="2:9" hidden="1" x14ac:dyDescent="0.25">
      <c r="B893" s="25" t="s">
        <v>16</v>
      </c>
      <c r="C893" s="25" t="s">
        <v>1440</v>
      </c>
      <c r="D893" s="25">
        <v>0</v>
      </c>
      <c r="E893" s="25" t="s">
        <v>1441</v>
      </c>
      <c r="F893" s="26" t="str">
        <f t="shared" si="56"/>
        <v>TT821007</v>
      </c>
      <c r="G893" s="26">
        <f t="shared" si="54"/>
        <v>0</v>
      </c>
      <c r="H893" s="23" t="str">
        <f t="shared" si="55"/>
        <v>TI821007IO.Mode</v>
      </c>
      <c r="I893" s="23">
        <f t="shared" si="57"/>
        <v>0</v>
      </c>
    </row>
    <row r="894" spans="2:9" hidden="1" x14ac:dyDescent="0.25">
      <c r="B894" s="25" t="s">
        <v>16</v>
      </c>
      <c r="C894" s="25" t="s">
        <v>1442</v>
      </c>
      <c r="D894" s="25">
        <v>0</v>
      </c>
      <c r="E894" s="25" t="s">
        <v>1443</v>
      </c>
      <c r="F894" s="26" t="str">
        <f t="shared" si="56"/>
        <v>TT821101</v>
      </c>
      <c r="G894" s="26">
        <f t="shared" si="54"/>
        <v>0</v>
      </c>
      <c r="H894" s="23" t="str">
        <f t="shared" si="55"/>
        <v>TI821101IO.Mode</v>
      </c>
      <c r="I894" s="23">
        <f t="shared" si="57"/>
        <v>0</v>
      </c>
    </row>
    <row r="895" spans="2:9" hidden="1" x14ac:dyDescent="0.25">
      <c r="B895" s="25" t="s">
        <v>16</v>
      </c>
      <c r="C895" s="25" t="s">
        <v>1444</v>
      </c>
      <c r="D895" s="25">
        <v>0</v>
      </c>
      <c r="E895" s="25" t="s">
        <v>1445</v>
      </c>
      <c r="F895" s="26" t="str">
        <f t="shared" si="56"/>
        <v>TT821106</v>
      </c>
      <c r="G895" s="26">
        <f t="shared" si="54"/>
        <v>0</v>
      </c>
      <c r="H895" s="23" t="str">
        <f t="shared" si="55"/>
        <v>TI821106IO.Mode</v>
      </c>
      <c r="I895" s="23">
        <f t="shared" si="57"/>
        <v>0</v>
      </c>
    </row>
    <row r="896" spans="2:9" hidden="1" x14ac:dyDescent="0.25">
      <c r="B896" s="25" t="s">
        <v>16</v>
      </c>
      <c r="C896" s="25" t="s">
        <v>1446</v>
      </c>
      <c r="D896" s="25">
        <v>0</v>
      </c>
      <c r="E896" s="25" t="s">
        <v>1447</v>
      </c>
      <c r="F896" s="26" t="str">
        <f t="shared" si="56"/>
        <v>TT821204</v>
      </c>
      <c r="G896" s="26">
        <f t="shared" si="54"/>
        <v>0</v>
      </c>
      <c r="H896" s="23" t="str">
        <f t="shared" si="55"/>
        <v>TI821204IO.Mode</v>
      </c>
      <c r="I896" s="23">
        <f t="shared" si="57"/>
        <v>0</v>
      </c>
    </row>
    <row r="897" spans="2:9" hidden="1" x14ac:dyDescent="0.25">
      <c r="B897" s="25" t="s">
        <v>16</v>
      </c>
      <c r="C897" s="25" t="s">
        <v>1448</v>
      </c>
      <c r="D897" s="25">
        <v>0</v>
      </c>
      <c r="E897" s="25" t="s">
        <v>1449</v>
      </c>
      <c r="F897" s="26" t="str">
        <f t="shared" si="56"/>
        <v>TT821208</v>
      </c>
      <c r="G897" s="26">
        <f t="shared" si="54"/>
        <v>0</v>
      </c>
      <c r="H897" s="23" t="str">
        <f t="shared" si="55"/>
        <v>TI821208IO.Mode</v>
      </c>
      <c r="I897" s="23">
        <f t="shared" si="57"/>
        <v>0</v>
      </c>
    </row>
    <row r="898" spans="2:9" hidden="1" x14ac:dyDescent="0.25">
      <c r="B898" s="25" t="s">
        <v>16</v>
      </c>
      <c r="C898" s="25" t="s">
        <v>1450</v>
      </c>
      <c r="D898" s="25">
        <v>0</v>
      </c>
      <c r="E898" s="25" t="s">
        <v>1451</v>
      </c>
      <c r="F898" s="26" t="str">
        <f t="shared" si="56"/>
        <v>TT821212</v>
      </c>
      <c r="G898" s="26">
        <f t="shared" ref="G898:G961" si="58">+IFERROR(IF(VLOOKUP(F898,DI,2,FALSE)="IO",2,0),"N/A")</f>
        <v>0</v>
      </c>
      <c r="H898" s="23" t="str">
        <f t="shared" ref="H898:H961" si="59">+CONCATENATE(C898,".Mode")</f>
        <v>TI821212IO.Mode</v>
      </c>
      <c r="I898" s="23">
        <f t="shared" si="57"/>
        <v>0</v>
      </c>
    </row>
    <row r="899" spans="2:9" hidden="1" x14ac:dyDescent="0.25">
      <c r="B899" s="25" t="s">
        <v>16</v>
      </c>
      <c r="C899" s="25" t="s">
        <v>1452</v>
      </c>
      <c r="D899" s="25">
        <v>0</v>
      </c>
      <c r="E899" s="25" t="s">
        <v>1453</v>
      </c>
      <c r="F899" s="26" t="str">
        <f t="shared" si="56"/>
        <v>TT821215</v>
      </c>
      <c r="G899" s="26">
        <f t="shared" si="58"/>
        <v>0</v>
      </c>
      <c r="H899" s="23" t="str">
        <f t="shared" si="59"/>
        <v>TI821215IO.Mode</v>
      </c>
      <c r="I899" s="23">
        <f t="shared" si="57"/>
        <v>0</v>
      </c>
    </row>
    <row r="900" spans="2:9" hidden="1" x14ac:dyDescent="0.25">
      <c r="B900" s="25" t="s">
        <v>16</v>
      </c>
      <c r="C900" s="25" t="s">
        <v>1454</v>
      </c>
      <c r="D900" s="25">
        <v>0</v>
      </c>
      <c r="E900" s="25" t="s">
        <v>1455</v>
      </c>
      <c r="F900" s="26" t="str">
        <f t="shared" si="56"/>
        <v>TT821409</v>
      </c>
      <c r="G900" s="26">
        <f t="shared" si="58"/>
        <v>0</v>
      </c>
      <c r="H900" s="23" t="str">
        <f t="shared" si="59"/>
        <v>TI821409IO.Mode</v>
      </c>
      <c r="I900" s="23">
        <f t="shared" si="57"/>
        <v>0</v>
      </c>
    </row>
    <row r="901" spans="2:9" hidden="1" x14ac:dyDescent="0.25">
      <c r="B901" s="25" t="s">
        <v>16</v>
      </c>
      <c r="C901" s="25" t="s">
        <v>1456</v>
      </c>
      <c r="D901" s="25">
        <v>0</v>
      </c>
      <c r="E901" s="25" t="s">
        <v>1457</v>
      </c>
      <c r="F901" s="26" t="str">
        <f t="shared" si="56"/>
        <v>TT821411</v>
      </c>
      <c r="G901" s="26">
        <f t="shared" si="58"/>
        <v>0</v>
      </c>
      <c r="H901" s="23" t="str">
        <f t="shared" si="59"/>
        <v>TI821411IO.Mode</v>
      </c>
      <c r="I901" s="23">
        <f t="shared" si="57"/>
        <v>0</v>
      </c>
    </row>
    <row r="902" spans="2:9" hidden="1" x14ac:dyDescent="0.25">
      <c r="B902" s="25" t="s">
        <v>16</v>
      </c>
      <c r="C902" s="25" t="s">
        <v>1458</v>
      </c>
      <c r="D902" s="25">
        <v>0</v>
      </c>
      <c r="E902" s="25" t="s">
        <v>1459</v>
      </c>
      <c r="F902" s="26" t="str">
        <f t="shared" si="56"/>
        <v>TT821501</v>
      </c>
      <c r="G902" s="26">
        <f t="shared" si="58"/>
        <v>0</v>
      </c>
      <c r="H902" s="23" t="str">
        <f t="shared" si="59"/>
        <v>TI821501IO.Mode</v>
      </c>
      <c r="I902" s="23">
        <f t="shared" si="57"/>
        <v>0</v>
      </c>
    </row>
    <row r="903" spans="2:9" hidden="1" x14ac:dyDescent="0.25">
      <c r="B903" s="25" t="s">
        <v>16</v>
      </c>
      <c r="C903" s="25" t="s">
        <v>1460</v>
      </c>
      <c r="D903" s="25">
        <v>0</v>
      </c>
      <c r="E903" s="25" t="s">
        <v>1461</v>
      </c>
      <c r="F903" s="26" t="str">
        <f t="shared" si="56"/>
        <v>TT821601</v>
      </c>
      <c r="G903" s="26">
        <f t="shared" si="58"/>
        <v>0</v>
      </c>
      <c r="H903" s="23" t="str">
        <f t="shared" si="59"/>
        <v>TI821601IO.Mode</v>
      </c>
      <c r="I903" s="23">
        <f t="shared" si="57"/>
        <v>0</v>
      </c>
    </row>
    <row r="904" spans="2:9" hidden="1" x14ac:dyDescent="0.25">
      <c r="B904" s="25" t="s">
        <v>16</v>
      </c>
      <c r="C904" s="25" t="s">
        <v>1462</v>
      </c>
      <c r="D904" s="25">
        <v>0</v>
      </c>
      <c r="E904" s="25" t="s">
        <v>1463</v>
      </c>
      <c r="F904" s="26" t="str">
        <f t="shared" si="56"/>
        <v>TT821924</v>
      </c>
      <c r="G904" s="26">
        <f t="shared" si="58"/>
        <v>0</v>
      </c>
      <c r="H904" s="23" t="str">
        <f t="shared" si="59"/>
        <v>TI821924IO.Mode</v>
      </c>
      <c r="I904" s="23">
        <f t="shared" si="57"/>
        <v>0</v>
      </c>
    </row>
    <row r="905" spans="2:9" hidden="1" x14ac:dyDescent="0.25">
      <c r="B905" s="25" t="s">
        <v>16</v>
      </c>
      <c r="C905" s="25" t="s">
        <v>1464</v>
      </c>
      <c r="D905" s="25">
        <v>0</v>
      </c>
      <c r="E905" s="25" t="s">
        <v>1465</v>
      </c>
      <c r="F905" s="26" t="str">
        <f t="shared" si="56"/>
        <v>TT822005</v>
      </c>
      <c r="G905" s="26">
        <f t="shared" si="58"/>
        <v>0</v>
      </c>
      <c r="H905" s="23" t="str">
        <f t="shared" si="59"/>
        <v>TI822005IO.Mode</v>
      </c>
      <c r="I905" s="23">
        <f t="shared" si="57"/>
        <v>0</v>
      </c>
    </row>
    <row r="906" spans="2:9" hidden="1" x14ac:dyDescent="0.25">
      <c r="B906" s="25" t="s">
        <v>16</v>
      </c>
      <c r="C906" s="25" t="s">
        <v>1466</v>
      </c>
      <c r="D906" s="25">
        <v>0</v>
      </c>
      <c r="E906" s="25" t="s">
        <v>1467</v>
      </c>
      <c r="F906" s="26" t="str">
        <f t="shared" si="56"/>
        <v>TT822116</v>
      </c>
      <c r="G906" s="26">
        <f t="shared" si="58"/>
        <v>0</v>
      </c>
      <c r="H906" s="23" t="str">
        <f t="shared" si="59"/>
        <v>TI822116IO.Mode</v>
      </c>
      <c r="I906" s="23">
        <f t="shared" si="57"/>
        <v>0</v>
      </c>
    </row>
    <row r="907" spans="2:9" hidden="1" x14ac:dyDescent="0.25">
      <c r="B907" s="25" t="s">
        <v>16</v>
      </c>
      <c r="C907" s="25" t="s">
        <v>1468</v>
      </c>
      <c r="D907" s="25">
        <v>0</v>
      </c>
      <c r="E907" s="25" t="s">
        <v>1469</v>
      </c>
      <c r="F907" s="26" t="str">
        <f t="shared" si="56"/>
        <v>TT822140</v>
      </c>
      <c r="G907" s="26">
        <f t="shared" si="58"/>
        <v>0</v>
      </c>
      <c r="H907" s="23" t="str">
        <f t="shared" si="59"/>
        <v>TI822140IO.Mode</v>
      </c>
      <c r="I907" s="23">
        <f t="shared" si="57"/>
        <v>0</v>
      </c>
    </row>
    <row r="908" spans="2:9" x14ac:dyDescent="0.25">
      <c r="B908" s="25" t="s">
        <v>16</v>
      </c>
      <c r="C908" s="25" t="s">
        <v>1967</v>
      </c>
      <c r="D908" s="25">
        <v>0</v>
      </c>
      <c r="E908" s="25" t="s">
        <v>1968</v>
      </c>
      <c r="F908" s="26" t="str">
        <f t="shared" si="56"/>
        <v>TT822142</v>
      </c>
      <c r="G908" s="26">
        <f t="shared" si="58"/>
        <v>2</v>
      </c>
      <c r="H908" s="23" t="str">
        <f t="shared" si="59"/>
        <v>TI822142IO.Mode</v>
      </c>
      <c r="I908" s="23">
        <f t="shared" si="57"/>
        <v>2</v>
      </c>
    </row>
    <row r="909" spans="2:9" hidden="1" x14ac:dyDescent="0.25">
      <c r="B909" s="25" t="s">
        <v>16</v>
      </c>
      <c r="C909" s="25" t="s">
        <v>1470</v>
      </c>
      <c r="D909" s="25">
        <v>0</v>
      </c>
      <c r="E909" s="25" t="s">
        <v>1471</v>
      </c>
      <c r="F909" s="26" t="str">
        <f t="shared" si="56"/>
        <v>TT822205</v>
      </c>
      <c r="G909" s="26">
        <f t="shared" si="58"/>
        <v>0</v>
      </c>
      <c r="H909" s="23" t="str">
        <f t="shared" si="59"/>
        <v>TI822205IO.Mode</v>
      </c>
      <c r="I909" s="23">
        <f t="shared" si="57"/>
        <v>0</v>
      </c>
    </row>
    <row r="910" spans="2:9" hidden="1" x14ac:dyDescent="0.25">
      <c r="B910" s="25" t="s">
        <v>16</v>
      </c>
      <c r="C910" s="25" t="s">
        <v>1472</v>
      </c>
      <c r="D910" s="25">
        <v>0</v>
      </c>
      <c r="E910" s="25" t="s">
        <v>1473</v>
      </c>
      <c r="F910" s="26" t="str">
        <f t="shared" si="56"/>
        <v>TT822306</v>
      </c>
      <c r="G910" s="26">
        <f t="shared" si="58"/>
        <v>0</v>
      </c>
      <c r="H910" s="23" t="str">
        <f t="shared" si="59"/>
        <v>TI822306IO.Mode</v>
      </c>
      <c r="I910" s="23">
        <f t="shared" si="57"/>
        <v>0</v>
      </c>
    </row>
    <row r="911" spans="2:9" hidden="1" x14ac:dyDescent="0.25">
      <c r="B911" s="25" t="s">
        <v>16</v>
      </c>
      <c r="C911" s="25" t="s">
        <v>1474</v>
      </c>
      <c r="D911" s="25">
        <v>0</v>
      </c>
      <c r="E911" s="25" t="s">
        <v>1475</v>
      </c>
      <c r="F911" s="26" t="str">
        <f t="shared" si="56"/>
        <v>TT822406</v>
      </c>
      <c r="G911" s="26">
        <f t="shared" si="58"/>
        <v>0</v>
      </c>
      <c r="H911" s="23" t="str">
        <f t="shared" si="59"/>
        <v>TI822406IO.Mode</v>
      </c>
      <c r="I911" s="23">
        <f t="shared" si="57"/>
        <v>0</v>
      </c>
    </row>
    <row r="912" spans="2:9" hidden="1" x14ac:dyDescent="0.25">
      <c r="B912" s="25" t="s">
        <v>16</v>
      </c>
      <c r="C912" s="25" t="s">
        <v>1476</v>
      </c>
      <c r="D912" s="25">
        <v>0</v>
      </c>
      <c r="E912" s="25" t="s">
        <v>1477</v>
      </c>
      <c r="F912" s="26" t="str">
        <f t="shared" si="56"/>
        <v>TT822907</v>
      </c>
      <c r="G912" s="26">
        <f t="shared" si="58"/>
        <v>0</v>
      </c>
      <c r="H912" s="23" t="str">
        <f t="shared" si="59"/>
        <v>TI822907IO.Mode</v>
      </c>
      <c r="I912" s="23">
        <f t="shared" si="57"/>
        <v>0</v>
      </c>
    </row>
    <row r="913" spans="2:9" hidden="1" x14ac:dyDescent="0.25">
      <c r="B913" s="25" t="s">
        <v>16</v>
      </c>
      <c r="C913" s="25" t="s">
        <v>1478</v>
      </c>
      <c r="D913" s="25">
        <v>0</v>
      </c>
      <c r="E913" s="25" t="s">
        <v>1479</v>
      </c>
      <c r="F913" s="26" t="str">
        <f t="shared" si="56"/>
        <v>TT822912</v>
      </c>
      <c r="G913" s="26">
        <f t="shared" si="58"/>
        <v>0</v>
      </c>
      <c r="H913" s="23" t="str">
        <f t="shared" si="59"/>
        <v>TI822912IO.Mode</v>
      </c>
      <c r="I913" s="23">
        <f t="shared" si="57"/>
        <v>0</v>
      </c>
    </row>
    <row r="914" spans="2:9" x14ac:dyDescent="0.25">
      <c r="B914" s="25" t="s">
        <v>16</v>
      </c>
      <c r="C914" s="25" t="s">
        <v>1969</v>
      </c>
      <c r="D914" s="25">
        <v>0</v>
      </c>
      <c r="E914" s="25" t="s">
        <v>1970</v>
      </c>
      <c r="F914" s="26" t="str">
        <f t="shared" si="56"/>
        <v>TT822920</v>
      </c>
      <c r="G914" s="26">
        <f t="shared" si="58"/>
        <v>2</v>
      </c>
      <c r="H914" s="23" t="str">
        <f t="shared" si="59"/>
        <v>TI822920IO.Mode</v>
      </c>
      <c r="I914" s="23">
        <f t="shared" si="57"/>
        <v>2</v>
      </c>
    </row>
    <row r="915" spans="2:9" hidden="1" x14ac:dyDescent="0.25">
      <c r="B915" s="25" t="s">
        <v>16</v>
      </c>
      <c r="C915" s="25" t="s">
        <v>1480</v>
      </c>
      <c r="D915" s="25">
        <v>0</v>
      </c>
      <c r="E915" s="25" t="s">
        <v>1481</v>
      </c>
      <c r="F915" s="26" t="str">
        <f t="shared" si="56"/>
        <v>TT823003</v>
      </c>
      <c r="G915" s="26">
        <f t="shared" si="58"/>
        <v>0</v>
      </c>
      <c r="H915" s="23" t="str">
        <f t="shared" si="59"/>
        <v>TI823003IO.Mode</v>
      </c>
      <c r="I915" s="23">
        <f t="shared" si="57"/>
        <v>0</v>
      </c>
    </row>
    <row r="916" spans="2:9" hidden="1" x14ac:dyDescent="0.25">
      <c r="B916" s="25" t="s">
        <v>16</v>
      </c>
      <c r="C916" s="25" t="s">
        <v>1482</v>
      </c>
      <c r="D916" s="25">
        <v>0</v>
      </c>
      <c r="E916" s="25" t="s">
        <v>1483</v>
      </c>
      <c r="F916" s="26" t="str">
        <f t="shared" si="56"/>
        <v>TT823007</v>
      </c>
      <c r="G916" s="26">
        <f t="shared" si="58"/>
        <v>0</v>
      </c>
      <c r="H916" s="23" t="str">
        <f t="shared" si="59"/>
        <v>TI823007IO.Mode</v>
      </c>
      <c r="I916" s="23">
        <f t="shared" si="57"/>
        <v>0</v>
      </c>
    </row>
    <row r="917" spans="2:9" hidden="1" x14ac:dyDescent="0.25">
      <c r="B917" s="25" t="s">
        <v>16</v>
      </c>
      <c r="C917" s="25" t="s">
        <v>1484</v>
      </c>
      <c r="D917" s="25">
        <v>0</v>
      </c>
      <c r="E917" s="25" t="s">
        <v>1485</v>
      </c>
      <c r="F917" s="26" t="str">
        <f t="shared" si="56"/>
        <v>TT823010</v>
      </c>
      <c r="G917" s="26">
        <f t="shared" si="58"/>
        <v>0</v>
      </c>
      <c r="H917" s="23" t="str">
        <f t="shared" si="59"/>
        <v>TI823010IO.Mode</v>
      </c>
      <c r="I917" s="23">
        <f t="shared" si="57"/>
        <v>0</v>
      </c>
    </row>
    <row r="918" spans="2:9" x14ac:dyDescent="0.25">
      <c r="B918" s="25" t="s">
        <v>16</v>
      </c>
      <c r="C918" s="25" t="s">
        <v>1971</v>
      </c>
      <c r="D918" s="25">
        <v>0</v>
      </c>
      <c r="E918" s="25" t="s">
        <v>1972</v>
      </c>
      <c r="F918" s="26" t="str">
        <f t="shared" si="56"/>
        <v>TT823016</v>
      </c>
      <c r="G918" s="26">
        <f t="shared" si="58"/>
        <v>2</v>
      </c>
      <c r="H918" s="23" t="str">
        <f t="shared" si="59"/>
        <v>TI823016IO.Mode</v>
      </c>
      <c r="I918" s="23">
        <f t="shared" si="57"/>
        <v>2</v>
      </c>
    </row>
    <row r="919" spans="2:9" hidden="1" x14ac:dyDescent="0.25">
      <c r="B919" s="25" t="s">
        <v>16</v>
      </c>
      <c r="C919" s="25" t="s">
        <v>1486</v>
      </c>
      <c r="D919" s="25">
        <v>0</v>
      </c>
      <c r="E919" s="25" t="s">
        <v>1487</v>
      </c>
      <c r="F919" s="26" t="str">
        <f t="shared" si="56"/>
        <v>TT823102</v>
      </c>
      <c r="G919" s="26">
        <f t="shared" si="58"/>
        <v>0</v>
      </c>
      <c r="H919" s="23" t="str">
        <f t="shared" si="59"/>
        <v>TI823102IO.Mode</v>
      </c>
      <c r="I919" s="23">
        <f t="shared" si="57"/>
        <v>0</v>
      </c>
    </row>
    <row r="920" spans="2:9" hidden="1" x14ac:dyDescent="0.25">
      <c r="B920" s="25" t="s">
        <v>16</v>
      </c>
      <c r="C920" s="25" t="s">
        <v>1488</v>
      </c>
      <c r="D920" s="25">
        <v>0</v>
      </c>
      <c r="E920" s="25" t="s">
        <v>1489</v>
      </c>
      <c r="F920" s="26" t="str">
        <f t="shared" si="56"/>
        <v>TT823201</v>
      </c>
      <c r="G920" s="26">
        <f t="shared" si="58"/>
        <v>0</v>
      </c>
      <c r="H920" s="23" t="str">
        <f t="shared" si="59"/>
        <v>TI823201IO.Mode</v>
      </c>
      <c r="I920" s="23">
        <f t="shared" si="57"/>
        <v>0</v>
      </c>
    </row>
    <row r="921" spans="2:9" hidden="1" x14ac:dyDescent="0.25">
      <c r="B921" s="25" t="s">
        <v>16</v>
      </c>
      <c r="C921" s="25" t="s">
        <v>1490</v>
      </c>
      <c r="D921" s="25">
        <v>0</v>
      </c>
      <c r="E921" s="25" t="s">
        <v>1491</v>
      </c>
      <c r="F921" s="26" t="str">
        <f t="shared" si="56"/>
        <v>TT823204</v>
      </c>
      <c r="G921" s="26">
        <f t="shared" si="58"/>
        <v>0</v>
      </c>
      <c r="H921" s="23" t="str">
        <f t="shared" si="59"/>
        <v>TI823204IO.Mode</v>
      </c>
      <c r="I921" s="23">
        <f t="shared" si="57"/>
        <v>0</v>
      </c>
    </row>
    <row r="922" spans="2:9" x14ac:dyDescent="0.25">
      <c r="B922" s="25" t="s">
        <v>16</v>
      </c>
      <c r="C922" s="25" t="s">
        <v>1973</v>
      </c>
      <c r="D922" s="25">
        <v>0</v>
      </c>
      <c r="E922" s="25" t="s">
        <v>1974</v>
      </c>
      <c r="F922" s="26" t="str">
        <f t="shared" si="56"/>
        <v>TT823209</v>
      </c>
      <c r="G922" s="26">
        <f t="shared" si="58"/>
        <v>2</v>
      </c>
      <c r="H922" s="23" t="str">
        <f t="shared" si="59"/>
        <v>TI823209IO.Mode</v>
      </c>
      <c r="I922" s="23">
        <f t="shared" si="57"/>
        <v>2</v>
      </c>
    </row>
    <row r="923" spans="2:9" hidden="1" x14ac:dyDescent="0.25">
      <c r="B923" s="25" t="s">
        <v>16</v>
      </c>
      <c r="C923" s="25" t="s">
        <v>1492</v>
      </c>
      <c r="D923" s="25">
        <v>0</v>
      </c>
      <c r="E923" s="25" t="s">
        <v>1493</v>
      </c>
      <c r="F923" s="26" t="str">
        <f t="shared" si="56"/>
        <v>TT823219</v>
      </c>
      <c r="G923" s="26">
        <f t="shared" si="58"/>
        <v>0</v>
      </c>
      <c r="H923" s="23" t="str">
        <f t="shared" si="59"/>
        <v>TI823219IO.Mode</v>
      </c>
      <c r="I923" s="23">
        <f t="shared" si="57"/>
        <v>0</v>
      </c>
    </row>
    <row r="924" spans="2:9" x14ac:dyDescent="0.25">
      <c r="B924" s="25" t="s">
        <v>16</v>
      </c>
      <c r="C924" s="25" t="s">
        <v>1975</v>
      </c>
      <c r="D924" s="25">
        <v>0</v>
      </c>
      <c r="E924" s="25" t="s">
        <v>1976</v>
      </c>
      <c r="F924" s="26" t="str">
        <f t="shared" si="56"/>
        <v>TT823220</v>
      </c>
      <c r="G924" s="26">
        <f t="shared" si="58"/>
        <v>2</v>
      </c>
      <c r="H924" s="23" t="str">
        <f t="shared" si="59"/>
        <v>TI823220IO.Mode</v>
      </c>
      <c r="I924" s="23">
        <f t="shared" si="57"/>
        <v>2</v>
      </c>
    </row>
    <row r="925" spans="2:9" hidden="1" x14ac:dyDescent="0.25">
      <c r="B925" s="25" t="s">
        <v>16</v>
      </c>
      <c r="C925" s="25" t="s">
        <v>1494</v>
      </c>
      <c r="D925" s="25">
        <v>0</v>
      </c>
      <c r="E925" s="25" t="s">
        <v>1495</v>
      </c>
      <c r="F925" s="26" t="str">
        <f t="shared" si="56"/>
        <v>TT823303</v>
      </c>
      <c r="G925" s="26">
        <f t="shared" si="58"/>
        <v>0</v>
      </c>
      <c r="H925" s="23" t="str">
        <f t="shared" si="59"/>
        <v>TI823303IO.Mode</v>
      </c>
      <c r="I925" s="23">
        <f t="shared" si="57"/>
        <v>0</v>
      </c>
    </row>
    <row r="926" spans="2:9" x14ac:dyDescent="0.25">
      <c r="B926" s="25" t="s">
        <v>16</v>
      </c>
      <c r="C926" s="25" t="s">
        <v>1977</v>
      </c>
      <c r="D926" s="25">
        <v>2</v>
      </c>
      <c r="E926" s="25" t="s">
        <v>1978</v>
      </c>
      <c r="F926" s="26" t="str">
        <f t="shared" si="56"/>
        <v>TT823319</v>
      </c>
      <c r="G926" s="26">
        <f t="shared" si="58"/>
        <v>2</v>
      </c>
      <c r="H926" s="23" t="str">
        <f t="shared" si="59"/>
        <v>TI823319IO.Mode</v>
      </c>
      <c r="I926" s="23">
        <f t="shared" si="57"/>
        <v>2</v>
      </c>
    </row>
    <row r="927" spans="2:9" x14ac:dyDescent="0.25">
      <c r="B927" s="25" t="s">
        <v>16</v>
      </c>
      <c r="C927" s="25" t="s">
        <v>1979</v>
      </c>
      <c r="D927" s="25">
        <v>0</v>
      </c>
      <c r="E927" s="25" t="s">
        <v>1980</v>
      </c>
      <c r="F927" s="26" t="str">
        <f t="shared" si="56"/>
        <v>TT823321</v>
      </c>
      <c r="G927" s="26">
        <f t="shared" si="58"/>
        <v>2</v>
      </c>
      <c r="H927" s="23" t="str">
        <f t="shared" si="59"/>
        <v>TI823321IO.Mode</v>
      </c>
      <c r="I927" s="23">
        <f t="shared" si="57"/>
        <v>2</v>
      </c>
    </row>
    <row r="928" spans="2:9" hidden="1" x14ac:dyDescent="0.25">
      <c r="B928" s="25" t="s">
        <v>16</v>
      </c>
      <c r="C928" s="25" t="s">
        <v>1496</v>
      </c>
      <c r="D928" s="25">
        <v>0</v>
      </c>
      <c r="E928" s="25" t="s">
        <v>1497</v>
      </c>
      <c r="F928" s="26" t="str">
        <f t="shared" si="56"/>
        <v>TT823331</v>
      </c>
      <c r="G928" s="26">
        <f t="shared" si="58"/>
        <v>0</v>
      </c>
      <c r="H928" s="23" t="str">
        <f t="shared" si="59"/>
        <v>TI823331IO.Mode</v>
      </c>
      <c r="I928" s="23">
        <f t="shared" si="57"/>
        <v>0</v>
      </c>
    </row>
    <row r="929" spans="2:9" x14ac:dyDescent="0.25">
      <c r="B929" s="25" t="s">
        <v>16</v>
      </c>
      <c r="C929" s="25" t="s">
        <v>1981</v>
      </c>
      <c r="D929" s="25">
        <v>0</v>
      </c>
      <c r="E929" s="25" t="s">
        <v>1982</v>
      </c>
      <c r="F929" s="26" t="str">
        <f t="shared" si="56"/>
        <v>TT823350</v>
      </c>
      <c r="G929" s="26">
        <f t="shared" si="58"/>
        <v>2</v>
      </c>
      <c r="H929" s="23" t="str">
        <f t="shared" si="59"/>
        <v>TI823350IO.Mode</v>
      </c>
      <c r="I929" s="23">
        <f t="shared" si="57"/>
        <v>2</v>
      </c>
    </row>
    <row r="930" spans="2:9" hidden="1" x14ac:dyDescent="0.25">
      <c r="B930" s="25" t="s">
        <v>16</v>
      </c>
      <c r="C930" s="25" t="s">
        <v>1498</v>
      </c>
      <c r="D930" s="25">
        <v>0</v>
      </c>
      <c r="E930" s="25" t="s">
        <v>1499</v>
      </c>
      <c r="F930" s="26" t="str">
        <f t="shared" si="56"/>
        <v>TT830104</v>
      </c>
      <c r="G930" s="26">
        <f t="shared" si="58"/>
        <v>0</v>
      </c>
      <c r="H930" s="23" t="str">
        <f t="shared" si="59"/>
        <v>TI830104IO.Mode</v>
      </c>
      <c r="I930" s="23">
        <f t="shared" si="57"/>
        <v>0</v>
      </c>
    </row>
    <row r="931" spans="2:9" hidden="1" x14ac:dyDescent="0.25">
      <c r="B931" s="25" t="s">
        <v>16</v>
      </c>
      <c r="C931" s="25" t="s">
        <v>1500</v>
      </c>
      <c r="D931" s="25">
        <v>0</v>
      </c>
      <c r="E931" s="25" t="s">
        <v>1501</v>
      </c>
      <c r="F931" s="26" t="str">
        <f t="shared" si="56"/>
        <v>TT830208</v>
      </c>
      <c r="G931" s="26">
        <f t="shared" si="58"/>
        <v>0</v>
      </c>
      <c r="H931" s="23" t="str">
        <f t="shared" si="59"/>
        <v>TI830208IO.Mode</v>
      </c>
      <c r="I931" s="23">
        <f t="shared" si="57"/>
        <v>0</v>
      </c>
    </row>
    <row r="932" spans="2:9" x14ac:dyDescent="0.25">
      <c r="B932" s="25" t="s">
        <v>16</v>
      </c>
      <c r="C932" s="25" t="s">
        <v>1983</v>
      </c>
      <c r="D932" s="25">
        <v>0</v>
      </c>
      <c r="E932" s="25" t="s">
        <v>1984</v>
      </c>
      <c r="F932" s="26" t="str">
        <f t="shared" si="56"/>
        <v>TT830301A</v>
      </c>
      <c r="G932" s="26">
        <f t="shared" si="58"/>
        <v>2</v>
      </c>
      <c r="H932" s="23" t="str">
        <f t="shared" si="59"/>
        <v>TI830301A_1oo2IO_MA1.Mode</v>
      </c>
      <c r="I932" s="23">
        <f t="shared" si="57"/>
        <v>2</v>
      </c>
    </row>
    <row r="933" spans="2:9" x14ac:dyDescent="0.25">
      <c r="B933" s="25" t="s">
        <v>16</v>
      </c>
      <c r="C933" s="25" t="s">
        <v>1985</v>
      </c>
      <c r="D933" s="25">
        <v>0</v>
      </c>
      <c r="E933" s="25" t="s">
        <v>1984</v>
      </c>
      <c r="F933" s="26" t="str">
        <f t="shared" si="56"/>
        <v>TT830301A</v>
      </c>
      <c r="G933" s="26">
        <f t="shared" si="58"/>
        <v>2</v>
      </c>
      <c r="H933" s="23" t="str">
        <f t="shared" si="59"/>
        <v>TI830301A_1oo2IO_MA2.Mode</v>
      </c>
      <c r="I933" s="23">
        <f t="shared" si="57"/>
        <v>2</v>
      </c>
    </row>
    <row r="934" spans="2:9" x14ac:dyDescent="0.25">
      <c r="B934" s="25" t="s">
        <v>16</v>
      </c>
      <c r="C934" s="25" t="s">
        <v>1986</v>
      </c>
      <c r="D934" s="25">
        <v>0</v>
      </c>
      <c r="E934" s="25" t="s">
        <v>1987</v>
      </c>
      <c r="F934" s="26" t="str">
        <f t="shared" si="56"/>
        <v>TT830312A</v>
      </c>
      <c r="G934" s="26">
        <f t="shared" si="58"/>
        <v>2</v>
      </c>
      <c r="H934" s="23" t="str">
        <f t="shared" si="59"/>
        <v>TI830312A_1oo2IO_MA1.Mode</v>
      </c>
      <c r="I934" s="23">
        <f t="shared" si="57"/>
        <v>2</v>
      </c>
    </row>
    <row r="935" spans="2:9" x14ac:dyDescent="0.25">
      <c r="B935" s="25" t="s">
        <v>16</v>
      </c>
      <c r="C935" s="25" t="s">
        <v>1988</v>
      </c>
      <c r="D935" s="25">
        <v>0</v>
      </c>
      <c r="E935" s="25" t="s">
        <v>1987</v>
      </c>
      <c r="F935" s="26" t="str">
        <f t="shared" si="56"/>
        <v>TT830312A</v>
      </c>
      <c r="G935" s="26">
        <f t="shared" si="58"/>
        <v>2</v>
      </c>
      <c r="H935" s="23" t="str">
        <f t="shared" si="59"/>
        <v>TI830312A_1oo2IO_MA2.Mode</v>
      </c>
      <c r="I935" s="23">
        <f t="shared" si="57"/>
        <v>2</v>
      </c>
    </row>
    <row r="936" spans="2:9" x14ac:dyDescent="0.25">
      <c r="B936" s="25" t="s">
        <v>16</v>
      </c>
      <c r="C936" s="25" t="s">
        <v>1989</v>
      </c>
      <c r="D936" s="25">
        <v>0</v>
      </c>
      <c r="E936" s="25" t="s">
        <v>1990</v>
      </c>
      <c r="F936" s="26" t="str">
        <f t="shared" si="56"/>
        <v>TT830416A</v>
      </c>
      <c r="G936" s="26">
        <f t="shared" si="58"/>
        <v>2</v>
      </c>
      <c r="H936" s="23" t="str">
        <f t="shared" si="59"/>
        <v>TI830416A_1oo2IO_MA1.Mode</v>
      </c>
      <c r="I936" s="23">
        <f t="shared" si="57"/>
        <v>2</v>
      </c>
    </row>
    <row r="937" spans="2:9" x14ac:dyDescent="0.25">
      <c r="B937" s="25" t="s">
        <v>16</v>
      </c>
      <c r="C937" s="25" t="s">
        <v>1991</v>
      </c>
      <c r="D937" s="25">
        <v>0</v>
      </c>
      <c r="E937" s="25" t="s">
        <v>1990</v>
      </c>
      <c r="F937" s="26" t="str">
        <f t="shared" si="56"/>
        <v>TT830416A</v>
      </c>
      <c r="G937" s="26">
        <f t="shared" si="58"/>
        <v>2</v>
      </c>
      <c r="H937" s="23" t="str">
        <f t="shared" si="59"/>
        <v>TI830416A_1oo2IO_MA2.Mode</v>
      </c>
      <c r="I937" s="23">
        <f t="shared" si="57"/>
        <v>2</v>
      </c>
    </row>
    <row r="938" spans="2:9" hidden="1" x14ac:dyDescent="0.25">
      <c r="B938" s="25" t="s">
        <v>16</v>
      </c>
      <c r="C938" s="25" t="s">
        <v>1502</v>
      </c>
      <c r="D938" s="25">
        <v>0</v>
      </c>
      <c r="E938" s="25" t="s">
        <v>1503</v>
      </c>
      <c r="F938" s="26" t="str">
        <f t="shared" si="56"/>
        <v>TT830506A</v>
      </c>
      <c r="G938" s="26">
        <f t="shared" si="58"/>
        <v>0</v>
      </c>
      <c r="H938" s="23" t="str">
        <f t="shared" si="59"/>
        <v>TI830506A_1oo2IO_MA1.Mode</v>
      </c>
      <c r="I938" s="23">
        <f t="shared" si="57"/>
        <v>0</v>
      </c>
    </row>
    <row r="939" spans="2:9" hidden="1" x14ac:dyDescent="0.25">
      <c r="B939" s="25" t="s">
        <v>16</v>
      </c>
      <c r="C939" s="25" t="s">
        <v>1504</v>
      </c>
      <c r="D939" s="25">
        <v>0</v>
      </c>
      <c r="E939" s="25" t="s">
        <v>1505</v>
      </c>
      <c r="F939" s="26" t="str">
        <f t="shared" si="56"/>
        <v>TT830506B</v>
      </c>
      <c r="G939" s="26">
        <f t="shared" si="58"/>
        <v>0</v>
      </c>
      <c r="H939" s="23" t="str">
        <f t="shared" si="59"/>
        <v>TI830506A_1oo2IO_MA2.Mode</v>
      </c>
      <c r="I939" s="23">
        <f t="shared" si="57"/>
        <v>0</v>
      </c>
    </row>
    <row r="940" spans="2:9" hidden="1" x14ac:dyDescent="0.25">
      <c r="B940" s="25" t="s">
        <v>16</v>
      </c>
      <c r="C940" s="25" t="s">
        <v>1506</v>
      </c>
      <c r="D940" s="25">
        <v>0</v>
      </c>
      <c r="E940" s="25" t="s">
        <v>1503</v>
      </c>
      <c r="F940" s="26" t="str">
        <f t="shared" si="56"/>
        <v>TT830506A</v>
      </c>
      <c r="G940" s="26">
        <f t="shared" si="58"/>
        <v>0</v>
      </c>
      <c r="H940" s="23" t="str">
        <f t="shared" si="59"/>
        <v>TI830506AIO.Mode</v>
      </c>
      <c r="I940" s="23">
        <f t="shared" si="57"/>
        <v>0</v>
      </c>
    </row>
    <row r="941" spans="2:9" hidden="1" x14ac:dyDescent="0.25">
      <c r="B941" s="25" t="s">
        <v>16</v>
      </c>
      <c r="C941" s="25" t="s">
        <v>1507</v>
      </c>
      <c r="D941" s="25">
        <v>0</v>
      </c>
      <c r="E941" s="25" t="s">
        <v>1505</v>
      </c>
      <c r="F941" s="26" t="str">
        <f t="shared" si="56"/>
        <v>TT830506B</v>
      </c>
      <c r="G941" s="26">
        <f t="shared" si="58"/>
        <v>0</v>
      </c>
      <c r="H941" s="23" t="str">
        <f t="shared" si="59"/>
        <v>TI830506BIO.Mode</v>
      </c>
      <c r="I941" s="23">
        <f t="shared" si="57"/>
        <v>0</v>
      </c>
    </row>
    <row r="942" spans="2:9" hidden="1" x14ac:dyDescent="0.25">
      <c r="B942" s="25" t="s">
        <v>16</v>
      </c>
      <c r="C942" s="25" t="s">
        <v>1508</v>
      </c>
      <c r="D942" s="25">
        <v>0</v>
      </c>
      <c r="E942" s="25" t="s">
        <v>1509</v>
      </c>
      <c r="F942" s="26" t="str">
        <f t="shared" si="56"/>
        <v>TT830512A</v>
      </c>
      <c r="G942" s="26">
        <f t="shared" si="58"/>
        <v>0</v>
      </c>
      <c r="H942" s="23" t="str">
        <f t="shared" si="59"/>
        <v>TI830512AIO.Mode</v>
      </c>
      <c r="I942" s="23">
        <f t="shared" si="57"/>
        <v>0</v>
      </c>
    </row>
    <row r="943" spans="2:9" hidden="1" x14ac:dyDescent="0.25">
      <c r="B943" s="25" t="s">
        <v>16</v>
      </c>
      <c r="C943" s="25" t="s">
        <v>1510</v>
      </c>
      <c r="D943" s="25">
        <v>0</v>
      </c>
      <c r="E943" s="25" t="s">
        <v>1511</v>
      </c>
      <c r="F943" s="26" t="str">
        <f t="shared" si="56"/>
        <v>TT830512B</v>
      </c>
      <c r="G943" s="26">
        <f t="shared" si="58"/>
        <v>0</v>
      </c>
      <c r="H943" s="23" t="str">
        <f t="shared" si="59"/>
        <v>TI830512BIO.Mode</v>
      </c>
      <c r="I943" s="23">
        <f t="shared" si="57"/>
        <v>0</v>
      </c>
    </row>
    <row r="944" spans="2:9" hidden="1" x14ac:dyDescent="0.25">
      <c r="B944" s="25" t="s">
        <v>16</v>
      </c>
      <c r="C944" s="25" t="s">
        <v>1512</v>
      </c>
      <c r="D944" s="25">
        <v>0</v>
      </c>
      <c r="E944" s="25" t="s">
        <v>1513</v>
      </c>
      <c r="F944" s="26" t="str">
        <f t="shared" si="56"/>
        <v>TT830524A</v>
      </c>
      <c r="G944" s="26">
        <f t="shared" si="58"/>
        <v>0</v>
      </c>
      <c r="H944" s="23" t="str">
        <f t="shared" si="59"/>
        <v>TI830524AIO.Mode</v>
      </c>
      <c r="I944" s="23">
        <f t="shared" si="57"/>
        <v>0</v>
      </c>
    </row>
    <row r="945" spans="2:9" hidden="1" x14ac:dyDescent="0.25">
      <c r="B945" s="25" t="s">
        <v>16</v>
      </c>
      <c r="C945" s="25" t="s">
        <v>1514</v>
      </c>
      <c r="D945" s="25">
        <v>0</v>
      </c>
      <c r="E945" s="25" t="s">
        <v>1515</v>
      </c>
      <c r="F945" s="26" t="str">
        <f t="shared" si="56"/>
        <v>TT830524B</v>
      </c>
      <c r="G945" s="26">
        <f t="shared" si="58"/>
        <v>0</v>
      </c>
      <c r="H945" s="23" t="str">
        <f t="shared" si="59"/>
        <v>TI830524BIO.Mode</v>
      </c>
      <c r="I945" s="23">
        <f t="shared" si="57"/>
        <v>0</v>
      </c>
    </row>
    <row r="946" spans="2:9" hidden="1" x14ac:dyDescent="0.25">
      <c r="B946" s="25" t="s">
        <v>16</v>
      </c>
      <c r="C946" s="25" t="s">
        <v>1516</v>
      </c>
      <c r="D946" s="25">
        <v>0</v>
      </c>
      <c r="E946" s="25" t="s">
        <v>1517</v>
      </c>
      <c r="F946" s="26" t="str">
        <f t="shared" ref="F946:F1009" si="60">+LEFT(E946,FIND(".",E946,1)-1)</f>
        <v>TT830525A</v>
      </c>
      <c r="G946" s="26">
        <f t="shared" si="58"/>
        <v>0</v>
      </c>
      <c r="H946" s="23" t="str">
        <f t="shared" si="59"/>
        <v>TI830525A_1oo2IO_MA1.Mode</v>
      </c>
      <c r="I946" s="23">
        <f t="shared" ref="I946:I1009" si="61">+G946</f>
        <v>0</v>
      </c>
    </row>
    <row r="947" spans="2:9" hidden="1" x14ac:dyDescent="0.25">
      <c r="B947" s="25" t="s">
        <v>16</v>
      </c>
      <c r="C947" s="25" t="s">
        <v>1518</v>
      </c>
      <c r="D947" s="25">
        <v>0</v>
      </c>
      <c r="E947" s="25" t="s">
        <v>1519</v>
      </c>
      <c r="F947" s="26" t="str">
        <f t="shared" si="60"/>
        <v>TT830525B</v>
      </c>
      <c r="G947" s="26">
        <f t="shared" si="58"/>
        <v>0</v>
      </c>
      <c r="H947" s="23" t="str">
        <f t="shared" si="59"/>
        <v>TI830525A_1oo2IO_MA2.Mode</v>
      </c>
      <c r="I947" s="23">
        <f t="shared" si="61"/>
        <v>0</v>
      </c>
    </row>
    <row r="948" spans="2:9" hidden="1" x14ac:dyDescent="0.25">
      <c r="B948" s="25" t="s">
        <v>16</v>
      </c>
      <c r="C948" s="25" t="s">
        <v>1520</v>
      </c>
      <c r="D948" s="25">
        <v>0</v>
      </c>
      <c r="E948" s="25" t="s">
        <v>1521</v>
      </c>
      <c r="F948" s="26" t="str">
        <f t="shared" si="60"/>
        <v>TT830617</v>
      </c>
      <c r="G948" s="26">
        <f t="shared" si="58"/>
        <v>0</v>
      </c>
      <c r="H948" s="23" t="str">
        <f t="shared" si="59"/>
        <v>TI830617IO.Mode</v>
      </c>
      <c r="I948" s="23">
        <f t="shared" si="61"/>
        <v>0</v>
      </c>
    </row>
    <row r="949" spans="2:9" x14ac:dyDescent="0.25">
      <c r="B949" s="25" t="s">
        <v>16</v>
      </c>
      <c r="C949" s="25" t="s">
        <v>1992</v>
      </c>
      <c r="D949" s="25">
        <v>0</v>
      </c>
      <c r="E949" s="25" t="s">
        <v>1993</v>
      </c>
      <c r="F949" s="26" t="str">
        <f t="shared" si="60"/>
        <v>TT830621</v>
      </c>
      <c r="G949" s="26">
        <f t="shared" si="58"/>
        <v>2</v>
      </c>
      <c r="H949" s="23" t="str">
        <f t="shared" si="59"/>
        <v>TI830621IO.Mode</v>
      </c>
      <c r="I949" s="23">
        <f t="shared" si="61"/>
        <v>2</v>
      </c>
    </row>
    <row r="950" spans="2:9" hidden="1" x14ac:dyDescent="0.25">
      <c r="B950" s="25" t="s">
        <v>16</v>
      </c>
      <c r="C950" s="25" t="s">
        <v>1522</v>
      </c>
      <c r="D950" s="25">
        <v>0</v>
      </c>
      <c r="E950" s="25" t="s">
        <v>1523</v>
      </c>
      <c r="F950" s="26" t="str">
        <f t="shared" si="60"/>
        <v>TT830636</v>
      </c>
      <c r="G950" s="26">
        <f t="shared" si="58"/>
        <v>0</v>
      </c>
      <c r="H950" s="23" t="str">
        <f t="shared" si="59"/>
        <v>TI830636IO.Mode</v>
      </c>
      <c r="I950" s="23">
        <f t="shared" si="61"/>
        <v>0</v>
      </c>
    </row>
    <row r="951" spans="2:9" hidden="1" x14ac:dyDescent="0.25">
      <c r="B951" s="25" t="s">
        <v>16</v>
      </c>
      <c r="C951" s="25" t="s">
        <v>1524</v>
      </c>
      <c r="D951" s="25">
        <v>0</v>
      </c>
      <c r="E951" s="25" t="s">
        <v>1525</v>
      </c>
      <c r="F951" s="26" t="str">
        <f t="shared" si="60"/>
        <v>TT830801</v>
      </c>
      <c r="G951" s="26">
        <f t="shared" si="58"/>
        <v>0</v>
      </c>
      <c r="H951" s="23" t="str">
        <f t="shared" si="59"/>
        <v>TI830801IO.Mode</v>
      </c>
      <c r="I951" s="23">
        <f t="shared" si="61"/>
        <v>0</v>
      </c>
    </row>
    <row r="952" spans="2:9" hidden="1" x14ac:dyDescent="0.25">
      <c r="B952" s="25" t="s">
        <v>16</v>
      </c>
      <c r="C952" s="25" t="s">
        <v>1526</v>
      </c>
      <c r="D952" s="25">
        <v>0</v>
      </c>
      <c r="E952" s="25" t="s">
        <v>1527</v>
      </c>
      <c r="F952" s="26" t="str">
        <f t="shared" si="60"/>
        <v>TT830803</v>
      </c>
      <c r="G952" s="26">
        <f t="shared" si="58"/>
        <v>0</v>
      </c>
      <c r="H952" s="23" t="str">
        <f t="shared" si="59"/>
        <v>TI830803IO.Mode</v>
      </c>
      <c r="I952" s="23">
        <f t="shared" si="61"/>
        <v>0</v>
      </c>
    </row>
    <row r="953" spans="2:9" hidden="1" x14ac:dyDescent="0.25">
      <c r="B953" s="25" t="s">
        <v>16</v>
      </c>
      <c r="C953" s="25" t="s">
        <v>1528</v>
      </c>
      <c r="D953" s="25">
        <v>0</v>
      </c>
      <c r="E953" s="25" t="s">
        <v>1529</v>
      </c>
      <c r="F953" s="26" t="str">
        <f t="shared" si="60"/>
        <v>TT830823</v>
      </c>
      <c r="G953" s="26">
        <f t="shared" si="58"/>
        <v>0</v>
      </c>
      <c r="H953" s="23" t="str">
        <f t="shared" si="59"/>
        <v>TI830823IO.Mode</v>
      </c>
      <c r="I953" s="23">
        <f t="shared" si="61"/>
        <v>0</v>
      </c>
    </row>
    <row r="954" spans="2:9" hidden="1" x14ac:dyDescent="0.25">
      <c r="B954" s="25" t="s">
        <v>16</v>
      </c>
      <c r="C954" s="25" t="s">
        <v>1530</v>
      </c>
      <c r="D954" s="25">
        <v>0</v>
      </c>
      <c r="E954" s="25" t="s">
        <v>1531</v>
      </c>
      <c r="F954" s="26" t="str">
        <f t="shared" si="60"/>
        <v>TT830831</v>
      </c>
      <c r="G954" s="26">
        <f t="shared" si="58"/>
        <v>0</v>
      </c>
      <c r="H954" s="23" t="str">
        <f t="shared" si="59"/>
        <v>TI830831IO.Mode</v>
      </c>
      <c r="I954" s="23">
        <f t="shared" si="61"/>
        <v>0</v>
      </c>
    </row>
    <row r="955" spans="2:9" hidden="1" x14ac:dyDescent="0.25">
      <c r="B955" s="25" t="s">
        <v>16</v>
      </c>
      <c r="C955" s="25" t="s">
        <v>1532</v>
      </c>
      <c r="D955" s="25">
        <v>0</v>
      </c>
      <c r="E955" s="25" t="s">
        <v>1533</v>
      </c>
      <c r="F955" s="26" t="str">
        <f t="shared" si="60"/>
        <v>TT830834</v>
      </c>
      <c r="G955" s="26">
        <f t="shared" si="58"/>
        <v>0</v>
      </c>
      <c r="H955" s="23" t="str">
        <f t="shared" si="59"/>
        <v>TI830834IO.Mode</v>
      </c>
      <c r="I955" s="23">
        <f t="shared" si="61"/>
        <v>0</v>
      </c>
    </row>
    <row r="956" spans="2:9" hidden="1" x14ac:dyDescent="0.25">
      <c r="B956" s="25" t="s">
        <v>16</v>
      </c>
      <c r="C956" s="25" t="s">
        <v>1534</v>
      </c>
      <c r="D956" s="25">
        <v>0</v>
      </c>
      <c r="E956" s="25" t="s">
        <v>1535</v>
      </c>
      <c r="F956" s="26" t="str">
        <f t="shared" si="60"/>
        <v>TT830837</v>
      </c>
      <c r="G956" s="26">
        <f t="shared" si="58"/>
        <v>0</v>
      </c>
      <c r="H956" s="23" t="str">
        <f t="shared" si="59"/>
        <v>TI830837IO.Mode</v>
      </c>
      <c r="I956" s="23">
        <f t="shared" si="61"/>
        <v>0</v>
      </c>
    </row>
    <row r="957" spans="2:9" hidden="1" x14ac:dyDescent="0.25">
      <c r="B957" s="25" t="s">
        <v>16</v>
      </c>
      <c r="C957" s="25" t="s">
        <v>1536</v>
      </c>
      <c r="D957" s="25">
        <v>0</v>
      </c>
      <c r="E957" s="25" t="s">
        <v>1537</v>
      </c>
      <c r="F957" s="26" t="str">
        <f t="shared" si="60"/>
        <v>TT830838A</v>
      </c>
      <c r="G957" s="26">
        <f t="shared" si="58"/>
        <v>0</v>
      </c>
      <c r="H957" s="23" t="str">
        <f t="shared" si="59"/>
        <v>TI830838AIO.Mode</v>
      </c>
      <c r="I957" s="23">
        <f t="shared" si="61"/>
        <v>0</v>
      </c>
    </row>
    <row r="958" spans="2:9" hidden="1" x14ac:dyDescent="0.25">
      <c r="B958" s="25" t="s">
        <v>16</v>
      </c>
      <c r="C958" s="25" t="s">
        <v>1538</v>
      </c>
      <c r="D958" s="25">
        <v>0</v>
      </c>
      <c r="E958" s="25" t="s">
        <v>1539</v>
      </c>
      <c r="F958" s="26" t="str">
        <f t="shared" si="60"/>
        <v>TT830838B</v>
      </c>
      <c r="G958" s="26">
        <f t="shared" si="58"/>
        <v>0</v>
      </c>
      <c r="H958" s="23" t="str">
        <f t="shared" si="59"/>
        <v>TI830838BIO.Mode</v>
      </c>
      <c r="I958" s="23">
        <f t="shared" si="61"/>
        <v>0</v>
      </c>
    </row>
    <row r="959" spans="2:9" hidden="1" x14ac:dyDescent="0.25">
      <c r="B959" s="25" t="s">
        <v>16</v>
      </c>
      <c r="C959" s="25" t="s">
        <v>1540</v>
      </c>
      <c r="D959" s="25">
        <v>0</v>
      </c>
      <c r="E959" s="25" t="s">
        <v>1541</v>
      </c>
      <c r="F959" s="26" t="str">
        <f t="shared" si="60"/>
        <v>TT830902</v>
      </c>
      <c r="G959" s="26">
        <f t="shared" si="58"/>
        <v>0</v>
      </c>
      <c r="H959" s="23" t="str">
        <f t="shared" si="59"/>
        <v>TI830902IO.Mode</v>
      </c>
      <c r="I959" s="23">
        <f t="shared" si="61"/>
        <v>0</v>
      </c>
    </row>
    <row r="960" spans="2:9" hidden="1" x14ac:dyDescent="0.25">
      <c r="B960" s="25" t="s">
        <v>16</v>
      </c>
      <c r="C960" s="25" t="s">
        <v>1542</v>
      </c>
      <c r="D960" s="25">
        <v>0</v>
      </c>
      <c r="E960" s="25" t="s">
        <v>1543</v>
      </c>
      <c r="F960" s="26" t="str">
        <f t="shared" si="60"/>
        <v>TT830905</v>
      </c>
      <c r="G960" s="26">
        <f t="shared" si="58"/>
        <v>0</v>
      </c>
      <c r="H960" s="23" t="str">
        <f t="shared" si="59"/>
        <v>TI830905IO.Mode</v>
      </c>
      <c r="I960" s="23">
        <f t="shared" si="61"/>
        <v>0</v>
      </c>
    </row>
    <row r="961" spans="2:9" hidden="1" x14ac:dyDescent="0.25">
      <c r="B961" s="25" t="s">
        <v>16</v>
      </c>
      <c r="C961" s="25" t="s">
        <v>1544</v>
      </c>
      <c r="D961" s="25">
        <v>0</v>
      </c>
      <c r="E961" s="25" t="s">
        <v>1545</v>
      </c>
      <c r="F961" s="26" t="str">
        <f t="shared" si="60"/>
        <v>TT830946</v>
      </c>
      <c r="G961" s="26">
        <f t="shared" si="58"/>
        <v>0</v>
      </c>
      <c r="H961" s="23" t="str">
        <f t="shared" si="59"/>
        <v>TI830946IO.Mode</v>
      </c>
      <c r="I961" s="23">
        <f t="shared" si="61"/>
        <v>0</v>
      </c>
    </row>
    <row r="962" spans="2:9" hidden="1" x14ac:dyDescent="0.25">
      <c r="B962" s="25" t="s">
        <v>16</v>
      </c>
      <c r="C962" s="25" t="s">
        <v>1546</v>
      </c>
      <c r="D962" s="25">
        <v>0</v>
      </c>
      <c r="E962" s="25" t="s">
        <v>1547</v>
      </c>
      <c r="F962" s="26" t="str">
        <f t="shared" si="60"/>
        <v>TT831006</v>
      </c>
      <c r="G962" s="26">
        <f t="shared" ref="G962:G1025" si="62">+IFERROR(IF(VLOOKUP(F962,DI,2,FALSE)="IO",2,0),"N/A")</f>
        <v>0</v>
      </c>
      <c r="H962" s="23" t="str">
        <f t="shared" ref="H962:H1028" si="63">+CONCATENATE(C962,".Mode")</f>
        <v>TI831006IO.Mode</v>
      </c>
      <c r="I962" s="23">
        <f t="shared" si="61"/>
        <v>0</v>
      </c>
    </row>
    <row r="963" spans="2:9" hidden="1" x14ac:dyDescent="0.25">
      <c r="B963" s="25" t="s">
        <v>16</v>
      </c>
      <c r="C963" s="25" t="s">
        <v>1548</v>
      </c>
      <c r="D963" s="25">
        <v>0</v>
      </c>
      <c r="E963" s="25" t="s">
        <v>1549</v>
      </c>
      <c r="F963" s="26" t="str">
        <f t="shared" si="60"/>
        <v>TT831104</v>
      </c>
      <c r="G963" s="26">
        <f t="shared" si="62"/>
        <v>0</v>
      </c>
      <c r="H963" s="23" t="str">
        <f t="shared" si="63"/>
        <v>TI831104IO.Mode</v>
      </c>
      <c r="I963" s="23">
        <f t="shared" si="61"/>
        <v>0</v>
      </c>
    </row>
    <row r="964" spans="2:9" hidden="1" x14ac:dyDescent="0.25">
      <c r="B964" s="25" t="s">
        <v>16</v>
      </c>
      <c r="C964" s="25" t="s">
        <v>1550</v>
      </c>
      <c r="D964" s="25">
        <v>0</v>
      </c>
      <c r="E964" s="25" t="s">
        <v>1551</v>
      </c>
      <c r="F964" s="26" t="str">
        <f t="shared" si="60"/>
        <v>TT831204</v>
      </c>
      <c r="G964" s="26">
        <f t="shared" si="62"/>
        <v>0</v>
      </c>
      <c r="H964" s="23" t="str">
        <f t="shared" si="63"/>
        <v>TI831204IO.Mode</v>
      </c>
      <c r="I964" s="23">
        <f t="shared" si="61"/>
        <v>0</v>
      </c>
    </row>
    <row r="965" spans="2:9" hidden="1" x14ac:dyDescent="0.25">
      <c r="B965" s="25" t="s">
        <v>16</v>
      </c>
      <c r="C965" s="25" t="s">
        <v>1552</v>
      </c>
      <c r="D965" s="25">
        <v>0</v>
      </c>
      <c r="E965" s="25" t="s">
        <v>1553</v>
      </c>
      <c r="F965" s="26" t="str">
        <f t="shared" si="60"/>
        <v>TT831410</v>
      </c>
      <c r="G965" s="26">
        <f t="shared" si="62"/>
        <v>0</v>
      </c>
      <c r="H965" s="23" t="str">
        <f t="shared" si="63"/>
        <v>TI831410IO.Mode</v>
      </c>
      <c r="I965" s="23">
        <f t="shared" si="61"/>
        <v>0</v>
      </c>
    </row>
    <row r="966" spans="2:9" x14ac:dyDescent="0.25">
      <c r="B966" s="25" t="s">
        <v>16</v>
      </c>
      <c r="C966" s="25" t="s">
        <v>1994</v>
      </c>
      <c r="D966" s="25">
        <v>0</v>
      </c>
      <c r="E966" s="25" t="s">
        <v>1995</v>
      </c>
      <c r="F966" s="26" t="str">
        <f t="shared" si="60"/>
        <v>TT832103</v>
      </c>
      <c r="G966" s="26">
        <f t="shared" si="62"/>
        <v>2</v>
      </c>
      <c r="H966" s="23" t="str">
        <f t="shared" si="63"/>
        <v>TI832103IO.Mode</v>
      </c>
      <c r="I966" s="23">
        <f t="shared" si="61"/>
        <v>2</v>
      </c>
    </row>
    <row r="967" spans="2:9" hidden="1" x14ac:dyDescent="0.25">
      <c r="B967" s="25" t="s">
        <v>16</v>
      </c>
      <c r="C967" s="25" t="s">
        <v>1554</v>
      </c>
      <c r="D967" s="25">
        <v>0</v>
      </c>
      <c r="E967" s="25" t="s">
        <v>1555</v>
      </c>
      <c r="F967" s="26" t="str">
        <f t="shared" si="60"/>
        <v>TT832107</v>
      </c>
      <c r="G967" s="26">
        <f t="shared" si="62"/>
        <v>0</v>
      </c>
      <c r="H967" s="23" t="str">
        <f t="shared" si="63"/>
        <v>TI832107IO.Mode</v>
      </c>
      <c r="I967" s="23">
        <f t="shared" si="61"/>
        <v>0</v>
      </c>
    </row>
    <row r="968" spans="2:9" hidden="1" x14ac:dyDescent="0.25">
      <c r="B968" s="25" t="s">
        <v>16</v>
      </c>
      <c r="C968" s="25" t="s">
        <v>1556</v>
      </c>
      <c r="D968" s="25">
        <v>0</v>
      </c>
      <c r="E968" s="25" t="s">
        <v>1557</v>
      </c>
      <c r="F968" s="26" t="str">
        <f t="shared" si="60"/>
        <v>TT832110</v>
      </c>
      <c r="G968" s="26">
        <f t="shared" si="62"/>
        <v>0</v>
      </c>
      <c r="H968" s="23" t="str">
        <f t="shared" si="63"/>
        <v>TI832110IO.Mode</v>
      </c>
      <c r="I968" s="23">
        <f t="shared" si="61"/>
        <v>0</v>
      </c>
    </row>
    <row r="969" spans="2:9" x14ac:dyDescent="0.25">
      <c r="B969" s="25" t="s">
        <v>16</v>
      </c>
      <c r="C969" s="25" t="s">
        <v>1996</v>
      </c>
      <c r="D969" s="25">
        <v>0</v>
      </c>
      <c r="E969" s="25" t="s">
        <v>1997</v>
      </c>
      <c r="F969" s="26" t="str">
        <f t="shared" si="60"/>
        <v>TT832115</v>
      </c>
      <c r="G969" s="26">
        <f t="shared" si="62"/>
        <v>2</v>
      </c>
      <c r="H969" s="23" t="str">
        <f t="shared" si="63"/>
        <v>TI832115IO.Mode</v>
      </c>
      <c r="I969" s="23">
        <f t="shared" si="61"/>
        <v>2</v>
      </c>
    </row>
    <row r="970" spans="2:9" hidden="1" x14ac:dyDescent="0.25">
      <c r="B970" s="25" t="s">
        <v>16</v>
      </c>
      <c r="C970" s="25" t="s">
        <v>1558</v>
      </c>
      <c r="D970" s="25">
        <v>0</v>
      </c>
      <c r="E970" s="25" t="s">
        <v>1559</v>
      </c>
      <c r="F970" s="26" t="str">
        <f t="shared" si="60"/>
        <v>TT832204</v>
      </c>
      <c r="G970" s="26">
        <f t="shared" si="62"/>
        <v>0</v>
      </c>
      <c r="H970" s="23" t="str">
        <f t="shared" si="63"/>
        <v>TI832204IO.Mode</v>
      </c>
      <c r="I970" s="23">
        <f t="shared" si="61"/>
        <v>0</v>
      </c>
    </row>
    <row r="971" spans="2:9" hidden="1" x14ac:dyDescent="0.25">
      <c r="B971" s="25" t="s">
        <v>16</v>
      </c>
      <c r="C971" s="25" t="s">
        <v>1560</v>
      </c>
      <c r="D971" s="25">
        <v>0</v>
      </c>
      <c r="E971" s="25" t="s">
        <v>1561</v>
      </c>
      <c r="F971" s="26" t="str">
        <f t="shared" si="60"/>
        <v>TT832230</v>
      </c>
      <c r="G971" s="26">
        <f t="shared" si="62"/>
        <v>0</v>
      </c>
      <c r="H971" s="23" t="str">
        <f t="shared" si="63"/>
        <v>TI832230IO.Mode</v>
      </c>
      <c r="I971" s="23">
        <f t="shared" si="61"/>
        <v>0</v>
      </c>
    </row>
    <row r="972" spans="2:9" hidden="1" x14ac:dyDescent="0.25">
      <c r="B972" s="25" t="s">
        <v>16</v>
      </c>
      <c r="C972" s="25" t="s">
        <v>1562</v>
      </c>
      <c r="D972" s="25">
        <v>0</v>
      </c>
      <c r="E972" s="25" t="s">
        <v>1563</v>
      </c>
      <c r="F972" s="26" t="str">
        <f t="shared" si="60"/>
        <v>TT832301</v>
      </c>
      <c r="G972" s="26">
        <f t="shared" si="62"/>
        <v>0</v>
      </c>
      <c r="H972" s="23" t="str">
        <f t="shared" si="63"/>
        <v>TI832301IO.Mode</v>
      </c>
      <c r="I972" s="23">
        <f t="shared" si="61"/>
        <v>0</v>
      </c>
    </row>
    <row r="973" spans="2:9" x14ac:dyDescent="0.25">
      <c r="B973" s="25" t="s">
        <v>16</v>
      </c>
      <c r="C973" s="25" t="s">
        <v>1998</v>
      </c>
      <c r="D973" s="25">
        <v>0</v>
      </c>
      <c r="E973" s="25" t="s">
        <v>1999</v>
      </c>
      <c r="F973" s="26" t="str">
        <f t="shared" si="60"/>
        <v>TT832309</v>
      </c>
      <c r="G973" s="26">
        <f t="shared" si="62"/>
        <v>2</v>
      </c>
      <c r="H973" s="23" t="str">
        <f t="shared" si="63"/>
        <v>TI832309IO.Mode</v>
      </c>
      <c r="I973" s="23">
        <f t="shared" si="61"/>
        <v>2</v>
      </c>
    </row>
    <row r="974" spans="2:9" hidden="1" x14ac:dyDescent="0.25">
      <c r="B974" s="25" t="s">
        <v>16</v>
      </c>
      <c r="C974" s="25" t="s">
        <v>1564</v>
      </c>
      <c r="D974" s="25">
        <v>0</v>
      </c>
      <c r="E974" s="25" t="s">
        <v>1565</v>
      </c>
      <c r="F974" s="26" t="str">
        <f t="shared" si="60"/>
        <v>TT832320</v>
      </c>
      <c r="G974" s="26">
        <f t="shared" si="62"/>
        <v>0</v>
      </c>
      <c r="H974" s="23" t="str">
        <f t="shared" si="63"/>
        <v>TI832320IO.Mode</v>
      </c>
      <c r="I974" s="23">
        <f t="shared" si="61"/>
        <v>0</v>
      </c>
    </row>
    <row r="975" spans="2:9" hidden="1" x14ac:dyDescent="0.25">
      <c r="B975" s="25" t="s">
        <v>16</v>
      </c>
      <c r="C975" s="25" t="s">
        <v>1566</v>
      </c>
      <c r="D975" s="25">
        <v>0</v>
      </c>
      <c r="E975" s="25" t="s">
        <v>1567</v>
      </c>
      <c r="F975" s="26" t="str">
        <f t="shared" si="60"/>
        <v>TT832321</v>
      </c>
      <c r="G975" s="26">
        <f t="shared" si="62"/>
        <v>0</v>
      </c>
      <c r="H975" s="23" t="str">
        <f t="shared" si="63"/>
        <v>TI832321IO.Mode</v>
      </c>
      <c r="I975" s="23">
        <f t="shared" si="61"/>
        <v>0</v>
      </c>
    </row>
    <row r="976" spans="2:9" hidden="1" x14ac:dyDescent="0.25">
      <c r="B976" s="25" t="s">
        <v>16</v>
      </c>
      <c r="C976" s="25" t="s">
        <v>1568</v>
      </c>
      <c r="D976" s="25">
        <v>0</v>
      </c>
      <c r="E976" s="25" t="s">
        <v>1569</v>
      </c>
      <c r="F976" s="26" t="str">
        <f t="shared" si="60"/>
        <v>TT832330</v>
      </c>
      <c r="G976" s="26">
        <f t="shared" si="62"/>
        <v>0</v>
      </c>
      <c r="H976" s="23" t="str">
        <f t="shared" si="63"/>
        <v>TI832330IO.Mode</v>
      </c>
      <c r="I976" s="23">
        <f t="shared" si="61"/>
        <v>0</v>
      </c>
    </row>
    <row r="977" spans="2:9" x14ac:dyDescent="0.25">
      <c r="B977" s="25" t="s">
        <v>16</v>
      </c>
      <c r="C977" s="25" t="s">
        <v>2000</v>
      </c>
      <c r="D977" s="25">
        <v>0</v>
      </c>
      <c r="E977" s="25" t="s">
        <v>2001</v>
      </c>
      <c r="F977" s="26" t="str">
        <f t="shared" si="60"/>
        <v>TT832345</v>
      </c>
      <c r="G977" s="26">
        <f t="shared" si="62"/>
        <v>2</v>
      </c>
      <c r="H977" s="23" t="str">
        <f t="shared" si="63"/>
        <v>TI832345IO.Mode</v>
      </c>
      <c r="I977" s="23">
        <f t="shared" si="61"/>
        <v>2</v>
      </c>
    </row>
    <row r="978" spans="2:9" hidden="1" x14ac:dyDescent="0.25">
      <c r="B978" s="25" t="s">
        <v>16</v>
      </c>
      <c r="C978" s="25" t="s">
        <v>1570</v>
      </c>
      <c r="D978" s="25">
        <v>0</v>
      </c>
      <c r="E978" s="25" t="s">
        <v>1571</v>
      </c>
      <c r="F978" s="26" t="str">
        <f t="shared" si="60"/>
        <v>TT832346</v>
      </c>
      <c r="G978" s="26">
        <f t="shared" si="62"/>
        <v>0</v>
      </c>
      <c r="H978" s="23" t="str">
        <f t="shared" si="63"/>
        <v>TI832346IO.Mode</v>
      </c>
      <c r="I978" s="23">
        <f t="shared" si="61"/>
        <v>0</v>
      </c>
    </row>
    <row r="979" spans="2:9" hidden="1" x14ac:dyDescent="0.25">
      <c r="B979" s="25" t="s">
        <v>16</v>
      </c>
      <c r="C979" s="25" t="s">
        <v>1572</v>
      </c>
      <c r="D979" s="25">
        <v>0</v>
      </c>
      <c r="E979" s="25" t="s">
        <v>1573</v>
      </c>
      <c r="F979" s="26" t="str">
        <f t="shared" si="60"/>
        <v>TT832403</v>
      </c>
      <c r="G979" s="26">
        <f t="shared" si="62"/>
        <v>0</v>
      </c>
      <c r="H979" s="23" t="str">
        <f t="shared" si="63"/>
        <v>TI832403IO.Mode</v>
      </c>
      <c r="I979" s="23">
        <f t="shared" si="61"/>
        <v>0</v>
      </c>
    </row>
    <row r="980" spans="2:9" x14ac:dyDescent="0.25">
      <c r="B980" s="25" t="s">
        <v>16</v>
      </c>
      <c r="C980" s="25" t="s">
        <v>2002</v>
      </c>
      <c r="D980" s="25">
        <v>0</v>
      </c>
      <c r="E980" s="25" t="s">
        <v>2003</v>
      </c>
      <c r="F980" s="26" t="str">
        <f t="shared" si="60"/>
        <v>TT832421</v>
      </c>
      <c r="G980" s="26">
        <f t="shared" si="62"/>
        <v>2</v>
      </c>
      <c r="H980" s="23" t="str">
        <f t="shared" si="63"/>
        <v>TI832421IO.Mode</v>
      </c>
      <c r="I980" s="23">
        <f t="shared" si="61"/>
        <v>2</v>
      </c>
    </row>
    <row r="981" spans="2:9" hidden="1" x14ac:dyDescent="0.25">
      <c r="B981" s="25" t="s">
        <v>16</v>
      </c>
      <c r="C981" s="25" t="s">
        <v>1574</v>
      </c>
      <c r="D981" s="25">
        <v>0</v>
      </c>
      <c r="E981" s="25" t="s">
        <v>1575</v>
      </c>
      <c r="F981" s="26" t="str">
        <f t="shared" si="60"/>
        <v>TT832503</v>
      </c>
      <c r="G981" s="26">
        <f t="shared" si="62"/>
        <v>0</v>
      </c>
      <c r="H981" s="23" t="str">
        <f t="shared" si="63"/>
        <v>TI832503IO.Mode</v>
      </c>
      <c r="I981" s="23">
        <f t="shared" si="61"/>
        <v>0</v>
      </c>
    </row>
    <row r="982" spans="2:9" x14ac:dyDescent="0.25">
      <c r="B982" s="25" t="s">
        <v>16</v>
      </c>
      <c r="C982" s="25" t="s">
        <v>2004</v>
      </c>
      <c r="D982" s="25">
        <v>0</v>
      </c>
      <c r="E982" s="25" t="s">
        <v>2005</v>
      </c>
      <c r="F982" s="26" t="str">
        <f t="shared" si="60"/>
        <v>TT832521</v>
      </c>
      <c r="G982" s="26">
        <f t="shared" si="62"/>
        <v>2</v>
      </c>
      <c r="H982" s="23" t="str">
        <f t="shared" si="63"/>
        <v>TI832521IO.Mode</v>
      </c>
      <c r="I982" s="23">
        <f t="shared" si="61"/>
        <v>2</v>
      </c>
    </row>
    <row r="983" spans="2:9" hidden="1" x14ac:dyDescent="0.25">
      <c r="B983" s="25" t="s">
        <v>16</v>
      </c>
      <c r="C983" s="25" t="s">
        <v>1576</v>
      </c>
      <c r="D983" s="25">
        <v>0</v>
      </c>
      <c r="E983" s="25" t="s">
        <v>1577</v>
      </c>
      <c r="F983" s="26" t="str">
        <f t="shared" si="60"/>
        <v>TT840007</v>
      </c>
      <c r="G983" s="26">
        <f t="shared" si="62"/>
        <v>0</v>
      </c>
      <c r="H983" s="23" t="str">
        <f t="shared" si="63"/>
        <v>TI840007IO.Mode</v>
      </c>
      <c r="I983" s="23">
        <f t="shared" si="61"/>
        <v>0</v>
      </c>
    </row>
    <row r="984" spans="2:9" x14ac:dyDescent="0.25">
      <c r="B984" s="25" t="s">
        <v>16</v>
      </c>
      <c r="C984" s="25" t="s">
        <v>2006</v>
      </c>
      <c r="D984" s="25">
        <v>0</v>
      </c>
      <c r="E984" s="25" t="s">
        <v>2007</v>
      </c>
      <c r="F984" s="26" t="str">
        <f t="shared" si="60"/>
        <v>TT841101</v>
      </c>
      <c r="G984" s="26">
        <f t="shared" si="62"/>
        <v>2</v>
      </c>
      <c r="H984" s="23" t="str">
        <f t="shared" si="63"/>
        <v>TI841101IO.Mode</v>
      </c>
      <c r="I984" s="23">
        <f t="shared" si="61"/>
        <v>2</v>
      </c>
    </row>
    <row r="985" spans="2:9" hidden="1" x14ac:dyDescent="0.25">
      <c r="B985" s="25" t="s">
        <v>16</v>
      </c>
      <c r="C985" s="25" t="s">
        <v>1578</v>
      </c>
      <c r="D985" s="25">
        <v>0</v>
      </c>
      <c r="E985" s="25" t="s">
        <v>1579</v>
      </c>
      <c r="F985" s="26" t="str">
        <f t="shared" si="60"/>
        <v>TT841105</v>
      </c>
      <c r="G985" s="26">
        <f t="shared" si="62"/>
        <v>0</v>
      </c>
      <c r="H985" s="23" t="str">
        <f t="shared" si="63"/>
        <v>TI841105IO.Mode</v>
      </c>
      <c r="I985" s="23">
        <f t="shared" si="61"/>
        <v>0</v>
      </c>
    </row>
    <row r="986" spans="2:9" x14ac:dyDescent="0.25">
      <c r="B986" s="25" t="s">
        <v>16</v>
      </c>
      <c r="C986" s="25" t="s">
        <v>2008</v>
      </c>
      <c r="D986" s="25">
        <v>0</v>
      </c>
      <c r="E986" s="25" t="s">
        <v>2009</v>
      </c>
      <c r="F986" s="26" t="str">
        <f t="shared" si="60"/>
        <v>TT841904</v>
      </c>
      <c r="G986" s="26">
        <f t="shared" si="62"/>
        <v>2</v>
      </c>
      <c r="H986" s="23" t="str">
        <f t="shared" si="63"/>
        <v>TI841904IO.Mode</v>
      </c>
      <c r="I986" s="23">
        <f t="shared" si="61"/>
        <v>2</v>
      </c>
    </row>
    <row r="987" spans="2:9" hidden="1" x14ac:dyDescent="0.25">
      <c r="B987" s="25" t="s">
        <v>16</v>
      </c>
      <c r="C987" s="25" t="s">
        <v>1580</v>
      </c>
      <c r="D987" s="25">
        <v>0</v>
      </c>
      <c r="E987" s="25" t="s">
        <v>1581</v>
      </c>
      <c r="F987" s="26" t="str">
        <f t="shared" si="60"/>
        <v>TT842901</v>
      </c>
      <c r="G987" s="26">
        <f t="shared" si="62"/>
        <v>0</v>
      </c>
      <c r="H987" s="23" t="str">
        <f t="shared" si="63"/>
        <v>TI842901IO.Mode</v>
      </c>
      <c r="I987" s="23">
        <f t="shared" si="61"/>
        <v>0</v>
      </c>
    </row>
    <row r="988" spans="2:9" hidden="1" x14ac:dyDescent="0.25">
      <c r="B988" s="25" t="s">
        <v>16</v>
      </c>
      <c r="C988" s="25" t="s">
        <v>1582</v>
      </c>
      <c r="D988" s="25">
        <v>0</v>
      </c>
      <c r="E988" s="25" t="s">
        <v>1583</v>
      </c>
      <c r="F988" s="26" t="str">
        <f t="shared" si="60"/>
        <v>TT843002</v>
      </c>
      <c r="G988" s="26">
        <f t="shared" si="62"/>
        <v>0</v>
      </c>
      <c r="H988" s="23" t="str">
        <f t="shared" si="63"/>
        <v>TI843002IO.Mode</v>
      </c>
      <c r="I988" s="23">
        <f t="shared" si="61"/>
        <v>0</v>
      </c>
    </row>
    <row r="989" spans="2:9" hidden="1" x14ac:dyDescent="0.25">
      <c r="B989" s="25" t="s">
        <v>16</v>
      </c>
      <c r="C989" s="25" t="s">
        <v>1584</v>
      </c>
      <c r="D989" s="25">
        <v>0</v>
      </c>
      <c r="E989" s="25" t="s">
        <v>1585</v>
      </c>
      <c r="F989" s="26" t="str">
        <f t="shared" si="60"/>
        <v>TT843105</v>
      </c>
      <c r="G989" s="26">
        <f t="shared" si="62"/>
        <v>0</v>
      </c>
      <c r="H989" s="23" t="str">
        <f t="shared" si="63"/>
        <v>TI843105IO.Mode</v>
      </c>
      <c r="I989" s="23">
        <f t="shared" si="61"/>
        <v>0</v>
      </c>
    </row>
    <row r="990" spans="2:9" x14ac:dyDescent="0.25">
      <c r="B990" s="25" t="s">
        <v>16</v>
      </c>
      <c r="C990" s="25" t="s">
        <v>2010</v>
      </c>
      <c r="D990" s="25">
        <v>0</v>
      </c>
      <c r="E990" s="25" t="s">
        <v>2011</v>
      </c>
      <c r="F990" s="26" t="str">
        <f t="shared" si="60"/>
        <v>TT843108</v>
      </c>
      <c r="G990" s="26">
        <f t="shared" si="62"/>
        <v>2</v>
      </c>
      <c r="H990" s="23" t="str">
        <f t="shared" si="63"/>
        <v>TI843108IO.Mode</v>
      </c>
      <c r="I990" s="23">
        <f t="shared" si="61"/>
        <v>2</v>
      </c>
    </row>
    <row r="991" spans="2:9" hidden="1" x14ac:dyDescent="0.25">
      <c r="B991" s="25" t="s">
        <v>16</v>
      </c>
      <c r="C991" s="25" t="s">
        <v>1586</v>
      </c>
      <c r="D991" s="25">
        <v>0</v>
      </c>
      <c r="E991" s="25" t="s">
        <v>1587</v>
      </c>
      <c r="F991" s="26" t="str">
        <f t="shared" si="60"/>
        <v>TT844006</v>
      </c>
      <c r="G991" s="26">
        <f t="shared" si="62"/>
        <v>0</v>
      </c>
      <c r="H991" s="23" t="str">
        <f t="shared" si="63"/>
        <v>TI844006IO.Mode</v>
      </c>
      <c r="I991" s="23">
        <f t="shared" si="61"/>
        <v>0</v>
      </c>
    </row>
    <row r="992" spans="2:9" x14ac:dyDescent="0.25">
      <c r="B992" s="25" t="s">
        <v>16</v>
      </c>
      <c r="C992" s="25" t="s">
        <v>2012</v>
      </c>
      <c r="D992" s="25">
        <v>0</v>
      </c>
      <c r="E992" s="25" t="s">
        <v>2013</v>
      </c>
      <c r="F992" s="26" t="str">
        <f t="shared" si="60"/>
        <v>TT845003</v>
      </c>
      <c r="G992" s="26">
        <f t="shared" si="62"/>
        <v>2</v>
      </c>
      <c r="H992" s="23" t="str">
        <f t="shared" si="63"/>
        <v>TI845003IO.Mode</v>
      </c>
      <c r="I992" s="23">
        <f t="shared" si="61"/>
        <v>2</v>
      </c>
    </row>
    <row r="993" spans="2:9" hidden="1" x14ac:dyDescent="0.25">
      <c r="B993" s="25" t="s">
        <v>16</v>
      </c>
      <c r="C993" s="25" t="s">
        <v>1588</v>
      </c>
      <c r="D993" s="25">
        <v>0</v>
      </c>
      <c r="E993" s="25" t="s">
        <v>1589</v>
      </c>
      <c r="F993" s="26" t="str">
        <f t="shared" si="60"/>
        <v>TT850004</v>
      </c>
      <c r="G993" s="26">
        <f t="shared" si="62"/>
        <v>0</v>
      </c>
      <c r="H993" s="23" t="str">
        <f t="shared" si="63"/>
        <v>TI850004IO.Mode</v>
      </c>
      <c r="I993" s="23">
        <f t="shared" si="61"/>
        <v>0</v>
      </c>
    </row>
    <row r="994" spans="2:9" hidden="1" x14ac:dyDescent="0.25">
      <c r="B994" s="25" t="s">
        <v>16</v>
      </c>
      <c r="C994" s="25" t="s">
        <v>1590</v>
      </c>
      <c r="D994" s="25">
        <v>0</v>
      </c>
      <c r="E994" s="25" t="s">
        <v>1591</v>
      </c>
      <c r="F994" s="26" t="str">
        <f t="shared" si="60"/>
        <v>TT850104</v>
      </c>
      <c r="G994" s="26">
        <f t="shared" si="62"/>
        <v>0</v>
      </c>
      <c r="H994" s="23" t="str">
        <f t="shared" si="63"/>
        <v>TI850104IO.Mode</v>
      </c>
      <c r="I994" s="23">
        <f t="shared" si="61"/>
        <v>0</v>
      </c>
    </row>
    <row r="995" spans="2:9" hidden="1" x14ac:dyDescent="0.25">
      <c r="B995" s="25" t="s">
        <v>16</v>
      </c>
      <c r="C995" s="25" t="s">
        <v>1592</v>
      </c>
      <c r="D995" s="25">
        <v>0</v>
      </c>
      <c r="E995" s="25" t="s">
        <v>1593</v>
      </c>
      <c r="F995" s="26" t="str">
        <f t="shared" si="60"/>
        <v>TT850121</v>
      </c>
      <c r="G995" s="26">
        <f t="shared" si="62"/>
        <v>0</v>
      </c>
      <c r="H995" s="23" t="str">
        <f t="shared" si="63"/>
        <v>TI850121IO.Mode</v>
      </c>
      <c r="I995" s="23">
        <f t="shared" si="61"/>
        <v>0</v>
      </c>
    </row>
    <row r="996" spans="2:9" hidden="1" x14ac:dyDescent="0.25">
      <c r="B996" s="25" t="s">
        <v>16</v>
      </c>
      <c r="C996" s="25" t="s">
        <v>1594</v>
      </c>
      <c r="D996" s="25">
        <v>0</v>
      </c>
      <c r="E996" s="25" t="s">
        <v>1595</v>
      </c>
      <c r="F996" s="26" t="str">
        <f t="shared" si="60"/>
        <v>TT850204</v>
      </c>
      <c r="G996" s="26">
        <f t="shared" si="62"/>
        <v>0</v>
      </c>
      <c r="H996" s="23" t="str">
        <f t="shared" si="63"/>
        <v>TI850204IO.Mode</v>
      </c>
      <c r="I996" s="23">
        <f t="shared" si="61"/>
        <v>0</v>
      </c>
    </row>
    <row r="997" spans="2:9" hidden="1" x14ac:dyDescent="0.25">
      <c r="B997" s="25" t="s">
        <v>16</v>
      </c>
      <c r="C997" s="25" t="s">
        <v>1596</v>
      </c>
      <c r="D997" s="25">
        <v>0</v>
      </c>
      <c r="E997" s="25" t="s">
        <v>1597</v>
      </c>
      <c r="F997" s="26" t="str">
        <f t="shared" si="60"/>
        <v>TT852004</v>
      </c>
      <c r="G997" s="26">
        <f t="shared" si="62"/>
        <v>0</v>
      </c>
      <c r="H997" s="23" t="str">
        <f t="shared" si="63"/>
        <v>TI852004IO.Mode</v>
      </c>
      <c r="I997" s="23">
        <f t="shared" si="61"/>
        <v>0</v>
      </c>
    </row>
    <row r="998" spans="2:9" x14ac:dyDescent="0.25">
      <c r="B998" s="25" t="s">
        <v>16</v>
      </c>
      <c r="C998" s="25" t="s">
        <v>2014</v>
      </c>
      <c r="D998" s="25">
        <v>0</v>
      </c>
      <c r="E998" s="25" t="s">
        <v>2015</v>
      </c>
      <c r="F998" s="26" t="str">
        <f t="shared" si="60"/>
        <v>TT852016</v>
      </c>
      <c r="G998" s="26">
        <f t="shared" si="62"/>
        <v>2</v>
      </c>
      <c r="H998" s="23" t="str">
        <f t="shared" si="63"/>
        <v>TI852016IO.Mode</v>
      </c>
      <c r="I998" s="23">
        <f t="shared" si="61"/>
        <v>2</v>
      </c>
    </row>
    <row r="999" spans="2:9" x14ac:dyDescent="0.25">
      <c r="B999" s="25" t="s">
        <v>16</v>
      </c>
      <c r="C999" s="25" t="s">
        <v>2016</v>
      </c>
      <c r="D999" s="25">
        <v>0</v>
      </c>
      <c r="E999" s="25" t="s">
        <v>2017</v>
      </c>
      <c r="F999" s="26" t="str">
        <f t="shared" si="60"/>
        <v>TT852065</v>
      </c>
      <c r="G999" s="26">
        <f t="shared" si="62"/>
        <v>2</v>
      </c>
      <c r="H999" s="23" t="str">
        <f t="shared" si="63"/>
        <v>TI852065IO.Mode</v>
      </c>
      <c r="I999" s="23">
        <f t="shared" si="61"/>
        <v>2</v>
      </c>
    </row>
    <row r="1000" spans="2:9" hidden="1" x14ac:dyDescent="0.25">
      <c r="B1000" s="25" t="s">
        <v>16</v>
      </c>
      <c r="C1000" s="25" t="s">
        <v>1598</v>
      </c>
      <c r="D1000" s="25">
        <v>0</v>
      </c>
      <c r="E1000" s="25" t="s">
        <v>1599</v>
      </c>
      <c r="F1000" s="26" t="str">
        <f t="shared" si="60"/>
        <v>TT853001</v>
      </c>
      <c r="G1000" s="26">
        <f t="shared" si="62"/>
        <v>0</v>
      </c>
      <c r="H1000" s="23" t="str">
        <f t="shared" si="63"/>
        <v>TI853001IO.Mode</v>
      </c>
      <c r="I1000" s="23">
        <f t="shared" si="61"/>
        <v>0</v>
      </c>
    </row>
    <row r="1001" spans="2:9" hidden="1" x14ac:dyDescent="0.25">
      <c r="B1001" s="25" t="s">
        <v>16</v>
      </c>
      <c r="C1001" s="25" t="s">
        <v>1600</v>
      </c>
      <c r="D1001" s="25">
        <v>0</v>
      </c>
      <c r="E1001" s="25" t="s">
        <v>1601</v>
      </c>
      <c r="F1001" s="26" t="str">
        <f t="shared" si="60"/>
        <v>TT856003</v>
      </c>
      <c r="G1001" s="26">
        <f t="shared" si="62"/>
        <v>0</v>
      </c>
      <c r="H1001" s="23" t="str">
        <f t="shared" si="63"/>
        <v>TI856003IO.Mode</v>
      </c>
      <c r="I1001" s="23">
        <f t="shared" si="61"/>
        <v>0</v>
      </c>
    </row>
    <row r="1002" spans="2:9" hidden="1" x14ac:dyDescent="0.25">
      <c r="B1002" s="25" t="s">
        <v>16</v>
      </c>
      <c r="C1002" s="25" t="s">
        <v>1602</v>
      </c>
      <c r="D1002" s="25">
        <v>0</v>
      </c>
      <c r="E1002" s="25" t="s">
        <v>1603</v>
      </c>
      <c r="F1002" s="26" t="str">
        <f t="shared" si="60"/>
        <v>TT859007</v>
      </c>
      <c r="G1002" s="26">
        <f t="shared" si="62"/>
        <v>0</v>
      </c>
      <c r="H1002" s="23" t="str">
        <f t="shared" si="63"/>
        <v>TI859007IO.Mode</v>
      </c>
      <c r="I1002" s="23">
        <f t="shared" si="61"/>
        <v>0</v>
      </c>
    </row>
    <row r="1003" spans="2:9" hidden="1" x14ac:dyDescent="0.25">
      <c r="B1003" s="25" t="s">
        <v>16</v>
      </c>
      <c r="C1003" s="25" t="s">
        <v>1604</v>
      </c>
      <c r="D1003" s="25">
        <v>0</v>
      </c>
      <c r="E1003" s="25" t="s">
        <v>1605</v>
      </c>
      <c r="F1003" s="26" t="str">
        <f t="shared" si="60"/>
        <v>TT859008</v>
      </c>
      <c r="G1003" s="26">
        <f t="shared" si="62"/>
        <v>0</v>
      </c>
      <c r="H1003" s="23" t="str">
        <f t="shared" si="63"/>
        <v>TI859008IO.Mode</v>
      </c>
      <c r="I1003" s="23">
        <f t="shared" si="61"/>
        <v>0</v>
      </c>
    </row>
    <row r="1004" spans="2:9" hidden="1" x14ac:dyDescent="0.25">
      <c r="B1004" s="25" t="s">
        <v>16</v>
      </c>
      <c r="C1004" s="25" t="s">
        <v>1606</v>
      </c>
      <c r="D1004" s="25">
        <v>0</v>
      </c>
      <c r="E1004" s="25" t="s">
        <v>1607</v>
      </c>
      <c r="F1004" s="26" t="str">
        <f t="shared" si="60"/>
        <v>TT859009</v>
      </c>
      <c r="G1004" s="26">
        <f t="shared" si="62"/>
        <v>0</v>
      </c>
      <c r="H1004" s="23" t="str">
        <f t="shared" si="63"/>
        <v>TI859009IO.Mode</v>
      </c>
      <c r="I1004" s="23">
        <f t="shared" si="61"/>
        <v>0</v>
      </c>
    </row>
    <row r="1005" spans="2:9" x14ac:dyDescent="0.25">
      <c r="B1005" s="25" t="s">
        <v>16</v>
      </c>
      <c r="C1005" s="25" t="s">
        <v>2018</v>
      </c>
      <c r="D1005" s="25">
        <v>0</v>
      </c>
      <c r="E1005" s="25" t="s">
        <v>2019</v>
      </c>
      <c r="F1005" s="26" t="str">
        <f t="shared" si="60"/>
        <v>TT897965</v>
      </c>
      <c r="G1005" s="26">
        <f t="shared" si="62"/>
        <v>2</v>
      </c>
      <c r="H1005" s="23" t="str">
        <f t="shared" si="63"/>
        <v>TI897965IO.Mode</v>
      </c>
      <c r="I1005" s="23">
        <f t="shared" si="61"/>
        <v>2</v>
      </c>
    </row>
    <row r="1006" spans="2:9" x14ac:dyDescent="0.25">
      <c r="B1006" s="25" t="s">
        <v>16</v>
      </c>
      <c r="C1006" s="25" t="s">
        <v>2020</v>
      </c>
      <c r="D1006" s="25">
        <v>0</v>
      </c>
      <c r="E1006" s="25" t="s">
        <v>2021</v>
      </c>
      <c r="F1006" s="26" t="str">
        <f t="shared" si="60"/>
        <v>TT897967</v>
      </c>
      <c r="G1006" s="26">
        <f t="shared" si="62"/>
        <v>2</v>
      </c>
      <c r="H1006" s="23" t="str">
        <f t="shared" si="63"/>
        <v>TI897967IO.Mode</v>
      </c>
      <c r="I1006" s="23">
        <f t="shared" si="61"/>
        <v>2</v>
      </c>
    </row>
    <row r="1007" spans="2:9" x14ac:dyDescent="0.25">
      <c r="B1007" s="25" t="s">
        <v>16</v>
      </c>
      <c r="C1007" s="25" t="s">
        <v>2022</v>
      </c>
      <c r="D1007" s="25">
        <v>0</v>
      </c>
      <c r="E1007" s="25" t="s">
        <v>2023</v>
      </c>
      <c r="F1007" s="26" t="str">
        <f t="shared" si="60"/>
        <v>TT897968</v>
      </c>
      <c r="G1007" s="26">
        <f t="shared" si="62"/>
        <v>2</v>
      </c>
      <c r="H1007" s="23" t="str">
        <f t="shared" si="63"/>
        <v>TI897968IO.Mode</v>
      </c>
      <c r="I1007" s="23">
        <f t="shared" si="61"/>
        <v>2</v>
      </c>
    </row>
    <row r="1008" spans="2:9" hidden="1" x14ac:dyDescent="0.25">
      <c r="B1008" s="25" t="s">
        <v>16</v>
      </c>
      <c r="C1008" s="25" t="s">
        <v>1608</v>
      </c>
      <c r="D1008" s="25">
        <v>0</v>
      </c>
      <c r="E1008" s="25" t="s">
        <v>1609</v>
      </c>
      <c r="F1008" s="26" t="str">
        <f t="shared" si="60"/>
        <v>TT899011</v>
      </c>
      <c r="G1008" s="26">
        <f t="shared" si="62"/>
        <v>0</v>
      </c>
      <c r="H1008" s="23" t="str">
        <f t="shared" si="63"/>
        <v>TI899011IO.Mode</v>
      </c>
      <c r="I1008" s="23">
        <f t="shared" si="61"/>
        <v>0</v>
      </c>
    </row>
    <row r="1009" spans="2:9" hidden="1" x14ac:dyDescent="0.25">
      <c r="B1009" s="25" t="s">
        <v>16</v>
      </c>
      <c r="C1009" s="25" t="s">
        <v>1610</v>
      </c>
      <c r="D1009" s="25">
        <v>0</v>
      </c>
      <c r="E1009" s="25" t="s">
        <v>1611</v>
      </c>
      <c r="F1009" s="26" t="str">
        <f t="shared" si="60"/>
        <v>VT800002</v>
      </c>
      <c r="G1009" s="26">
        <f t="shared" si="62"/>
        <v>0</v>
      </c>
      <c r="H1009" s="23" t="str">
        <f t="shared" si="63"/>
        <v>VI800002IO.Mode</v>
      </c>
      <c r="I1009" s="23">
        <f t="shared" si="61"/>
        <v>0</v>
      </c>
    </row>
    <row r="1010" spans="2:9" hidden="1" x14ac:dyDescent="0.25">
      <c r="B1010" s="25" t="s">
        <v>16</v>
      </c>
      <c r="C1010" s="25" t="s">
        <v>1612</v>
      </c>
      <c r="D1010" s="25">
        <v>0</v>
      </c>
      <c r="E1010" s="25" t="s">
        <v>1613</v>
      </c>
      <c r="F1010" s="26" t="str">
        <f t="shared" ref="F1010:F1028" si="64">+LEFT(E1010,FIND(".",E1010,1)-1)</f>
        <v>VT800004</v>
      </c>
      <c r="G1010" s="26">
        <f t="shared" si="62"/>
        <v>0</v>
      </c>
      <c r="H1010" s="23" t="str">
        <f t="shared" si="63"/>
        <v>VI800004IO.Mode</v>
      </c>
      <c r="I1010" s="23">
        <f t="shared" ref="I1010:I1028" si="65">+G1010</f>
        <v>0</v>
      </c>
    </row>
    <row r="1011" spans="2:9" hidden="1" x14ac:dyDescent="0.25">
      <c r="B1011" s="25" t="s">
        <v>16</v>
      </c>
      <c r="C1011" s="25" t="s">
        <v>1614</v>
      </c>
      <c r="D1011" s="25">
        <v>0</v>
      </c>
      <c r="E1011" s="25" t="s">
        <v>1615</v>
      </c>
      <c r="F1011" s="26" t="str">
        <f t="shared" si="64"/>
        <v>VT800102</v>
      </c>
      <c r="G1011" s="26">
        <f t="shared" si="62"/>
        <v>0</v>
      </c>
      <c r="H1011" s="23" t="str">
        <f t="shared" si="63"/>
        <v>VI800102IO.Mode</v>
      </c>
      <c r="I1011" s="23">
        <f t="shared" si="65"/>
        <v>0</v>
      </c>
    </row>
    <row r="1012" spans="2:9" hidden="1" x14ac:dyDescent="0.25">
      <c r="B1012" s="25" t="s">
        <v>16</v>
      </c>
      <c r="C1012" s="25" t="s">
        <v>1616</v>
      </c>
      <c r="D1012" s="25">
        <v>0</v>
      </c>
      <c r="E1012" s="25" t="s">
        <v>1617</v>
      </c>
      <c r="F1012" s="26" t="str">
        <f t="shared" si="64"/>
        <v>VT800104</v>
      </c>
      <c r="G1012" s="26">
        <f t="shared" si="62"/>
        <v>0</v>
      </c>
      <c r="H1012" s="23" t="str">
        <f t="shared" si="63"/>
        <v>VI800104IO.Mode</v>
      </c>
      <c r="I1012" s="23">
        <f t="shared" si="65"/>
        <v>0</v>
      </c>
    </row>
    <row r="1013" spans="2:9" hidden="1" x14ac:dyDescent="0.25">
      <c r="B1013" s="25" t="s">
        <v>16</v>
      </c>
      <c r="C1013" s="25" t="s">
        <v>1618</v>
      </c>
      <c r="D1013" s="25">
        <v>0</v>
      </c>
      <c r="E1013" s="25" t="s">
        <v>1619</v>
      </c>
      <c r="F1013" s="26" t="str">
        <f t="shared" si="64"/>
        <v>VT810508</v>
      </c>
      <c r="G1013" s="26">
        <f t="shared" si="62"/>
        <v>0</v>
      </c>
      <c r="H1013" s="23" t="str">
        <f t="shared" si="63"/>
        <v>VI810508IO.Mode</v>
      </c>
      <c r="I1013" s="23">
        <f t="shared" si="65"/>
        <v>0</v>
      </c>
    </row>
    <row r="1014" spans="2:9" hidden="1" x14ac:dyDescent="0.25">
      <c r="B1014" s="25" t="s">
        <v>16</v>
      </c>
      <c r="C1014" s="25" t="s">
        <v>1620</v>
      </c>
      <c r="D1014" s="25">
        <v>0</v>
      </c>
      <c r="E1014" s="25" t="s">
        <v>1621</v>
      </c>
      <c r="F1014" s="26" t="str">
        <f t="shared" si="64"/>
        <v>VT810541</v>
      </c>
      <c r="G1014" s="26">
        <f t="shared" si="62"/>
        <v>0</v>
      </c>
      <c r="H1014" s="23" t="str">
        <f t="shared" si="63"/>
        <v>VI810541IO.Mode</v>
      </c>
      <c r="I1014" s="23">
        <f t="shared" si="65"/>
        <v>0</v>
      </c>
    </row>
    <row r="1015" spans="2:9" hidden="1" x14ac:dyDescent="0.25">
      <c r="B1015" s="25" t="s">
        <v>16</v>
      </c>
      <c r="C1015" s="25" t="s">
        <v>1622</v>
      </c>
      <c r="D1015" s="25">
        <v>0</v>
      </c>
      <c r="E1015" s="25" t="s">
        <v>1623</v>
      </c>
      <c r="F1015" s="26" t="str">
        <f t="shared" si="64"/>
        <v>VT810661</v>
      </c>
      <c r="G1015" s="26">
        <f t="shared" si="62"/>
        <v>0</v>
      </c>
      <c r="H1015" s="23" t="str">
        <f t="shared" si="63"/>
        <v>VI810661IO.Mode</v>
      </c>
      <c r="I1015" s="23">
        <f t="shared" si="65"/>
        <v>0</v>
      </c>
    </row>
    <row r="1016" spans="2:9" hidden="1" x14ac:dyDescent="0.25">
      <c r="B1016" s="25" t="s">
        <v>16</v>
      </c>
      <c r="C1016" s="25" t="s">
        <v>1624</v>
      </c>
      <c r="D1016" s="25">
        <v>0</v>
      </c>
      <c r="E1016" s="25" t="s">
        <v>1625</v>
      </c>
      <c r="F1016" s="26" t="str">
        <f t="shared" si="64"/>
        <v>VT810662</v>
      </c>
      <c r="G1016" s="26">
        <f t="shared" si="62"/>
        <v>0</v>
      </c>
      <c r="H1016" s="23" t="str">
        <f t="shared" si="63"/>
        <v>VI810662IO.Mode</v>
      </c>
      <c r="I1016" s="23">
        <f t="shared" si="65"/>
        <v>0</v>
      </c>
    </row>
    <row r="1017" spans="2:9" hidden="1" x14ac:dyDescent="0.25">
      <c r="B1017" s="25" t="s">
        <v>16</v>
      </c>
      <c r="C1017" s="25" t="s">
        <v>1626</v>
      </c>
      <c r="D1017" s="25">
        <v>0</v>
      </c>
      <c r="E1017" s="25" t="s">
        <v>1627</v>
      </c>
      <c r="F1017" s="26" t="str">
        <f t="shared" si="64"/>
        <v>VT820508</v>
      </c>
      <c r="G1017" s="26">
        <f t="shared" si="62"/>
        <v>0</v>
      </c>
      <c r="H1017" s="23" t="str">
        <f t="shared" si="63"/>
        <v>VI820508IO.Mode</v>
      </c>
      <c r="I1017" s="23">
        <f t="shared" si="65"/>
        <v>0</v>
      </c>
    </row>
    <row r="1018" spans="2:9" hidden="1" x14ac:dyDescent="0.25">
      <c r="B1018" s="25" t="s">
        <v>16</v>
      </c>
      <c r="C1018" s="25" t="s">
        <v>1628</v>
      </c>
      <c r="D1018" s="25">
        <v>0</v>
      </c>
      <c r="E1018" s="25" t="s">
        <v>1629</v>
      </c>
      <c r="F1018" s="26" t="str">
        <f t="shared" si="64"/>
        <v>VT820509</v>
      </c>
      <c r="G1018" s="26">
        <f t="shared" si="62"/>
        <v>0</v>
      </c>
      <c r="H1018" s="23" t="str">
        <f t="shared" si="63"/>
        <v>VI820509IO.Mode</v>
      </c>
      <c r="I1018" s="23">
        <f t="shared" si="65"/>
        <v>0</v>
      </c>
    </row>
    <row r="1019" spans="2:9" hidden="1" x14ac:dyDescent="0.25">
      <c r="B1019" s="25" t="s">
        <v>16</v>
      </c>
      <c r="C1019" s="25" t="s">
        <v>1630</v>
      </c>
      <c r="D1019" s="25">
        <v>0</v>
      </c>
      <c r="E1019" s="25" t="s">
        <v>1631</v>
      </c>
      <c r="F1019" s="26" t="str">
        <f t="shared" si="64"/>
        <v>VT820661</v>
      </c>
      <c r="G1019" s="26">
        <f t="shared" si="62"/>
        <v>0</v>
      </c>
      <c r="H1019" s="23" t="str">
        <f t="shared" si="63"/>
        <v>VI820661IO.Mode</v>
      </c>
      <c r="I1019" s="23">
        <f t="shared" si="65"/>
        <v>0</v>
      </c>
    </row>
    <row r="1020" spans="2:9" hidden="1" x14ac:dyDescent="0.25">
      <c r="B1020" s="25" t="s">
        <v>16</v>
      </c>
      <c r="C1020" s="25" t="s">
        <v>1632</v>
      </c>
      <c r="D1020" s="25">
        <v>0</v>
      </c>
      <c r="E1020" s="25" t="s">
        <v>1633</v>
      </c>
      <c r="F1020" s="26" t="str">
        <f t="shared" si="64"/>
        <v>VT820662</v>
      </c>
      <c r="G1020" s="26">
        <f t="shared" si="62"/>
        <v>0</v>
      </c>
      <c r="H1020" s="23" t="str">
        <f t="shared" si="63"/>
        <v>VI820662IO.Mode</v>
      </c>
      <c r="I1020" s="23">
        <f t="shared" si="65"/>
        <v>0</v>
      </c>
    </row>
    <row r="1021" spans="2:9" x14ac:dyDescent="0.25">
      <c r="B1021" s="25" t="s">
        <v>16</v>
      </c>
      <c r="C1021" s="25" t="s">
        <v>2024</v>
      </c>
      <c r="D1021" s="25">
        <v>0</v>
      </c>
      <c r="E1021" s="25" t="s">
        <v>2025</v>
      </c>
      <c r="F1021" s="26" t="str">
        <f t="shared" si="64"/>
        <v>VT830503</v>
      </c>
      <c r="G1021" s="26">
        <f t="shared" si="62"/>
        <v>2</v>
      </c>
      <c r="H1021" s="23" t="str">
        <f t="shared" si="63"/>
        <v>VI830503IO.Mode</v>
      </c>
      <c r="I1021" s="23">
        <f t="shared" si="65"/>
        <v>2</v>
      </c>
    </row>
    <row r="1022" spans="2:9" x14ac:dyDescent="0.25">
      <c r="B1022" s="25" t="s">
        <v>16</v>
      </c>
      <c r="C1022" s="25" t="s">
        <v>2026</v>
      </c>
      <c r="D1022" s="25">
        <v>0</v>
      </c>
      <c r="E1022" s="25" t="s">
        <v>2027</v>
      </c>
      <c r="F1022" s="26" t="str">
        <f t="shared" si="64"/>
        <v>VT830510</v>
      </c>
      <c r="G1022" s="26">
        <f t="shared" si="62"/>
        <v>2</v>
      </c>
      <c r="H1022" s="23" t="str">
        <f t="shared" si="63"/>
        <v>VI830510IO.Mode</v>
      </c>
      <c r="I1022" s="23">
        <f t="shared" si="65"/>
        <v>2</v>
      </c>
    </row>
    <row r="1023" spans="2:9" hidden="1" x14ac:dyDescent="0.25">
      <c r="B1023" s="25" t="s">
        <v>16</v>
      </c>
      <c r="C1023" s="25" t="s">
        <v>1634</v>
      </c>
      <c r="D1023" s="25">
        <v>0</v>
      </c>
      <c r="E1023" s="25" t="s">
        <v>1635</v>
      </c>
      <c r="F1023" s="26" t="str">
        <f t="shared" si="64"/>
        <v>VT830631</v>
      </c>
      <c r="G1023" s="26">
        <f t="shared" si="62"/>
        <v>0</v>
      </c>
      <c r="H1023" s="23" t="str">
        <f t="shared" si="63"/>
        <v>VI830631IO.Mode</v>
      </c>
      <c r="I1023" s="23">
        <f t="shared" si="65"/>
        <v>0</v>
      </c>
    </row>
    <row r="1024" spans="2:9" x14ac:dyDescent="0.25">
      <c r="B1024" s="25" t="s">
        <v>16</v>
      </c>
      <c r="C1024" s="25" t="s">
        <v>2028</v>
      </c>
      <c r="D1024" s="25">
        <v>0</v>
      </c>
      <c r="E1024" s="25" t="s">
        <v>2029</v>
      </c>
      <c r="F1024" s="26" t="str">
        <f t="shared" si="64"/>
        <v>VT830632</v>
      </c>
      <c r="G1024" s="26">
        <f t="shared" si="62"/>
        <v>2</v>
      </c>
      <c r="H1024" s="23" t="str">
        <f t="shared" si="63"/>
        <v>VI830632IO.Mode</v>
      </c>
      <c r="I1024" s="23">
        <f t="shared" si="65"/>
        <v>2</v>
      </c>
    </row>
    <row r="1025" spans="2:9" hidden="1" x14ac:dyDescent="0.25">
      <c r="B1025" s="25" t="s">
        <v>16</v>
      </c>
      <c r="C1025" s="25" t="s">
        <v>1636</v>
      </c>
      <c r="D1025" s="25">
        <v>0</v>
      </c>
      <c r="E1025" s="25" t="s">
        <v>1637</v>
      </c>
      <c r="F1025" s="26" t="str">
        <f t="shared" si="64"/>
        <v>VT830644</v>
      </c>
      <c r="G1025" s="26">
        <f t="shared" si="62"/>
        <v>0</v>
      </c>
      <c r="H1025" s="23" t="str">
        <f t="shared" si="63"/>
        <v>VI830644IO.Mode</v>
      </c>
      <c r="I1025" s="23">
        <f t="shared" si="65"/>
        <v>0</v>
      </c>
    </row>
    <row r="1026" spans="2:9" x14ac:dyDescent="0.25">
      <c r="B1026" s="25" t="s">
        <v>16</v>
      </c>
      <c r="C1026" s="25" t="s">
        <v>2030</v>
      </c>
      <c r="D1026" s="25">
        <v>0</v>
      </c>
      <c r="E1026" s="25" t="s">
        <v>2031</v>
      </c>
      <c r="F1026" s="26" t="str">
        <f t="shared" si="64"/>
        <v>VT830861</v>
      </c>
      <c r="G1026" s="26">
        <f t="shared" ref="G1026:G1089" si="66">+IFERROR(IF(VLOOKUP(F1026,DI,2,FALSE)="IO",2,0),"N/A")</f>
        <v>2</v>
      </c>
      <c r="H1026" s="23" t="str">
        <f t="shared" si="63"/>
        <v>VI830861IO.Mode</v>
      </c>
      <c r="I1026" s="23">
        <f t="shared" si="65"/>
        <v>2</v>
      </c>
    </row>
    <row r="1027" spans="2:9" x14ac:dyDescent="0.25">
      <c r="B1027" s="25" t="s">
        <v>16</v>
      </c>
      <c r="C1027" s="25" t="s">
        <v>2032</v>
      </c>
      <c r="D1027" s="25">
        <v>0</v>
      </c>
      <c r="E1027" s="25" t="s">
        <v>2033</v>
      </c>
      <c r="F1027" s="26" t="str">
        <f t="shared" si="64"/>
        <v>VT830862</v>
      </c>
      <c r="G1027" s="26">
        <f t="shared" si="66"/>
        <v>2</v>
      </c>
      <c r="H1027" s="23" t="str">
        <f t="shared" si="63"/>
        <v>VI830862IO.Mode</v>
      </c>
      <c r="I1027" s="23">
        <f t="shared" si="65"/>
        <v>2</v>
      </c>
    </row>
    <row r="1028" spans="2:9" x14ac:dyDescent="0.25">
      <c r="B1028" s="25" t="s">
        <v>16</v>
      </c>
      <c r="C1028" s="25" t="s">
        <v>2034</v>
      </c>
      <c r="D1028" s="25">
        <v>0</v>
      </c>
      <c r="E1028" s="25" t="s">
        <v>2035</v>
      </c>
      <c r="F1028" s="26" t="str">
        <f t="shared" si="64"/>
        <v>XT899009</v>
      </c>
      <c r="G1028" s="26">
        <f t="shared" si="66"/>
        <v>2</v>
      </c>
      <c r="H1028" s="23" t="str">
        <f t="shared" si="63"/>
        <v>XI899009IO.Mode</v>
      </c>
      <c r="I1028" s="23">
        <f t="shared" si="65"/>
        <v>2</v>
      </c>
    </row>
    <row r="1029" spans="2:9" x14ac:dyDescent="0.25">
      <c r="B1029" s="25" t="s">
        <v>3834</v>
      </c>
      <c r="C1029" s="25" t="s">
        <v>3835</v>
      </c>
      <c r="D1029" s="25">
        <v>0</v>
      </c>
      <c r="E1029" s="25" t="s">
        <v>3836</v>
      </c>
      <c r="F1029" s="26" t="str">
        <f t="shared" ref="F1029:F1060" si="67">+LEFT(E1029,FIND(".",E1029,1)-1)</f>
        <v>AS821420A</v>
      </c>
      <c r="G1029" s="26">
        <f t="shared" si="66"/>
        <v>2</v>
      </c>
      <c r="H1029" s="27" t="str">
        <f t="shared" ref="H1029:H1060" si="68">+CONCATENATE(C1029,".Mode")</f>
        <v>AA821420AIO.Mode</v>
      </c>
      <c r="I1029" s="23">
        <f t="shared" ref="I1029:I1060" si="69">+G1029</f>
        <v>2</v>
      </c>
    </row>
    <row r="1030" spans="2:9" x14ac:dyDescent="0.25">
      <c r="B1030" s="25" t="s">
        <v>3834</v>
      </c>
      <c r="C1030" s="25" t="s">
        <v>3837</v>
      </c>
      <c r="D1030" s="25">
        <v>0</v>
      </c>
      <c r="E1030" s="25" t="s">
        <v>3838</v>
      </c>
      <c r="F1030" s="26" t="str">
        <f t="shared" si="67"/>
        <v>AS821420B</v>
      </c>
      <c r="G1030" s="26">
        <f t="shared" si="66"/>
        <v>2</v>
      </c>
      <c r="H1030" s="27" t="str">
        <f t="shared" si="68"/>
        <v>AA821420BIO.Mode</v>
      </c>
      <c r="I1030" s="23">
        <f t="shared" si="69"/>
        <v>2</v>
      </c>
    </row>
    <row r="1031" spans="2:9" x14ac:dyDescent="0.25">
      <c r="B1031" s="25" t="s">
        <v>3834</v>
      </c>
      <c r="C1031" s="25" t="s">
        <v>3839</v>
      </c>
      <c r="D1031" s="25">
        <v>0</v>
      </c>
      <c r="E1031" s="25" t="s">
        <v>3840</v>
      </c>
      <c r="F1031" s="26" t="str">
        <f t="shared" si="67"/>
        <v>AI821519A</v>
      </c>
      <c r="G1031" s="26">
        <f t="shared" si="66"/>
        <v>2</v>
      </c>
      <c r="H1031" s="27" t="str">
        <f t="shared" si="68"/>
        <v>AA821519AIO.Mode</v>
      </c>
      <c r="I1031" s="23">
        <f t="shared" si="69"/>
        <v>2</v>
      </c>
    </row>
    <row r="1032" spans="2:9" hidden="1" x14ac:dyDescent="0.25">
      <c r="B1032" s="25" t="s">
        <v>3834</v>
      </c>
      <c r="C1032" s="25" t="s">
        <v>3841</v>
      </c>
      <c r="D1032" s="25">
        <v>2</v>
      </c>
      <c r="E1032" s="25" t="s">
        <v>3842</v>
      </c>
      <c r="F1032" s="26" t="str">
        <f t="shared" si="67"/>
        <v>AA821519B</v>
      </c>
      <c r="G1032" s="26">
        <f t="shared" si="66"/>
        <v>0</v>
      </c>
      <c r="H1032" s="27" t="str">
        <f t="shared" si="68"/>
        <v>AA821519BIO.Mode</v>
      </c>
      <c r="I1032" s="23">
        <f t="shared" si="69"/>
        <v>0</v>
      </c>
    </row>
    <row r="1033" spans="2:9" x14ac:dyDescent="0.25">
      <c r="B1033" s="25" t="s">
        <v>3834</v>
      </c>
      <c r="C1033" s="25" t="s">
        <v>3843</v>
      </c>
      <c r="D1033" s="25">
        <v>2</v>
      </c>
      <c r="E1033" s="25" t="s">
        <v>3844</v>
      </c>
      <c r="F1033" s="26" t="str">
        <f t="shared" si="67"/>
        <v>AA830613</v>
      </c>
      <c r="G1033" s="26">
        <f t="shared" si="66"/>
        <v>2</v>
      </c>
      <c r="H1033" s="27" t="str">
        <f t="shared" si="68"/>
        <v>AA830613IO.Mode</v>
      </c>
      <c r="I1033" s="23">
        <f t="shared" si="69"/>
        <v>2</v>
      </c>
    </row>
    <row r="1034" spans="2:9" x14ac:dyDescent="0.25">
      <c r="B1034" s="25" t="s">
        <v>3834</v>
      </c>
      <c r="C1034" s="25" t="s">
        <v>3845</v>
      </c>
      <c r="D1034" s="25">
        <v>0</v>
      </c>
      <c r="E1034" s="25" t="s">
        <v>3846</v>
      </c>
      <c r="F1034" s="26" t="str">
        <f t="shared" si="67"/>
        <v>AS850128</v>
      </c>
      <c r="G1034" s="26">
        <f t="shared" si="66"/>
        <v>2</v>
      </c>
      <c r="H1034" s="27" t="str">
        <f t="shared" si="68"/>
        <v>AA850128IO.Mode</v>
      </c>
      <c r="I1034" s="23">
        <f t="shared" si="69"/>
        <v>2</v>
      </c>
    </row>
    <row r="1035" spans="2:9" x14ac:dyDescent="0.25">
      <c r="B1035" s="25" t="s">
        <v>3834</v>
      </c>
      <c r="C1035" s="25" t="s">
        <v>3847</v>
      </c>
      <c r="D1035" s="25">
        <v>0</v>
      </c>
      <c r="E1035" s="25" t="s">
        <v>3848</v>
      </c>
      <c r="F1035" s="26" t="str">
        <f t="shared" si="67"/>
        <v>AS856016A</v>
      </c>
      <c r="G1035" s="26">
        <f t="shared" si="66"/>
        <v>2</v>
      </c>
      <c r="H1035" s="27" t="str">
        <f t="shared" si="68"/>
        <v>AA856016AIO.Mode</v>
      </c>
      <c r="I1035" s="23">
        <f t="shared" si="69"/>
        <v>2</v>
      </c>
    </row>
    <row r="1036" spans="2:9" x14ac:dyDescent="0.25">
      <c r="B1036" s="25" t="s">
        <v>3834</v>
      </c>
      <c r="C1036" s="25" t="s">
        <v>3849</v>
      </c>
      <c r="D1036" s="25">
        <v>0</v>
      </c>
      <c r="E1036" s="25" t="s">
        <v>3850</v>
      </c>
      <c r="F1036" s="26" t="str">
        <f t="shared" si="67"/>
        <v>AS856016B</v>
      </c>
      <c r="G1036" s="26">
        <f t="shared" si="66"/>
        <v>2</v>
      </c>
      <c r="H1036" s="27" t="str">
        <f t="shared" si="68"/>
        <v>AA856016BIO.Mode</v>
      </c>
      <c r="I1036" s="23">
        <f t="shared" si="69"/>
        <v>2</v>
      </c>
    </row>
    <row r="1037" spans="2:9" x14ac:dyDescent="0.25">
      <c r="B1037" s="25" t="s">
        <v>3834</v>
      </c>
      <c r="C1037" s="25" t="s">
        <v>3851</v>
      </c>
      <c r="D1037" s="25">
        <v>0</v>
      </c>
      <c r="E1037" s="25" t="s">
        <v>3852</v>
      </c>
      <c r="F1037" s="26" t="str">
        <f t="shared" si="67"/>
        <v>AS856016C</v>
      </c>
      <c r="G1037" s="26">
        <f t="shared" si="66"/>
        <v>2</v>
      </c>
      <c r="H1037" s="27" t="str">
        <f t="shared" si="68"/>
        <v>AA856016CIO.Mode</v>
      </c>
      <c r="I1037" s="23">
        <f t="shared" si="69"/>
        <v>2</v>
      </c>
    </row>
    <row r="1038" spans="2:9" x14ac:dyDescent="0.25">
      <c r="B1038" s="25" t="s">
        <v>3834</v>
      </c>
      <c r="C1038" s="25" t="s">
        <v>3853</v>
      </c>
      <c r="D1038" s="25">
        <v>0</v>
      </c>
      <c r="E1038" s="25" t="s">
        <v>3854</v>
      </c>
      <c r="F1038" s="26" t="str">
        <f t="shared" si="67"/>
        <v>AA881201A</v>
      </c>
      <c r="G1038" s="26">
        <f t="shared" si="66"/>
        <v>2</v>
      </c>
      <c r="H1038" s="27" t="str">
        <f t="shared" si="68"/>
        <v>AA881201AIO.Mode</v>
      </c>
      <c r="I1038" s="23">
        <f t="shared" si="69"/>
        <v>2</v>
      </c>
    </row>
    <row r="1039" spans="2:9" x14ac:dyDescent="0.25">
      <c r="B1039" s="25" t="s">
        <v>3834</v>
      </c>
      <c r="C1039" s="25" t="s">
        <v>3855</v>
      </c>
      <c r="D1039" s="25">
        <v>0</v>
      </c>
      <c r="E1039" s="25" t="s">
        <v>3856</v>
      </c>
      <c r="F1039" s="26" t="str">
        <f t="shared" si="67"/>
        <v>AA881201B</v>
      </c>
      <c r="G1039" s="26">
        <f t="shared" si="66"/>
        <v>2</v>
      </c>
      <c r="H1039" s="27" t="str">
        <f t="shared" si="68"/>
        <v>AA881201BIO.Mode</v>
      </c>
      <c r="I1039" s="23">
        <f t="shared" si="69"/>
        <v>2</v>
      </c>
    </row>
    <row r="1040" spans="2:9" x14ac:dyDescent="0.25">
      <c r="B1040" s="25" t="s">
        <v>3834</v>
      </c>
      <c r="C1040" s="25" t="s">
        <v>3857</v>
      </c>
      <c r="D1040" s="25">
        <v>0</v>
      </c>
      <c r="E1040" s="25" t="s">
        <v>3858</v>
      </c>
      <c r="F1040" s="26" t="str">
        <f t="shared" si="67"/>
        <v>AA881301A</v>
      </c>
      <c r="G1040" s="26">
        <f t="shared" si="66"/>
        <v>2</v>
      </c>
      <c r="H1040" s="27" t="str">
        <f t="shared" si="68"/>
        <v>AA881301AIO.Mode</v>
      </c>
      <c r="I1040" s="23">
        <f t="shared" si="69"/>
        <v>2</v>
      </c>
    </row>
    <row r="1041" spans="2:9" x14ac:dyDescent="0.25">
      <c r="B1041" s="25" t="s">
        <v>3834</v>
      </c>
      <c r="C1041" s="25" t="s">
        <v>3859</v>
      </c>
      <c r="D1041" s="25">
        <v>0</v>
      </c>
      <c r="E1041" s="25" t="s">
        <v>3860</v>
      </c>
      <c r="F1041" s="26" t="str">
        <f t="shared" si="67"/>
        <v>AA881301B</v>
      </c>
      <c r="G1041" s="26">
        <f t="shared" si="66"/>
        <v>2</v>
      </c>
      <c r="H1041" s="27" t="str">
        <f t="shared" si="68"/>
        <v>AA881301BIO.Mode</v>
      </c>
      <c r="I1041" s="23">
        <f t="shared" si="69"/>
        <v>2</v>
      </c>
    </row>
    <row r="1042" spans="2:9" x14ac:dyDescent="0.25">
      <c r="B1042" s="25" t="s">
        <v>3834</v>
      </c>
      <c r="C1042" s="25" t="s">
        <v>3861</v>
      </c>
      <c r="D1042" s="25">
        <v>0</v>
      </c>
      <c r="E1042" s="25" t="s">
        <v>3862</v>
      </c>
      <c r="F1042" s="26" t="str">
        <f t="shared" si="67"/>
        <v>AS830613</v>
      </c>
      <c r="G1042" s="26">
        <f t="shared" si="66"/>
        <v>2</v>
      </c>
      <c r="H1042" s="27" t="str">
        <f t="shared" si="68"/>
        <v>AS830613IO.Mode</v>
      </c>
      <c r="I1042" s="23">
        <f t="shared" si="69"/>
        <v>2</v>
      </c>
    </row>
    <row r="1043" spans="2:9" x14ac:dyDescent="0.25">
      <c r="B1043" s="25" t="s">
        <v>3834</v>
      </c>
      <c r="C1043" s="25" t="s">
        <v>3863</v>
      </c>
      <c r="D1043" s="25">
        <v>0</v>
      </c>
      <c r="E1043" s="25" t="s">
        <v>3864</v>
      </c>
      <c r="F1043" s="26" t="str">
        <f t="shared" si="67"/>
        <v>ES897933</v>
      </c>
      <c r="G1043" s="26">
        <f t="shared" si="66"/>
        <v>2</v>
      </c>
      <c r="H1043" s="27" t="str">
        <f t="shared" si="68"/>
        <v>EA897933IO.Mode</v>
      </c>
      <c r="I1043" s="23">
        <f t="shared" si="69"/>
        <v>2</v>
      </c>
    </row>
    <row r="1044" spans="2:9" x14ac:dyDescent="0.25">
      <c r="B1044" s="25" t="s">
        <v>3834</v>
      </c>
      <c r="C1044" s="25" t="s">
        <v>3865</v>
      </c>
      <c r="D1044" s="25">
        <v>0</v>
      </c>
      <c r="E1044" s="25" t="s">
        <v>3866</v>
      </c>
      <c r="F1044" s="26" t="str">
        <f t="shared" si="67"/>
        <v>ES897940</v>
      </c>
      <c r="G1044" s="26">
        <f t="shared" si="66"/>
        <v>2</v>
      </c>
      <c r="H1044" s="27" t="str">
        <f t="shared" si="68"/>
        <v>EA897940IO.Mode</v>
      </c>
      <c r="I1044" s="23">
        <f t="shared" si="69"/>
        <v>2</v>
      </c>
    </row>
    <row r="1045" spans="2:9" x14ac:dyDescent="0.25">
      <c r="B1045" s="25" t="s">
        <v>3834</v>
      </c>
      <c r="C1045" s="25" t="s">
        <v>3867</v>
      </c>
      <c r="D1045" s="25">
        <v>0</v>
      </c>
      <c r="E1045" s="25" t="s">
        <v>3868</v>
      </c>
      <c r="F1045" s="26" t="str">
        <f t="shared" si="67"/>
        <v>ES897972</v>
      </c>
      <c r="G1045" s="26">
        <f t="shared" si="66"/>
        <v>2</v>
      </c>
      <c r="H1045" s="27" t="str">
        <f t="shared" si="68"/>
        <v>EA897972IO.Mode</v>
      </c>
      <c r="I1045" s="23">
        <f t="shared" si="69"/>
        <v>2</v>
      </c>
    </row>
    <row r="1046" spans="2:9" x14ac:dyDescent="0.25">
      <c r="B1046" s="25" t="s">
        <v>3834</v>
      </c>
      <c r="C1046" s="25" t="s">
        <v>3869</v>
      </c>
      <c r="D1046" s="25">
        <v>0</v>
      </c>
      <c r="E1046" s="25" t="s">
        <v>3870</v>
      </c>
      <c r="F1046" s="26" t="str">
        <f t="shared" si="67"/>
        <v>ES897977</v>
      </c>
      <c r="G1046" s="26">
        <f t="shared" si="66"/>
        <v>2</v>
      </c>
      <c r="H1046" s="27" t="str">
        <f t="shared" si="68"/>
        <v>EA897977IO.Mode</v>
      </c>
      <c r="I1046" s="23">
        <f t="shared" si="69"/>
        <v>2</v>
      </c>
    </row>
    <row r="1047" spans="2:9" x14ac:dyDescent="0.25">
      <c r="B1047" s="25" t="s">
        <v>3834</v>
      </c>
      <c r="C1047" s="25" t="s">
        <v>3871</v>
      </c>
      <c r="D1047" s="25">
        <v>2</v>
      </c>
      <c r="E1047" s="25" t="s">
        <v>3872</v>
      </c>
      <c r="F1047" s="26" t="str">
        <f t="shared" si="67"/>
        <v>EHS810509A</v>
      </c>
      <c r="G1047" s="26">
        <f t="shared" si="66"/>
        <v>2</v>
      </c>
      <c r="H1047" s="27" t="str">
        <f t="shared" si="68"/>
        <v>EHS810509A_1oo2IO_MB1.Mode</v>
      </c>
      <c r="I1047" s="23">
        <f t="shared" si="69"/>
        <v>2</v>
      </c>
    </row>
    <row r="1048" spans="2:9" x14ac:dyDescent="0.25">
      <c r="B1048" s="25" t="s">
        <v>3834</v>
      </c>
      <c r="C1048" s="25" t="s">
        <v>3873</v>
      </c>
      <c r="D1048" s="25">
        <v>2</v>
      </c>
      <c r="E1048" s="25" t="s">
        <v>3874</v>
      </c>
      <c r="F1048" s="26" t="str">
        <f t="shared" si="67"/>
        <v>EHS810509B</v>
      </c>
      <c r="G1048" s="26">
        <f t="shared" si="66"/>
        <v>2</v>
      </c>
      <c r="H1048" s="27" t="str">
        <f t="shared" si="68"/>
        <v>EHS810509A_1oo2IO_MB2.Mode</v>
      </c>
      <c r="I1048" s="23">
        <f t="shared" si="69"/>
        <v>2</v>
      </c>
    </row>
    <row r="1049" spans="2:9" x14ac:dyDescent="0.25">
      <c r="B1049" s="25" t="s">
        <v>3834</v>
      </c>
      <c r="C1049" s="25" t="s">
        <v>3875</v>
      </c>
      <c r="D1049" s="25">
        <v>2</v>
      </c>
      <c r="E1049" s="25" t="s">
        <v>3872</v>
      </c>
      <c r="F1049" s="26" t="str">
        <f t="shared" si="67"/>
        <v>EHS810509A</v>
      </c>
      <c r="G1049" s="26">
        <f t="shared" si="66"/>
        <v>2</v>
      </c>
      <c r="H1049" s="27" t="str">
        <f t="shared" si="68"/>
        <v>EHS810509AIO.Mode</v>
      </c>
      <c r="I1049" s="23">
        <f t="shared" si="69"/>
        <v>2</v>
      </c>
    </row>
    <row r="1050" spans="2:9" x14ac:dyDescent="0.25">
      <c r="B1050" s="25" t="s">
        <v>3834</v>
      </c>
      <c r="C1050" s="25" t="s">
        <v>3876</v>
      </c>
      <c r="D1050" s="25">
        <v>2</v>
      </c>
      <c r="E1050" s="25" t="s">
        <v>3874</v>
      </c>
      <c r="F1050" s="26" t="str">
        <f t="shared" si="67"/>
        <v>EHS810509B</v>
      </c>
      <c r="G1050" s="26">
        <f t="shared" si="66"/>
        <v>2</v>
      </c>
      <c r="H1050" s="27" t="str">
        <f t="shared" si="68"/>
        <v>EHS810509BIO.Mode</v>
      </c>
      <c r="I1050" s="23">
        <f t="shared" si="69"/>
        <v>2</v>
      </c>
    </row>
    <row r="1051" spans="2:9" x14ac:dyDescent="0.25">
      <c r="B1051" s="25" t="s">
        <v>3834</v>
      </c>
      <c r="C1051" s="25" t="s">
        <v>3877</v>
      </c>
      <c r="D1051" s="25">
        <v>0</v>
      </c>
      <c r="E1051" s="25" t="s">
        <v>3878</v>
      </c>
      <c r="F1051" s="26" t="str">
        <f t="shared" si="67"/>
        <v>EHS820509A</v>
      </c>
      <c r="G1051" s="26">
        <f t="shared" si="66"/>
        <v>2</v>
      </c>
      <c r="H1051" s="27" t="str">
        <f t="shared" si="68"/>
        <v>EHS820509A_1oo2IO_MB1.Mode</v>
      </c>
      <c r="I1051" s="23">
        <f t="shared" si="69"/>
        <v>2</v>
      </c>
    </row>
    <row r="1052" spans="2:9" x14ac:dyDescent="0.25">
      <c r="B1052" s="25" t="s">
        <v>3834</v>
      </c>
      <c r="C1052" s="25" t="s">
        <v>3879</v>
      </c>
      <c r="D1052" s="25">
        <v>0</v>
      </c>
      <c r="E1052" s="25" t="s">
        <v>3878</v>
      </c>
      <c r="F1052" s="26" t="str">
        <f t="shared" si="67"/>
        <v>EHS820509A</v>
      </c>
      <c r="G1052" s="26">
        <f t="shared" si="66"/>
        <v>2</v>
      </c>
      <c r="H1052" s="27" t="str">
        <f t="shared" si="68"/>
        <v>EHS820509A_1oo2IO_MB2.Mode</v>
      </c>
      <c r="I1052" s="23">
        <f t="shared" si="69"/>
        <v>2</v>
      </c>
    </row>
    <row r="1053" spans="2:9" x14ac:dyDescent="0.25">
      <c r="B1053" s="25" t="s">
        <v>3834</v>
      </c>
      <c r="C1053" s="25" t="s">
        <v>3880</v>
      </c>
      <c r="D1053" s="25">
        <v>2</v>
      </c>
      <c r="E1053" s="25" t="s">
        <v>3878</v>
      </c>
      <c r="F1053" s="26" t="str">
        <f t="shared" si="67"/>
        <v>EHS820509A</v>
      </c>
      <c r="G1053" s="26">
        <f t="shared" si="66"/>
        <v>2</v>
      </c>
      <c r="H1053" s="27" t="str">
        <f t="shared" si="68"/>
        <v>EHS820509AIO.Mode</v>
      </c>
      <c r="I1053" s="23">
        <f t="shared" si="69"/>
        <v>2</v>
      </c>
    </row>
    <row r="1054" spans="2:9" x14ac:dyDescent="0.25">
      <c r="B1054" s="25" t="s">
        <v>3834</v>
      </c>
      <c r="C1054" s="25" t="s">
        <v>3881</v>
      </c>
      <c r="D1054" s="25">
        <v>2</v>
      </c>
      <c r="E1054" s="25" t="s">
        <v>3882</v>
      </c>
      <c r="F1054" s="26" t="str">
        <f t="shared" si="67"/>
        <v>EHS820509B</v>
      </c>
      <c r="G1054" s="26">
        <f t="shared" si="66"/>
        <v>2</v>
      </c>
      <c r="H1054" s="27" t="str">
        <f t="shared" si="68"/>
        <v>EHS820509BIO.Mode</v>
      </c>
      <c r="I1054" s="23">
        <f t="shared" si="69"/>
        <v>2</v>
      </c>
    </row>
    <row r="1055" spans="2:9" x14ac:dyDescent="0.25">
      <c r="B1055" s="25" t="s">
        <v>3834</v>
      </c>
      <c r="C1055" s="25" t="s">
        <v>3883</v>
      </c>
      <c r="D1055" s="25">
        <v>0</v>
      </c>
      <c r="E1055" s="25" t="s">
        <v>3884</v>
      </c>
      <c r="F1055" s="26" t="str">
        <f t="shared" si="67"/>
        <v>EHS830616A</v>
      </c>
      <c r="G1055" s="26">
        <f t="shared" si="66"/>
        <v>2</v>
      </c>
      <c r="H1055" s="27" t="str">
        <f t="shared" si="68"/>
        <v>EHS830616A_1oo2IO_MB1.Mode</v>
      </c>
      <c r="I1055" s="23">
        <f t="shared" si="69"/>
        <v>2</v>
      </c>
    </row>
    <row r="1056" spans="2:9" x14ac:dyDescent="0.25">
      <c r="B1056" s="25" t="s">
        <v>3834</v>
      </c>
      <c r="C1056" s="25" t="s">
        <v>3885</v>
      </c>
      <c r="D1056" s="25">
        <v>0</v>
      </c>
      <c r="E1056" s="25" t="s">
        <v>3886</v>
      </c>
      <c r="F1056" s="26" t="str">
        <f t="shared" si="67"/>
        <v>EHS830616B</v>
      </c>
      <c r="G1056" s="26">
        <f t="shared" si="66"/>
        <v>2</v>
      </c>
      <c r="H1056" s="27" t="str">
        <f t="shared" si="68"/>
        <v>EHS830616A_1oo2IO_MB2.Mode</v>
      </c>
      <c r="I1056" s="23">
        <f t="shared" si="69"/>
        <v>2</v>
      </c>
    </row>
    <row r="1057" spans="2:9" x14ac:dyDescent="0.25">
      <c r="B1057" s="25" t="s">
        <v>3834</v>
      </c>
      <c r="C1057" s="25" t="s">
        <v>3887</v>
      </c>
      <c r="D1057" s="25">
        <v>2</v>
      </c>
      <c r="E1057" s="25" t="s">
        <v>3884</v>
      </c>
      <c r="F1057" s="26" t="str">
        <f t="shared" si="67"/>
        <v>EHS830616A</v>
      </c>
      <c r="G1057" s="26">
        <f t="shared" si="66"/>
        <v>2</v>
      </c>
      <c r="H1057" s="27" t="str">
        <f t="shared" si="68"/>
        <v>EHS830616AIO.Mode</v>
      </c>
      <c r="I1057" s="23">
        <f t="shared" si="69"/>
        <v>2</v>
      </c>
    </row>
    <row r="1058" spans="2:9" x14ac:dyDescent="0.25">
      <c r="B1058" s="25" t="s">
        <v>3834</v>
      </c>
      <c r="C1058" s="25" t="s">
        <v>3888</v>
      </c>
      <c r="D1058" s="25">
        <v>0</v>
      </c>
      <c r="E1058" s="25" t="s">
        <v>3886</v>
      </c>
      <c r="F1058" s="26" t="str">
        <f t="shared" si="67"/>
        <v>EHS830616B</v>
      </c>
      <c r="G1058" s="26">
        <f t="shared" si="66"/>
        <v>2</v>
      </c>
      <c r="H1058" s="27" t="str">
        <f t="shared" si="68"/>
        <v>EHS830616BIO.Mode</v>
      </c>
      <c r="I1058" s="23">
        <f t="shared" si="69"/>
        <v>2</v>
      </c>
    </row>
    <row r="1059" spans="2:9" hidden="1" x14ac:dyDescent="0.25">
      <c r="B1059" s="25" t="s">
        <v>3834</v>
      </c>
      <c r="C1059" s="25" t="s">
        <v>3889</v>
      </c>
      <c r="D1059" s="25">
        <v>0</v>
      </c>
      <c r="E1059" s="25" t="s">
        <v>3890</v>
      </c>
      <c r="F1059" s="26" t="str">
        <f t="shared" si="67"/>
        <v>ES800001</v>
      </c>
      <c r="G1059" s="26">
        <f t="shared" si="66"/>
        <v>0</v>
      </c>
      <c r="H1059" s="27" t="str">
        <f t="shared" si="68"/>
        <v>ES800001IO.Mode</v>
      </c>
      <c r="I1059" s="23">
        <f t="shared" si="69"/>
        <v>0</v>
      </c>
    </row>
    <row r="1060" spans="2:9" hidden="1" x14ac:dyDescent="0.25">
      <c r="B1060" s="25" t="s">
        <v>3834</v>
      </c>
      <c r="C1060" s="25" t="s">
        <v>3891</v>
      </c>
      <c r="D1060" s="25">
        <v>0</v>
      </c>
      <c r="E1060" s="25" t="s">
        <v>3892</v>
      </c>
      <c r="F1060" s="26" t="str">
        <f t="shared" si="67"/>
        <v>ES800101</v>
      </c>
      <c r="G1060" s="26">
        <f t="shared" si="66"/>
        <v>0</v>
      </c>
      <c r="H1060" s="27" t="str">
        <f t="shared" si="68"/>
        <v>ES800101IO.Mode</v>
      </c>
      <c r="I1060" s="23">
        <f t="shared" si="69"/>
        <v>0</v>
      </c>
    </row>
    <row r="1061" spans="2:9" hidden="1" x14ac:dyDescent="0.25">
      <c r="B1061" s="25" t="s">
        <v>3834</v>
      </c>
      <c r="C1061" s="25" t="s">
        <v>3893</v>
      </c>
      <c r="D1061" s="25">
        <v>0</v>
      </c>
      <c r="E1061" s="25" t="s">
        <v>3894</v>
      </c>
      <c r="F1061" s="26" t="str">
        <f t="shared" ref="F1061:F1124" si="70">+LEFT(E1061,FIND(".",E1061,1)-1)</f>
        <v>ES803402</v>
      </c>
      <c r="G1061" s="26">
        <f t="shared" si="66"/>
        <v>0</v>
      </c>
      <c r="H1061" s="27" t="str">
        <f t="shared" ref="H1061:H1092" si="71">+CONCATENATE(C1061,".Mode")</f>
        <v>ES803402IO.Mode</v>
      </c>
      <c r="I1061" s="23">
        <f t="shared" ref="I1061:I1092" si="72">+G1061</f>
        <v>0</v>
      </c>
    </row>
    <row r="1062" spans="2:9" hidden="1" x14ac:dyDescent="0.25">
      <c r="B1062" s="25" t="s">
        <v>3834</v>
      </c>
      <c r="C1062" s="25" t="s">
        <v>3895</v>
      </c>
      <c r="D1062" s="25">
        <v>0</v>
      </c>
      <c r="E1062" s="25" t="s">
        <v>3896</v>
      </c>
      <c r="F1062" s="26" t="str">
        <f t="shared" si="70"/>
        <v>ES803405</v>
      </c>
      <c r="G1062" s="26">
        <f t="shared" si="66"/>
        <v>0</v>
      </c>
      <c r="H1062" s="27" t="str">
        <f t="shared" si="71"/>
        <v>ES803405IO.Mode</v>
      </c>
      <c r="I1062" s="23">
        <f t="shared" si="72"/>
        <v>0</v>
      </c>
    </row>
    <row r="1063" spans="2:9" hidden="1" x14ac:dyDescent="0.25">
      <c r="B1063" s="25" t="s">
        <v>3834</v>
      </c>
      <c r="C1063" s="25" t="s">
        <v>3897</v>
      </c>
      <c r="D1063" s="25">
        <v>0</v>
      </c>
      <c r="E1063" s="25" t="s">
        <v>3898</v>
      </c>
      <c r="F1063" s="26" t="str">
        <f t="shared" si="70"/>
        <v>ES803408</v>
      </c>
      <c r="G1063" s="26">
        <f t="shared" si="66"/>
        <v>0</v>
      </c>
      <c r="H1063" s="27" t="str">
        <f t="shared" si="71"/>
        <v>ES803408IO.Mode</v>
      </c>
      <c r="I1063" s="23">
        <f t="shared" si="72"/>
        <v>0</v>
      </c>
    </row>
    <row r="1064" spans="2:9" hidden="1" x14ac:dyDescent="0.25">
      <c r="B1064" s="25" t="s">
        <v>3834</v>
      </c>
      <c r="C1064" s="25" t="s">
        <v>3899</v>
      </c>
      <c r="D1064" s="25">
        <v>0</v>
      </c>
      <c r="E1064" s="25" t="s">
        <v>3900</v>
      </c>
      <c r="F1064" s="26" t="str">
        <f t="shared" si="70"/>
        <v>ES803502</v>
      </c>
      <c r="G1064" s="26">
        <f t="shared" si="66"/>
        <v>0</v>
      </c>
      <c r="H1064" s="27" t="str">
        <f t="shared" si="71"/>
        <v>ES803502IO.Mode</v>
      </c>
      <c r="I1064" s="23">
        <f t="shared" si="72"/>
        <v>0</v>
      </c>
    </row>
    <row r="1065" spans="2:9" hidden="1" x14ac:dyDescent="0.25">
      <c r="B1065" s="25" t="s">
        <v>3834</v>
      </c>
      <c r="C1065" s="25" t="s">
        <v>3901</v>
      </c>
      <c r="D1065" s="25">
        <v>0</v>
      </c>
      <c r="E1065" s="25" t="s">
        <v>3902</v>
      </c>
      <c r="F1065" s="26" t="str">
        <f t="shared" si="70"/>
        <v>ES803512</v>
      </c>
      <c r="G1065" s="26">
        <f t="shared" si="66"/>
        <v>0</v>
      </c>
      <c r="H1065" s="27" t="str">
        <f t="shared" si="71"/>
        <v>ES803512IO.Mode</v>
      </c>
      <c r="I1065" s="23">
        <f t="shared" si="72"/>
        <v>0</v>
      </c>
    </row>
    <row r="1066" spans="2:9" hidden="1" x14ac:dyDescent="0.25">
      <c r="B1066" s="25" t="s">
        <v>3834</v>
      </c>
      <c r="C1066" s="25" t="s">
        <v>3903</v>
      </c>
      <c r="D1066" s="25">
        <v>0</v>
      </c>
      <c r="E1066" s="25" t="s">
        <v>3902</v>
      </c>
      <c r="F1066" s="26" t="str">
        <f t="shared" si="70"/>
        <v>ES803512</v>
      </c>
      <c r="G1066" s="26">
        <f t="shared" si="66"/>
        <v>0</v>
      </c>
      <c r="H1066" s="27" t="str">
        <f t="shared" si="71"/>
        <v>ES803512IO1.Mode</v>
      </c>
      <c r="I1066" s="23">
        <f t="shared" si="72"/>
        <v>0</v>
      </c>
    </row>
    <row r="1067" spans="2:9" hidden="1" x14ac:dyDescent="0.25">
      <c r="B1067" s="25" t="s">
        <v>3834</v>
      </c>
      <c r="C1067" s="25" t="s">
        <v>3904</v>
      </c>
      <c r="D1067" s="25">
        <v>0</v>
      </c>
      <c r="E1067" s="25" t="s">
        <v>3894</v>
      </c>
      <c r="F1067" s="26" t="str">
        <f t="shared" si="70"/>
        <v>ES803402</v>
      </c>
      <c r="G1067" s="26">
        <f t="shared" si="66"/>
        <v>0</v>
      </c>
      <c r="H1067" s="27" t="str">
        <f t="shared" si="71"/>
        <v>ES803602IO.Mode</v>
      </c>
      <c r="I1067" s="23">
        <f t="shared" si="72"/>
        <v>0</v>
      </c>
    </row>
    <row r="1068" spans="2:9" hidden="1" x14ac:dyDescent="0.25">
      <c r="B1068" s="25" t="s">
        <v>3834</v>
      </c>
      <c r="C1068" s="25" t="s">
        <v>3905</v>
      </c>
      <c r="D1068" s="25">
        <v>0</v>
      </c>
      <c r="E1068" s="25" t="s">
        <v>3906</v>
      </c>
      <c r="F1068" s="26" t="str">
        <f t="shared" si="70"/>
        <v>ES803605</v>
      </c>
      <c r="G1068" s="26">
        <f t="shared" si="66"/>
        <v>0</v>
      </c>
      <c r="H1068" s="27" t="str">
        <f t="shared" si="71"/>
        <v>ES803605IO.Mode</v>
      </c>
      <c r="I1068" s="23">
        <f t="shared" si="72"/>
        <v>0</v>
      </c>
    </row>
    <row r="1069" spans="2:9" x14ac:dyDescent="0.25">
      <c r="B1069" s="25" t="s">
        <v>3834</v>
      </c>
      <c r="C1069" s="25" t="s">
        <v>3907</v>
      </c>
      <c r="D1069" s="25">
        <v>2</v>
      </c>
      <c r="E1069" s="25" t="s">
        <v>3908</v>
      </c>
      <c r="F1069" s="26" t="str">
        <f t="shared" si="70"/>
        <v>ES810509A</v>
      </c>
      <c r="G1069" s="26">
        <f t="shared" si="66"/>
        <v>2</v>
      </c>
      <c r="H1069" s="27" t="str">
        <f t="shared" si="71"/>
        <v>ES810509AIO.Mode</v>
      </c>
      <c r="I1069" s="23">
        <f t="shared" si="72"/>
        <v>2</v>
      </c>
    </row>
    <row r="1070" spans="2:9" x14ac:dyDescent="0.25">
      <c r="B1070" s="25" t="s">
        <v>3834</v>
      </c>
      <c r="C1070" s="25" t="s">
        <v>3909</v>
      </c>
      <c r="D1070" s="25">
        <v>2</v>
      </c>
      <c r="E1070" s="25" t="s">
        <v>3910</v>
      </c>
      <c r="F1070" s="26" t="str">
        <f t="shared" si="70"/>
        <v>ES810509B</v>
      </c>
      <c r="G1070" s="26">
        <f t="shared" si="66"/>
        <v>2</v>
      </c>
      <c r="H1070" s="27" t="str">
        <f t="shared" si="71"/>
        <v>ES810509BIO.Mode</v>
      </c>
      <c r="I1070" s="23">
        <f t="shared" si="72"/>
        <v>2</v>
      </c>
    </row>
    <row r="1071" spans="2:9" hidden="1" x14ac:dyDescent="0.25">
      <c r="B1071" s="25" t="s">
        <v>3834</v>
      </c>
      <c r="C1071" s="25" t="s">
        <v>3911</v>
      </c>
      <c r="D1071" s="25">
        <v>0</v>
      </c>
      <c r="E1071" s="25" t="s">
        <v>3912</v>
      </c>
      <c r="F1071" s="26" t="str">
        <f t="shared" si="70"/>
        <v>ES812001</v>
      </c>
      <c r="G1071" s="26">
        <f t="shared" si="66"/>
        <v>0</v>
      </c>
      <c r="H1071" s="27" t="str">
        <f t="shared" si="71"/>
        <v>ES812001IO.Mode</v>
      </c>
      <c r="I1071" s="23">
        <f t="shared" si="72"/>
        <v>0</v>
      </c>
    </row>
    <row r="1072" spans="2:9" hidden="1" x14ac:dyDescent="0.25">
      <c r="B1072" s="25" t="s">
        <v>3834</v>
      </c>
      <c r="C1072" s="25" t="s">
        <v>3913</v>
      </c>
      <c r="D1072" s="25">
        <v>0</v>
      </c>
      <c r="E1072" s="25" t="s">
        <v>3914</v>
      </c>
      <c r="F1072" s="26" t="str">
        <f t="shared" si="70"/>
        <v>ES812223</v>
      </c>
      <c r="G1072" s="26">
        <f t="shared" si="66"/>
        <v>0</v>
      </c>
      <c r="H1072" s="27" t="str">
        <f t="shared" si="71"/>
        <v>ES812223IO.Mode</v>
      </c>
      <c r="I1072" s="23">
        <f t="shared" si="72"/>
        <v>0</v>
      </c>
    </row>
    <row r="1073" spans="2:9" x14ac:dyDescent="0.25">
      <c r="B1073" s="25" t="s">
        <v>3834</v>
      </c>
      <c r="C1073" s="25" t="s">
        <v>3915</v>
      </c>
      <c r="D1073" s="25">
        <v>2</v>
      </c>
      <c r="E1073" s="25" t="s">
        <v>3916</v>
      </c>
      <c r="F1073" s="26" t="str">
        <f t="shared" si="70"/>
        <v>ES820414A</v>
      </c>
      <c r="G1073" s="26">
        <f t="shared" si="66"/>
        <v>2</v>
      </c>
      <c r="H1073" s="27" t="str">
        <f t="shared" si="71"/>
        <v>ES820414AIO.Mode</v>
      </c>
      <c r="I1073" s="23">
        <f t="shared" si="72"/>
        <v>2</v>
      </c>
    </row>
    <row r="1074" spans="2:9" x14ac:dyDescent="0.25">
      <c r="B1074" s="25" t="s">
        <v>3834</v>
      </c>
      <c r="C1074" s="25" t="s">
        <v>3917</v>
      </c>
      <c r="D1074" s="25">
        <v>2</v>
      </c>
      <c r="E1074" s="25" t="s">
        <v>3918</v>
      </c>
      <c r="F1074" s="26" t="str">
        <f t="shared" si="70"/>
        <v>ES820414B</v>
      </c>
      <c r="G1074" s="26">
        <f t="shared" si="66"/>
        <v>2</v>
      </c>
      <c r="H1074" s="27" t="str">
        <f t="shared" si="71"/>
        <v>ES820414BIO.Mode</v>
      </c>
      <c r="I1074" s="23">
        <f t="shared" si="72"/>
        <v>2</v>
      </c>
    </row>
    <row r="1075" spans="2:9" x14ac:dyDescent="0.25">
      <c r="B1075" s="25" t="s">
        <v>3834</v>
      </c>
      <c r="C1075" s="25" t="s">
        <v>3919</v>
      </c>
      <c r="D1075" s="25">
        <v>0</v>
      </c>
      <c r="E1075" s="25" t="s">
        <v>3920</v>
      </c>
      <c r="F1075" s="26" t="str">
        <f t="shared" si="70"/>
        <v>ES820509A</v>
      </c>
      <c r="G1075" s="26">
        <f t="shared" si="66"/>
        <v>2</v>
      </c>
      <c r="H1075" s="27" t="str">
        <f t="shared" si="71"/>
        <v>ES820509AIO.Mode</v>
      </c>
      <c r="I1075" s="23">
        <f t="shared" si="72"/>
        <v>2</v>
      </c>
    </row>
    <row r="1076" spans="2:9" hidden="1" x14ac:dyDescent="0.25">
      <c r="B1076" s="25" t="s">
        <v>3834</v>
      </c>
      <c r="C1076" s="25" t="s">
        <v>3921</v>
      </c>
      <c r="D1076" s="25">
        <v>0</v>
      </c>
      <c r="E1076" s="25" t="s">
        <v>3922</v>
      </c>
      <c r="F1076" s="26" t="str">
        <f t="shared" si="70"/>
        <v>ES820509B</v>
      </c>
      <c r="G1076" s="26">
        <f t="shared" si="66"/>
        <v>0</v>
      </c>
      <c r="H1076" s="27" t="str">
        <f t="shared" si="71"/>
        <v>ES820509BIO.Mode</v>
      </c>
      <c r="I1076" s="23">
        <f t="shared" si="72"/>
        <v>0</v>
      </c>
    </row>
    <row r="1077" spans="2:9" x14ac:dyDescent="0.25">
      <c r="B1077" s="25" t="s">
        <v>3834</v>
      </c>
      <c r="C1077" s="25" t="s">
        <v>3923</v>
      </c>
      <c r="D1077" s="25">
        <v>0</v>
      </c>
      <c r="E1077" s="25" t="s">
        <v>3924</v>
      </c>
      <c r="F1077" s="26" t="str">
        <f t="shared" si="70"/>
        <v>ES820509C</v>
      </c>
      <c r="G1077" s="26">
        <f t="shared" si="66"/>
        <v>2</v>
      </c>
      <c r="H1077" s="27" t="str">
        <f t="shared" si="71"/>
        <v>ES820509CIO.Mode</v>
      </c>
      <c r="I1077" s="23">
        <f t="shared" si="72"/>
        <v>2</v>
      </c>
    </row>
    <row r="1078" spans="2:9" x14ac:dyDescent="0.25">
      <c r="B1078" s="25" t="s">
        <v>3834</v>
      </c>
      <c r="C1078" s="25" t="s">
        <v>3925</v>
      </c>
      <c r="D1078" s="25">
        <v>0</v>
      </c>
      <c r="E1078" s="25" t="s">
        <v>3926</v>
      </c>
      <c r="F1078" s="26" t="str">
        <f t="shared" si="70"/>
        <v>ES820509D</v>
      </c>
      <c r="G1078" s="26">
        <f t="shared" si="66"/>
        <v>2</v>
      </c>
      <c r="H1078" s="27" t="str">
        <f t="shared" si="71"/>
        <v>ES820509DIO.Mode</v>
      </c>
      <c r="I1078" s="23">
        <f t="shared" si="72"/>
        <v>2</v>
      </c>
    </row>
    <row r="1079" spans="2:9" hidden="1" x14ac:dyDescent="0.25">
      <c r="B1079" s="25" t="s">
        <v>3834</v>
      </c>
      <c r="C1079" s="25" t="s">
        <v>3927</v>
      </c>
      <c r="D1079" s="25">
        <v>0</v>
      </c>
      <c r="E1079" s="25" t="s">
        <v>3928</v>
      </c>
      <c r="F1079" s="26" t="str">
        <f t="shared" si="70"/>
        <v>ES822308</v>
      </c>
      <c r="G1079" s="26">
        <f t="shared" si="66"/>
        <v>0</v>
      </c>
      <c r="H1079" s="27" t="str">
        <f t="shared" si="71"/>
        <v>ES822308IO.Mode</v>
      </c>
      <c r="I1079" s="23">
        <f t="shared" si="72"/>
        <v>0</v>
      </c>
    </row>
    <row r="1080" spans="2:9" x14ac:dyDescent="0.25">
      <c r="B1080" s="25" t="s">
        <v>3834</v>
      </c>
      <c r="C1080" s="25" t="s">
        <v>3929</v>
      </c>
      <c r="D1080" s="25">
        <v>0</v>
      </c>
      <c r="E1080" s="25" t="s">
        <v>3930</v>
      </c>
      <c r="F1080" s="26" t="str">
        <f t="shared" si="70"/>
        <v>ES822322</v>
      </c>
      <c r="G1080" s="26">
        <f t="shared" si="66"/>
        <v>2</v>
      </c>
      <c r="H1080" s="27" t="str">
        <f t="shared" si="71"/>
        <v>ES822322IO.Mode</v>
      </c>
      <c r="I1080" s="23">
        <f t="shared" si="72"/>
        <v>2</v>
      </c>
    </row>
    <row r="1081" spans="2:9" x14ac:dyDescent="0.25">
      <c r="B1081" s="25" t="s">
        <v>3834</v>
      </c>
      <c r="C1081" s="25" t="s">
        <v>3931</v>
      </c>
      <c r="D1081" s="25">
        <v>0</v>
      </c>
      <c r="E1081" s="25" t="s">
        <v>3932</v>
      </c>
      <c r="F1081" s="26" t="str">
        <f t="shared" si="70"/>
        <v>ES822332</v>
      </c>
      <c r="G1081" s="26">
        <f t="shared" si="66"/>
        <v>2</v>
      </c>
      <c r="H1081" s="27" t="str">
        <f t="shared" si="71"/>
        <v>ES822332IO.Mode</v>
      </c>
      <c r="I1081" s="23">
        <f t="shared" si="72"/>
        <v>2</v>
      </c>
    </row>
    <row r="1082" spans="2:9" hidden="1" x14ac:dyDescent="0.25">
      <c r="B1082" s="25" t="s">
        <v>3834</v>
      </c>
      <c r="C1082" s="25" t="s">
        <v>3933</v>
      </c>
      <c r="D1082" s="25">
        <v>0</v>
      </c>
      <c r="E1082" s="25" t="s">
        <v>3934</v>
      </c>
      <c r="F1082" s="26" t="str">
        <f t="shared" si="70"/>
        <v>ES822408</v>
      </c>
      <c r="G1082" s="26">
        <f t="shared" si="66"/>
        <v>0</v>
      </c>
      <c r="H1082" s="27" t="str">
        <f t="shared" si="71"/>
        <v>ES822408IO.Mode</v>
      </c>
      <c r="I1082" s="23">
        <f t="shared" si="72"/>
        <v>0</v>
      </c>
    </row>
    <row r="1083" spans="2:9" hidden="1" x14ac:dyDescent="0.25">
      <c r="B1083" s="25" t="s">
        <v>3834</v>
      </c>
      <c r="C1083" s="25" t="s">
        <v>3935</v>
      </c>
      <c r="D1083" s="25">
        <v>0</v>
      </c>
      <c r="E1083" s="25" t="s">
        <v>3936</v>
      </c>
      <c r="F1083" s="26" t="str">
        <f t="shared" si="70"/>
        <v>ES823101</v>
      </c>
      <c r="G1083" s="26">
        <f t="shared" si="66"/>
        <v>0</v>
      </c>
      <c r="H1083" s="27" t="str">
        <f t="shared" si="71"/>
        <v>ES823101IO.Mode</v>
      </c>
      <c r="I1083" s="23">
        <f t="shared" si="72"/>
        <v>0</v>
      </c>
    </row>
    <row r="1084" spans="2:9" hidden="1" x14ac:dyDescent="0.25">
      <c r="B1084" s="25" t="s">
        <v>3834</v>
      </c>
      <c r="C1084" s="25" t="s">
        <v>3937</v>
      </c>
      <c r="D1084" s="25">
        <v>0</v>
      </c>
      <c r="E1084" s="25" t="s">
        <v>3938</v>
      </c>
      <c r="F1084" s="26" t="str">
        <f t="shared" si="70"/>
        <v>ES823212</v>
      </c>
      <c r="G1084" s="26">
        <f t="shared" si="66"/>
        <v>0</v>
      </c>
      <c r="H1084" s="27" t="str">
        <f t="shared" si="71"/>
        <v>ES823212IO.Mode</v>
      </c>
      <c r="I1084" s="23">
        <f t="shared" si="72"/>
        <v>0</v>
      </c>
    </row>
    <row r="1085" spans="2:9" hidden="1" x14ac:dyDescent="0.25">
      <c r="B1085" s="25" t="s">
        <v>3834</v>
      </c>
      <c r="C1085" s="25" t="s">
        <v>3939</v>
      </c>
      <c r="D1085" s="25">
        <v>0</v>
      </c>
      <c r="E1085" s="25" t="s">
        <v>3940</v>
      </c>
      <c r="F1085" s="26" t="str">
        <f t="shared" si="70"/>
        <v>ES823324</v>
      </c>
      <c r="G1085" s="26">
        <f t="shared" si="66"/>
        <v>0</v>
      </c>
      <c r="H1085" s="27" t="str">
        <f t="shared" si="71"/>
        <v>ES823324IO.Mode</v>
      </c>
      <c r="I1085" s="23">
        <f t="shared" si="72"/>
        <v>0</v>
      </c>
    </row>
    <row r="1086" spans="2:9" hidden="1" x14ac:dyDescent="0.25">
      <c r="B1086" s="25" t="s">
        <v>3834</v>
      </c>
      <c r="C1086" s="25" t="s">
        <v>3941</v>
      </c>
      <c r="D1086" s="25">
        <v>0</v>
      </c>
      <c r="E1086" s="25" t="s">
        <v>3942</v>
      </c>
      <c r="F1086" s="26" t="str">
        <f t="shared" si="70"/>
        <v>ES823352</v>
      </c>
      <c r="G1086" s="26">
        <f t="shared" si="66"/>
        <v>0</v>
      </c>
      <c r="H1086" s="27" t="str">
        <f t="shared" si="71"/>
        <v>ES823352IO.Mode</v>
      </c>
      <c r="I1086" s="23">
        <f t="shared" si="72"/>
        <v>0</v>
      </c>
    </row>
    <row r="1087" spans="2:9" x14ac:dyDescent="0.25">
      <c r="B1087" s="25" t="s">
        <v>3834</v>
      </c>
      <c r="C1087" s="25" t="s">
        <v>3943</v>
      </c>
      <c r="D1087" s="25">
        <v>0</v>
      </c>
      <c r="E1087" s="25" t="s">
        <v>3944</v>
      </c>
      <c r="F1087" s="26" t="str">
        <f t="shared" si="70"/>
        <v>ES830510A</v>
      </c>
      <c r="G1087" s="26">
        <f t="shared" si="66"/>
        <v>2</v>
      </c>
      <c r="H1087" s="27" t="str">
        <f t="shared" si="71"/>
        <v>ES830510AIO.Mode</v>
      </c>
      <c r="I1087" s="23">
        <f t="shared" si="72"/>
        <v>2</v>
      </c>
    </row>
    <row r="1088" spans="2:9" hidden="1" x14ac:dyDescent="0.25">
      <c r="B1088" s="25" t="s">
        <v>3834</v>
      </c>
      <c r="C1088" s="25" t="s">
        <v>3945</v>
      </c>
      <c r="D1088" s="25">
        <v>0</v>
      </c>
      <c r="E1088" s="25" t="s">
        <v>3946</v>
      </c>
      <c r="F1088" s="26" t="str">
        <f t="shared" si="70"/>
        <v>ES830510B</v>
      </c>
      <c r="G1088" s="26">
        <f t="shared" si="66"/>
        <v>0</v>
      </c>
      <c r="H1088" s="27" t="str">
        <f t="shared" si="71"/>
        <v>ES830510BIO.Mode</v>
      </c>
      <c r="I1088" s="23">
        <f t="shared" si="72"/>
        <v>0</v>
      </c>
    </row>
    <row r="1089" spans="2:9" x14ac:dyDescent="0.25">
      <c r="B1089" s="25" t="s">
        <v>3834</v>
      </c>
      <c r="C1089" s="25" t="s">
        <v>3947</v>
      </c>
      <c r="D1089" s="25">
        <v>0</v>
      </c>
      <c r="E1089" s="25" t="s">
        <v>3948</v>
      </c>
      <c r="F1089" s="26" t="str">
        <f t="shared" si="70"/>
        <v>ES830613B</v>
      </c>
      <c r="G1089" s="26">
        <f t="shared" si="66"/>
        <v>2</v>
      </c>
      <c r="H1089" s="27" t="str">
        <f t="shared" si="71"/>
        <v>ES830613BIO.Mode</v>
      </c>
      <c r="I1089" s="23">
        <f t="shared" si="72"/>
        <v>2</v>
      </c>
    </row>
    <row r="1090" spans="2:9" x14ac:dyDescent="0.25">
      <c r="B1090" s="25" t="s">
        <v>3834</v>
      </c>
      <c r="C1090" s="25" t="s">
        <v>3949</v>
      </c>
      <c r="D1090" s="25">
        <v>0</v>
      </c>
      <c r="E1090" s="25" t="s">
        <v>3950</v>
      </c>
      <c r="F1090" s="26" t="str">
        <f t="shared" si="70"/>
        <v>ES830616A</v>
      </c>
      <c r="G1090" s="26">
        <f t="shared" ref="G1090:G1153" si="73">+IFERROR(IF(VLOOKUP(F1090,DI,2,FALSE)="IO",2,0),"N/A")</f>
        <v>2</v>
      </c>
      <c r="H1090" s="27" t="str">
        <f t="shared" si="71"/>
        <v>ES830616AIO.Mode</v>
      </c>
      <c r="I1090" s="23">
        <f t="shared" si="72"/>
        <v>2</v>
      </c>
    </row>
    <row r="1091" spans="2:9" hidden="1" x14ac:dyDescent="0.25">
      <c r="B1091" s="25" t="s">
        <v>3834</v>
      </c>
      <c r="C1091" s="25" t="s">
        <v>3951</v>
      </c>
      <c r="D1091" s="25">
        <v>0</v>
      </c>
      <c r="E1091" s="25" t="s">
        <v>3952</v>
      </c>
      <c r="F1091" s="26" t="str">
        <f t="shared" si="70"/>
        <v>ES830616B</v>
      </c>
      <c r="G1091" s="26">
        <f t="shared" si="73"/>
        <v>0</v>
      </c>
      <c r="H1091" s="27" t="str">
        <f t="shared" si="71"/>
        <v>ES830616BIO.Mode</v>
      </c>
      <c r="I1091" s="23">
        <f t="shared" si="72"/>
        <v>0</v>
      </c>
    </row>
    <row r="1092" spans="2:9" x14ac:dyDescent="0.25">
      <c r="B1092" s="25" t="s">
        <v>3834</v>
      </c>
      <c r="C1092" s="25" t="s">
        <v>3953</v>
      </c>
      <c r="D1092" s="25">
        <v>0</v>
      </c>
      <c r="E1092" s="25" t="s">
        <v>3954</v>
      </c>
      <c r="F1092" s="26" t="str">
        <f t="shared" si="70"/>
        <v>ES830832A</v>
      </c>
      <c r="G1092" s="26">
        <f t="shared" si="73"/>
        <v>2</v>
      </c>
      <c r="H1092" s="27" t="str">
        <f t="shared" si="71"/>
        <v>ES830832AIO.Mode</v>
      </c>
      <c r="I1092" s="23">
        <f t="shared" si="72"/>
        <v>2</v>
      </c>
    </row>
    <row r="1093" spans="2:9" hidden="1" x14ac:dyDescent="0.25">
      <c r="B1093" s="25" t="s">
        <v>3834</v>
      </c>
      <c r="C1093" s="25" t="s">
        <v>3955</v>
      </c>
      <c r="D1093" s="25">
        <v>0</v>
      </c>
      <c r="E1093" s="25" t="s">
        <v>3956</v>
      </c>
      <c r="F1093" s="26" t="str">
        <f t="shared" si="70"/>
        <v>ES830832B</v>
      </c>
      <c r="G1093" s="26">
        <f t="shared" si="73"/>
        <v>0</v>
      </c>
      <c r="H1093" s="27" t="str">
        <f t="shared" ref="H1093:H1124" si="74">+CONCATENATE(C1093,".Mode")</f>
        <v>ES830832BIO.Mode</v>
      </c>
      <c r="I1093" s="23">
        <f t="shared" ref="I1093:I1124" si="75">+G1093</f>
        <v>0</v>
      </c>
    </row>
    <row r="1094" spans="2:9" hidden="1" x14ac:dyDescent="0.25">
      <c r="B1094" s="25" t="s">
        <v>3834</v>
      </c>
      <c r="C1094" s="25" t="s">
        <v>3957</v>
      </c>
      <c r="D1094" s="25">
        <v>0</v>
      </c>
      <c r="E1094" s="25" t="s">
        <v>3958</v>
      </c>
      <c r="F1094" s="26" t="str">
        <f t="shared" si="70"/>
        <v>ES831106</v>
      </c>
      <c r="G1094" s="26">
        <f t="shared" si="73"/>
        <v>0</v>
      </c>
      <c r="H1094" s="27" t="str">
        <f t="shared" si="74"/>
        <v>ES831106IO.Mode</v>
      </c>
      <c r="I1094" s="23">
        <f t="shared" si="75"/>
        <v>0</v>
      </c>
    </row>
    <row r="1095" spans="2:9" hidden="1" x14ac:dyDescent="0.25">
      <c r="B1095" s="25" t="s">
        <v>3834</v>
      </c>
      <c r="C1095" s="25" t="s">
        <v>3959</v>
      </c>
      <c r="D1095" s="25">
        <v>0</v>
      </c>
      <c r="E1095" s="25" t="s">
        <v>3960</v>
      </c>
      <c r="F1095" s="26" t="str">
        <f t="shared" si="70"/>
        <v>ES831206</v>
      </c>
      <c r="G1095" s="26">
        <f t="shared" si="73"/>
        <v>0</v>
      </c>
      <c r="H1095" s="27" t="str">
        <f t="shared" si="74"/>
        <v>ES831206IO.Mode</v>
      </c>
      <c r="I1095" s="23">
        <f t="shared" si="75"/>
        <v>0</v>
      </c>
    </row>
    <row r="1096" spans="2:9" hidden="1" x14ac:dyDescent="0.25">
      <c r="B1096" s="25" t="s">
        <v>3834</v>
      </c>
      <c r="C1096" s="25" t="s">
        <v>3961</v>
      </c>
      <c r="D1096" s="25">
        <v>0</v>
      </c>
      <c r="E1096" s="25" t="s">
        <v>3962</v>
      </c>
      <c r="F1096" s="26" t="str">
        <f t="shared" si="70"/>
        <v>ES832201</v>
      </c>
      <c r="G1096" s="26">
        <f t="shared" si="73"/>
        <v>0</v>
      </c>
      <c r="H1096" s="27" t="str">
        <f t="shared" si="74"/>
        <v>ES832201IO.Mode</v>
      </c>
      <c r="I1096" s="23">
        <f t="shared" si="75"/>
        <v>0</v>
      </c>
    </row>
    <row r="1097" spans="2:9" hidden="1" x14ac:dyDescent="0.25">
      <c r="B1097" s="25" t="s">
        <v>3834</v>
      </c>
      <c r="C1097" s="25" t="s">
        <v>3963</v>
      </c>
      <c r="D1097" s="25">
        <v>0</v>
      </c>
      <c r="E1097" s="25" t="s">
        <v>3964</v>
      </c>
      <c r="F1097" s="26" t="str">
        <f t="shared" si="70"/>
        <v>ES832322</v>
      </c>
      <c r="G1097" s="26">
        <f t="shared" si="73"/>
        <v>0</v>
      </c>
      <c r="H1097" s="27" t="str">
        <f t="shared" si="74"/>
        <v>ES832322IO.Mode</v>
      </c>
      <c r="I1097" s="23">
        <f t="shared" si="75"/>
        <v>0</v>
      </c>
    </row>
    <row r="1098" spans="2:9" hidden="1" x14ac:dyDescent="0.25">
      <c r="B1098" s="25" t="s">
        <v>3834</v>
      </c>
      <c r="C1098" s="25" t="s">
        <v>3965</v>
      </c>
      <c r="D1098" s="25">
        <v>0</v>
      </c>
      <c r="E1098" s="25" t="s">
        <v>3966</v>
      </c>
      <c r="F1098" s="26" t="str">
        <f t="shared" si="70"/>
        <v>ES832332</v>
      </c>
      <c r="G1098" s="26">
        <f t="shared" si="73"/>
        <v>0</v>
      </c>
      <c r="H1098" s="27" t="str">
        <f t="shared" si="74"/>
        <v>ES832332IO.Mode</v>
      </c>
      <c r="I1098" s="23">
        <f t="shared" si="75"/>
        <v>0</v>
      </c>
    </row>
    <row r="1099" spans="2:9" hidden="1" x14ac:dyDescent="0.25">
      <c r="B1099" s="25" t="s">
        <v>3834</v>
      </c>
      <c r="C1099" s="25" t="s">
        <v>3967</v>
      </c>
      <c r="D1099" s="25">
        <v>0</v>
      </c>
      <c r="E1099" s="25" t="s">
        <v>3968</v>
      </c>
      <c r="F1099" s="26" t="str">
        <f t="shared" si="70"/>
        <v>ES832423</v>
      </c>
      <c r="G1099" s="26">
        <f t="shared" si="73"/>
        <v>0</v>
      </c>
      <c r="H1099" s="27" t="str">
        <f t="shared" si="74"/>
        <v>ES832423IO.Mode</v>
      </c>
      <c r="I1099" s="23">
        <f t="shared" si="75"/>
        <v>0</v>
      </c>
    </row>
    <row r="1100" spans="2:9" hidden="1" x14ac:dyDescent="0.25">
      <c r="B1100" s="25" t="s">
        <v>3834</v>
      </c>
      <c r="C1100" s="25" t="s">
        <v>3969</v>
      </c>
      <c r="D1100" s="25">
        <v>0</v>
      </c>
      <c r="E1100" s="25" t="s">
        <v>3970</v>
      </c>
      <c r="F1100" s="26" t="str">
        <f t="shared" si="70"/>
        <v>ES832523</v>
      </c>
      <c r="G1100" s="26">
        <f t="shared" si="73"/>
        <v>0</v>
      </c>
      <c r="H1100" s="27" t="str">
        <f t="shared" si="74"/>
        <v>ES832523IO.Mode</v>
      </c>
      <c r="I1100" s="23">
        <f t="shared" si="75"/>
        <v>0</v>
      </c>
    </row>
    <row r="1101" spans="2:9" x14ac:dyDescent="0.25">
      <c r="B1101" s="25" t="s">
        <v>3834</v>
      </c>
      <c r="C1101" s="25" t="s">
        <v>3971</v>
      </c>
      <c r="D1101" s="25">
        <v>0</v>
      </c>
      <c r="E1101" s="25" t="s">
        <v>3972</v>
      </c>
      <c r="F1101" s="26" t="str">
        <f t="shared" si="70"/>
        <v>ES843030A</v>
      </c>
      <c r="G1101" s="26">
        <f t="shared" si="73"/>
        <v>2</v>
      </c>
      <c r="H1101" s="27" t="str">
        <f t="shared" si="74"/>
        <v>ES843030AIO.Mode</v>
      </c>
      <c r="I1101" s="23">
        <f t="shared" si="75"/>
        <v>2</v>
      </c>
    </row>
    <row r="1102" spans="2:9" x14ac:dyDescent="0.25">
      <c r="B1102" s="25" t="s">
        <v>3834</v>
      </c>
      <c r="C1102" s="25" t="s">
        <v>3973</v>
      </c>
      <c r="D1102" s="25">
        <v>0</v>
      </c>
      <c r="E1102" s="25" t="s">
        <v>3974</v>
      </c>
      <c r="F1102" s="26" t="str">
        <f t="shared" si="70"/>
        <v>ES843030B</v>
      </c>
      <c r="G1102" s="26">
        <f t="shared" si="73"/>
        <v>2</v>
      </c>
      <c r="H1102" s="27" t="str">
        <f t="shared" si="74"/>
        <v>ES843030BIO.Mode</v>
      </c>
      <c r="I1102" s="23">
        <f t="shared" si="75"/>
        <v>2</v>
      </c>
    </row>
    <row r="1103" spans="2:9" x14ac:dyDescent="0.25">
      <c r="B1103" s="25" t="s">
        <v>3834</v>
      </c>
      <c r="C1103" s="25" t="s">
        <v>3975</v>
      </c>
      <c r="D1103" s="25">
        <v>2</v>
      </c>
      <c r="E1103" s="25" t="s">
        <v>3976</v>
      </c>
      <c r="F1103" s="26" t="str">
        <f t="shared" si="70"/>
        <v>ES843030C</v>
      </c>
      <c r="G1103" s="26">
        <f t="shared" si="73"/>
        <v>2</v>
      </c>
      <c r="H1103" s="27" t="str">
        <f t="shared" si="74"/>
        <v>ES843030CIO.Mode</v>
      </c>
      <c r="I1103" s="23">
        <f t="shared" si="75"/>
        <v>2</v>
      </c>
    </row>
    <row r="1104" spans="2:9" x14ac:dyDescent="0.25">
      <c r="B1104" s="25" t="s">
        <v>3834</v>
      </c>
      <c r="C1104" s="25" t="s">
        <v>3977</v>
      </c>
      <c r="D1104" s="25">
        <v>0</v>
      </c>
      <c r="E1104" s="25" t="s">
        <v>3978</v>
      </c>
      <c r="F1104" s="26" t="str">
        <f t="shared" si="70"/>
        <v>ES850206</v>
      </c>
      <c r="G1104" s="26">
        <f t="shared" si="73"/>
        <v>2</v>
      </c>
      <c r="H1104" s="27" t="str">
        <f t="shared" si="74"/>
        <v>ES850206IO.Mode</v>
      </c>
      <c r="I1104" s="23">
        <f t="shared" si="75"/>
        <v>2</v>
      </c>
    </row>
    <row r="1105" spans="2:9" x14ac:dyDescent="0.25">
      <c r="B1105" s="25" t="s">
        <v>3834</v>
      </c>
      <c r="C1105" s="25" t="s">
        <v>3979</v>
      </c>
      <c r="D1105" s="25">
        <v>0</v>
      </c>
      <c r="E1105" s="25" t="s">
        <v>3980</v>
      </c>
      <c r="F1105" s="26" t="str">
        <f t="shared" si="70"/>
        <v>FSL850134</v>
      </c>
      <c r="G1105" s="26">
        <f t="shared" si="73"/>
        <v>2</v>
      </c>
      <c r="H1105" s="27" t="str">
        <f t="shared" si="74"/>
        <v>FAL850134IO.Mode</v>
      </c>
      <c r="I1105" s="23">
        <f t="shared" si="75"/>
        <v>2</v>
      </c>
    </row>
    <row r="1106" spans="2:9" hidden="1" x14ac:dyDescent="0.25">
      <c r="B1106" s="25" t="s">
        <v>3834</v>
      </c>
      <c r="C1106" s="25" t="s">
        <v>3981</v>
      </c>
      <c r="D1106" s="25">
        <v>2</v>
      </c>
      <c r="E1106" s="25" t="s">
        <v>3982</v>
      </c>
      <c r="F1106" s="26" t="str">
        <f t="shared" si="70"/>
        <v>ZC800001</v>
      </c>
      <c r="G1106" s="26">
        <f t="shared" si="73"/>
        <v>0</v>
      </c>
      <c r="H1106" s="27" t="str">
        <f t="shared" si="74"/>
        <v>HS800001AIO.Mode</v>
      </c>
      <c r="I1106" s="23">
        <f t="shared" si="75"/>
        <v>0</v>
      </c>
    </row>
    <row r="1107" spans="2:9" hidden="1" x14ac:dyDescent="0.25">
      <c r="B1107" s="25" t="s">
        <v>3834</v>
      </c>
      <c r="C1107" s="25" t="s">
        <v>3983</v>
      </c>
      <c r="D1107" s="25">
        <v>0</v>
      </c>
      <c r="E1107" s="25" t="s">
        <v>3984</v>
      </c>
      <c r="F1107" s="26" t="str">
        <f t="shared" si="70"/>
        <v>A_HV800006</v>
      </c>
      <c r="G1107" s="26" t="str">
        <f t="shared" si="73"/>
        <v>N/A</v>
      </c>
      <c r="H1107" s="27" t="str">
        <f t="shared" si="74"/>
        <v>HS800006IO_FB0.Mode</v>
      </c>
      <c r="I1107" s="23" t="str">
        <f t="shared" si="75"/>
        <v>N/A</v>
      </c>
    </row>
    <row r="1108" spans="2:9" hidden="1" x14ac:dyDescent="0.25">
      <c r="B1108" s="25" t="s">
        <v>3834</v>
      </c>
      <c r="C1108" s="25" t="s">
        <v>3985</v>
      </c>
      <c r="D1108" s="25">
        <v>0</v>
      </c>
      <c r="E1108" s="25" t="s">
        <v>3986</v>
      </c>
      <c r="F1108" s="26" t="str">
        <f t="shared" si="70"/>
        <v>A_HV800006</v>
      </c>
      <c r="G1108" s="26" t="str">
        <f t="shared" si="73"/>
        <v>N/A</v>
      </c>
      <c r="H1108" s="27" t="str">
        <f t="shared" si="74"/>
        <v>HS800006IO_FB1.Mode</v>
      </c>
      <c r="I1108" s="23" t="str">
        <f t="shared" si="75"/>
        <v>N/A</v>
      </c>
    </row>
    <row r="1109" spans="2:9" hidden="1" x14ac:dyDescent="0.25">
      <c r="B1109" s="25" t="s">
        <v>3834</v>
      </c>
      <c r="C1109" s="25" t="s">
        <v>3987</v>
      </c>
      <c r="D1109" s="25">
        <v>0</v>
      </c>
      <c r="E1109" s="25" t="s">
        <v>3988</v>
      </c>
      <c r="F1109" s="26" t="str">
        <f t="shared" si="70"/>
        <v>A_HV800009</v>
      </c>
      <c r="G1109" s="26" t="str">
        <f t="shared" si="73"/>
        <v>N/A</v>
      </c>
      <c r="H1109" s="27" t="str">
        <f t="shared" si="74"/>
        <v>HS800009IO_FB0.Mode</v>
      </c>
      <c r="I1109" s="23" t="str">
        <f t="shared" si="75"/>
        <v>N/A</v>
      </c>
    </row>
    <row r="1110" spans="2:9" hidden="1" x14ac:dyDescent="0.25">
      <c r="B1110" s="25" t="s">
        <v>3834</v>
      </c>
      <c r="C1110" s="25" t="s">
        <v>3989</v>
      </c>
      <c r="D1110" s="25">
        <v>0</v>
      </c>
      <c r="E1110" s="25" t="s">
        <v>3990</v>
      </c>
      <c r="F1110" s="26" t="str">
        <f t="shared" si="70"/>
        <v>A_HV800009</v>
      </c>
      <c r="G1110" s="26" t="str">
        <f t="shared" si="73"/>
        <v>N/A</v>
      </c>
      <c r="H1110" s="27" t="str">
        <f t="shared" si="74"/>
        <v>HS800009IO_FB1.Mode</v>
      </c>
      <c r="I1110" s="23" t="str">
        <f t="shared" si="75"/>
        <v>N/A</v>
      </c>
    </row>
    <row r="1111" spans="2:9" hidden="1" x14ac:dyDescent="0.25">
      <c r="B1111" s="25" t="s">
        <v>3834</v>
      </c>
      <c r="C1111" s="25" t="s">
        <v>3991</v>
      </c>
      <c r="D1111" s="25">
        <v>0</v>
      </c>
      <c r="E1111" s="25" t="s">
        <v>3992</v>
      </c>
      <c r="F1111" s="26" t="str">
        <f t="shared" si="70"/>
        <v>A_EBV800027</v>
      </c>
      <c r="G1111" s="26" t="str">
        <f t="shared" si="73"/>
        <v>N/A</v>
      </c>
      <c r="H1111" s="27" t="str">
        <f t="shared" si="74"/>
        <v>HS800027IO_FB0.Mode</v>
      </c>
      <c r="I1111" s="23" t="str">
        <f t="shared" si="75"/>
        <v>N/A</v>
      </c>
    </row>
    <row r="1112" spans="2:9" hidden="1" x14ac:dyDescent="0.25">
      <c r="B1112" s="25" t="s">
        <v>3834</v>
      </c>
      <c r="C1112" s="25" t="s">
        <v>3993</v>
      </c>
      <c r="D1112" s="25">
        <v>0</v>
      </c>
      <c r="E1112" s="25" t="s">
        <v>3994</v>
      </c>
      <c r="F1112" s="26" t="str">
        <f t="shared" si="70"/>
        <v>A_EBV800027</v>
      </c>
      <c r="G1112" s="26" t="str">
        <f t="shared" si="73"/>
        <v>N/A</v>
      </c>
      <c r="H1112" s="27" t="str">
        <f t="shared" si="74"/>
        <v>HS800027IO_FB1.Mode</v>
      </c>
      <c r="I1112" s="23" t="str">
        <f t="shared" si="75"/>
        <v>N/A</v>
      </c>
    </row>
    <row r="1113" spans="2:9" hidden="1" x14ac:dyDescent="0.25">
      <c r="B1113" s="25" t="s">
        <v>3834</v>
      </c>
      <c r="C1113" s="25" t="s">
        <v>3995</v>
      </c>
      <c r="D1113" s="25">
        <v>0</v>
      </c>
      <c r="E1113" s="25" t="s">
        <v>3996</v>
      </c>
      <c r="F1113" s="26" t="str">
        <f t="shared" si="70"/>
        <v>A_EBV800031</v>
      </c>
      <c r="G1113" s="26" t="str">
        <f t="shared" si="73"/>
        <v>N/A</v>
      </c>
      <c r="H1113" s="27" t="str">
        <f t="shared" si="74"/>
        <v>HS800031IO_FB0.Mode</v>
      </c>
      <c r="I1113" s="23" t="str">
        <f t="shared" si="75"/>
        <v>N/A</v>
      </c>
    </row>
    <row r="1114" spans="2:9" hidden="1" x14ac:dyDescent="0.25">
      <c r="B1114" s="25" t="s">
        <v>3834</v>
      </c>
      <c r="C1114" s="25" t="s">
        <v>3997</v>
      </c>
      <c r="D1114" s="25">
        <v>0</v>
      </c>
      <c r="E1114" s="25" t="s">
        <v>3998</v>
      </c>
      <c r="F1114" s="26" t="str">
        <f t="shared" si="70"/>
        <v>A_EBV800031</v>
      </c>
      <c r="G1114" s="26" t="str">
        <f t="shared" si="73"/>
        <v>N/A</v>
      </c>
      <c r="H1114" s="27" t="str">
        <f t="shared" si="74"/>
        <v>HS800031IO_FB1.Mode</v>
      </c>
      <c r="I1114" s="23" t="str">
        <f t="shared" si="75"/>
        <v>N/A</v>
      </c>
    </row>
    <row r="1115" spans="2:9" hidden="1" x14ac:dyDescent="0.25">
      <c r="B1115" s="25" t="s">
        <v>3834</v>
      </c>
      <c r="C1115" s="25" t="s">
        <v>3999</v>
      </c>
      <c r="D1115" s="25">
        <v>2</v>
      </c>
      <c r="E1115" s="25" t="s">
        <v>4000</v>
      </c>
      <c r="F1115" s="26" t="str">
        <f t="shared" si="70"/>
        <v>ZC800101</v>
      </c>
      <c r="G1115" s="26">
        <f t="shared" si="73"/>
        <v>0</v>
      </c>
      <c r="H1115" s="27" t="str">
        <f t="shared" si="74"/>
        <v>HS800101AIO.Mode</v>
      </c>
      <c r="I1115" s="23">
        <f t="shared" si="75"/>
        <v>0</v>
      </c>
    </row>
    <row r="1116" spans="2:9" hidden="1" x14ac:dyDescent="0.25">
      <c r="B1116" s="25" t="s">
        <v>3834</v>
      </c>
      <c r="C1116" s="25" t="s">
        <v>4001</v>
      </c>
      <c r="D1116" s="25">
        <v>0</v>
      </c>
      <c r="E1116" s="25" t="s">
        <v>4002</v>
      </c>
      <c r="F1116" s="26" t="str">
        <f t="shared" si="70"/>
        <v>A_HV800106</v>
      </c>
      <c r="G1116" s="26" t="str">
        <f t="shared" si="73"/>
        <v>N/A</v>
      </c>
      <c r="H1116" s="27" t="str">
        <f t="shared" si="74"/>
        <v>HS800106IO_FB0.Mode</v>
      </c>
      <c r="I1116" s="23" t="str">
        <f t="shared" si="75"/>
        <v>N/A</v>
      </c>
    </row>
    <row r="1117" spans="2:9" hidden="1" x14ac:dyDescent="0.25">
      <c r="B1117" s="25" t="s">
        <v>3834</v>
      </c>
      <c r="C1117" s="25" t="s">
        <v>4003</v>
      </c>
      <c r="D1117" s="25">
        <v>0</v>
      </c>
      <c r="E1117" s="25" t="s">
        <v>4004</v>
      </c>
      <c r="F1117" s="26" t="str">
        <f t="shared" si="70"/>
        <v>A_HV800106</v>
      </c>
      <c r="G1117" s="26" t="str">
        <f t="shared" si="73"/>
        <v>N/A</v>
      </c>
      <c r="H1117" s="27" t="str">
        <f t="shared" si="74"/>
        <v>HS800106IO_FB1.Mode</v>
      </c>
      <c r="I1117" s="23" t="str">
        <f t="shared" si="75"/>
        <v>N/A</v>
      </c>
    </row>
    <row r="1118" spans="2:9" hidden="1" x14ac:dyDescent="0.25">
      <c r="B1118" s="25" t="s">
        <v>3834</v>
      </c>
      <c r="C1118" s="25" t="s">
        <v>4005</v>
      </c>
      <c r="D1118" s="25">
        <v>0</v>
      </c>
      <c r="E1118" s="25" t="s">
        <v>4006</v>
      </c>
      <c r="F1118" s="26" t="str">
        <f t="shared" si="70"/>
        <v>A_HV800109</v>
      </c>
      <c r="G1118" s="26" t="str">
        <f t="shared" si="73"/>
        <v>N/A</v>
      </c>
      <c r="H1118" s="27" t="str">
        <f t="shared" si="74"/>
        <v>HS800109IO_FB0.Mode</v>
      </c>
      <c r="I1118" s="23" t="str">
        <f t="shared" si="75"/>
        <v>N/A</v>
      </c>
    </row>
    <row r="1119" spans="2:9" hidden="1" x14ac:dyDescent="0.25">
      <c r="B1119" s="25" t="s">
        <v>3834</v>
      </c>
      <c r="C1119" s="25" t="s">
        <v>4007</v>
      </c>
      <c r="D1119" s="25">
        <v>0</v>
      </c>
      <c r="E1119" s="25" t="s">
        <v>4008</v>
      </c>
      <c r="F1119" s="26" t="str">
        <f t="shared" si="70"/>
        <v>A_HV800109</v>
      </c>
      <c r="G1119" s="26" t="str">
        <f t="shared" si="73"/>
        <v>N/A</v>
      </c>
      <c r="H1119" s="27" t="str">
        <f t="shared" si="74"/>
        <v>HS800109IO_FB1.Mode</v>
      </c>
      <c r="I1119" s="23" t="str">
        <f t="shared" si="75"/>
        <v>N/A</v>
      </c>
    </row>
    <row r="1120" spans="2:9" hidden="1" x14ac:dyDescent="0.25">
      <c r="B1120" s="25" t="s">
        <v>3834</v>
      </c>
      <c r="C1120" s="25" t="s">
        <v>4009</v>
      </c>
      <c r="D1120" s="25">
        <v>0</v>
      </c>
      <c r="E1120" s="25" t="s">
        <v>4010</v>
      </c>
      <c r="F1120" s="26" t="str">
        <f t="shared" si="70"/>
        <v>A_EBV800203</v>
      </c>
      <c r="G1120" s="26" t="str">
        <f t="shared" si="73"/>
        <v>N/A</v>
      </c>
      <c r="H1120" s="27" t="str">
        <f t="shared" si="74"/>
        <v>HS800203IO_FB0.Mode</v>
      </c>
      <c r="I1120" s="23" t="str">
        <f t="shared" si="75"/>
        <v>N/A</v>
      </c>
    </row>
    <row r="1121" spans="2:9" hidden="1" x14ac:dyDescent="0.25">
      <c r="B1121" s="25" t="s">
        <v>3834</v>
      </c>
      <c r="C1121" s="25" t="s">
        <v>4011</v>
      </c>
      <c r="D1121" s="25">
        <v>0</v>
      </c>
      <c r="E1121" s="25" t="s">
        <v>4012</v>
      </c>
      <c r="F1121" s="26" t="str">
        <f t="shared" si="70"/>
        <v>A_EBV800203</v>
      </c>
      <c r="G1121" s="26" t="str">
        <f t="shared" si="73"/>
        <v>N/A</v>
      </c>
      <c r="H1121" s="27" t="str">
        <f t="shared" si="74"/>
        <v>HS800203IO_FB1.Mode</v>
      </c>
      <c r="I1121" s="23" t="str">
        <f t="shared" si="75"/>
        <v>N/A</v>
      </c>
    </row>
    <row r="1122" spans="2:9" hidden="1" x14ac:dyDescent="0.25">
      <c r="B1122" s="25" t="s">
        <v>3834</v>
      </c>
      <c r="C1122" s="25" t="s">
        <v>4013</v>
      </c>
      <c r="D1122" s="25">
        <v>0</v>
      </c>
      <c r="E1122" s="25" t="s">
        <v>4014</v>
      </c>
      <c r="F1122" s="26" t="str">
        <f t="shared" si="70"/>
        <v>A_ABV800305</v>
      </c>
      <c r="G1122" s="26" t="str">
        <f t="shared" si="73"/>
        <v>N/A</v>
      </c>
      <c r="H1122" s="27" t="str">
        <f t="shared" si="74"/>
        <v>HS800305IO_FB0.Mode</v>
      </c>
      <c r="I1122" s="23" t="str">
        <f t="shared" si="75"/>
        <v>N/A</v>
      </c>
    </row>
    <row r="1123" spans="2:9" hidden="1" x14ac:dyDescent="0.25">
      <c r="B1123" s="25" t="s">
        <v>3834</v>
      </c>
      <c r="C1123" s="25" t="s">
        <v>4015</v>
      </c>
      <c r="D1123" s="25">
        <v>0</v>
      </c>
      <c r="E1123" s="25" t="s">
        <v>4016</v>
      </c>
      <c r="F1123" s="26" t="str">
        <f t="shared" si="70"/>
        <v>A_ABV800308</v>
      </c>
      <c r="G1123" s="26" t="str">
        <f t="shared" si="73"/>
        <v>N/A</v>
      </c>
      <c r="H1123" s="27" t="str">
        <f t="shared" si="74"/>
        <v>HS800308IO_FB0.Mode</v>
      </c>
      <c r="I1123" s="23" t="str">
        <f t="shared" si="75"/>
        <v>N/A</v>
      </c>
    </row>
    <row r="1124" spans="2:9" hidden="1" x14ac:dyDescent="0.25">
      <c r="B1124" s="25" t="s">
        <v>3834</v>
      </c>
      <c r="C1124" s="25" t="s">
        <v>4017</v>
      </c>
      <c r="D1124" s="25">
        <v>0</v>
      </c>
      <c r="E1124" s="25" t="s">
        <v>4018</v>
      </c>
      <c r="F1124" s="26" t="str">
        <f t="shared" si="70"/>
        <v>A_ABV800314</v>
      </c>
      <c r="G1124" s="26" t="str">
        <f t="shared" si="73"/>
        <v>N/A</v>
      </c>
      <c r="H1124" s="27" t="str">
        <f t="shared" si="74"/>
        <v>HS800314IO_FB0.Mode</v>
      </c>
      <c r="I1124" s="23" t="str">
        <f t="shared" si="75"/>
        <v>N/A</v>
      </c>
    </row>
    <row r="1125" spans="2:9" hidden="1" x14ac:dyDescent="0.25">
      <c r="B1125" s="25" t="s">
        <v>3834</v>
      </c>
      <c r="C1125" s="25" t="s">
        <v>4019</v>
      </c>
      <c r="D1125" s="25">
        <v>0</v>
      </c>
      <c r="E1125" s="25" t="s">
        <v>4020</v>
      </c>
      <c r="F1125" s="26" t="str">
        <f t="shared" ref="F1125:F1188" si="76">+LEFT(E1125,FIND(".",E1125,1)-1)</f>
        <v>A_ABV800315</v>
      </c>
      <c r="G1125" s="26" t="str">
        <f t="shared" si="73"/>
        <v>N/A</v>
      </c>
      <c r="H1125" s="27" t="str">
        <f t="shared" ref="H1125:H1156" si="77">+CONCATENATE(C1125,".Mode")</f>
        <v>HS800315IO_FB0.Mode</v>
      </c>
      <c r="I1125" s="23" t="str">
        <f t="shared" ref="I1125:I1156" si="78">+G1125</f>
        <v>N/A</v>
      </c>
    </row>
    <row r="1126" spans="2:9" hidden="1" x14ac:dyDescent="0.25">
      <c r="B1126" s="25" t="s">
        <v>3834</v>
      </c>
      <c r="C1126" s="25" t="s">
        <v>4021</v>
      </c>
      <c r="D1126" s="25">
        <v>0</v>
      </c>
      <c r="E1126" s="25" t="s">
        <v>4022</v>
      </c>
      <c r="F1126" s="26" t="str">
        <f t="shared" si="76"/>
        <v>A_ABV800319</v>
      </c>
      <c r="G1126" s="26" t="str">
        <f t="shared" si="73"/>
        <v>N/A</v>
      </c>
      <c r="H1126" s="27" t="str">
        <f t="shared" si="77"/>
        <v>HS800319IO_FB0.Mode</v>
      </c>
      <c r="I1126" s="23" t="str">
        <f t="shared" si="78"/>
        <v>N/A</v>
      </c>
    </row>
    <row r="1127" spans="2:9" hidden="1" x14ac:dyDescent="0.25">
      <c r="B1127" s="25" t="s">
        <v>3834</v>
      </c>
      <c r="C1127" s="25" t="s">
        <v>4023</v>
      </c>
      <c r="D1127" s="25">
        <v>0</v>
      </c>
      <c r="E1127" s="25" t="s">
        <v>4024</v>
      </c>
      <c r="F1127" s="26" t="str">
        <f t="shared" si="76"/>
        <v>A_ABV800405</v>
      </c>
      <c r="G1127" s="26" t="str">
        <f t="shared" si="73"/>
        <v>N/A</v>
      </c>
      <c r="H1127" s="27" t="str">
        <f t="shared" si="77"/>
        <v>HS800405IO_FB0.Mode</v>
      </c>
      <c r="I1127" s="23" t="str">
        <f t="shared" si="78"/>
        <v>N/A</v>
      </c>
    </row>
    <row r="1128" spans="2:9" hidden="1" x14ac:dyDescent="0.25">
      <c r="B1128" s="25" t="s">
        <v>3834</v>
      </c>
      <c r="C1128" s="25" t="s">
        <v>4025</v>
      </c>
      <c r="D1128" s="25">
        <v>0</v>
      </c>
      <c r="E1128" s="25" t="s">
        <v>4026</v>
      </c>
      <c r="F1128" s="26" t="str">
        <f t="shared" si="76"/>
        <v>A_ABV800415</v>
      </c>
      <c r="G1128" s="26" t="str">
        <f t="shared" si="73"/>
        <v>N/A</v>
      </c>
      <c r="H1128" s="27" t="str">
        <f t="shared" si="77"/>
        <v>HS800415IO_FB0.Mode</v>
      </c>
      <c r="I1128" s="23" t="str">
        <f t="shared" si="78"/>
        <v>N/A</v>
      </c>
    </row>
    <row r="1129" spans="2:9" hidden="1" x14ac:dyDescent="0.25">
      <c r="B1129" s="25" t="s">
        <v>3834</v>
      </c>
      <c r="C1129" s="25" t="s">
        <v>4027</v>
      </c>
      <c r="D1129" s="25">
        <v>0</v>
      </c>
      <c r="E1129" s="25" t="s">
        <v>4028</v>
      </c>
      <c r="F1129" s="26" t="str">
        <f t="shared" si="76"/>
        <v>A_ABV800505</v>
      </c>
      <c r="G1129" s="26" t="str">
        <f t="shared" si="73"/>
        <v>N/A</v>
      </c>
      <c r="H1129" s="27" t="str">
        <f t="shared" si="77"/>
        <v>HS800505IO_FB0.Mode</v>
      </c>
      <c r="I1129" s="23" t="str">
        <f t="shared" si="78"/>
        <v>N/A</v>
      </c>
    </row>
    <row r="1130" spans="2:9" hidden="1" x14ac:dyDescent="0.25">
      <c r="B1130" s="25" t="s">
        <v>3834</v>
      </c>
      <c r="C1130" s="25" t="s">
        <v>4029</v>
      </c>
      <c r="D1130" s="25">
        <v>0</v>
      </c>
      <c r="E1130" s="25" t="s">
        <v>4030</v>
      </c>
      <c r="F1130" s="26" t="str">
        <f t="shared" si="76"/>
        <v>A_ABV800511</v>
      </c>
      <c r="G1130" s="26" t="str">
        <f t="shared" si="73"/>
        <v>N/A</v>
      </c>
      <c r="H1130" s="27" t="str">
        <f t="shared" si="77"/>
        <v>HS800511IO_FB0.Mode</v>
      </c>
      <c r="I1130" s="23" t="str">
        <f t="shared" si="78"/>
        <v>N/A</v>
      </c>
    </row>
    <row r="1131" spans="2:9" hidden="1" x14ac:dyDescent="0.25">
      <c r="B1131" s="25" t="s">
        <v>3834</v>
      </c>
      <c r="C1131" s="25" t="s">
        <v>4031</v>
      </c>
      <c r="D1131" s="25">
        <v>0</v>
      </c>
      <c r="E1131" s="25" t="s">
        <v>4032</v>
      </c>
      <c r="F1131" s="26" t="str">
        <f t="shared" si="76"/>
        <v>A_ABV800605</v>
      </c>
      <c r="G1131" s="26" t="str">
        <f t="shared" si="73"/>
        <v>N/A</v>
      </c>
      <c r="H1131" s="27" t="str">
        <f t="shared" si="77"/>
        <v>HS800605IO_FB0.Mode</v>
      </c>
      <c r="I1131" s="23" t="str">
        <f t="shared" si="78"/>
        <v>N/A</v>
      </c>
    </row>
    <row r="1132" spans="2:9" hidden="1" x14ac:dyDescent="0.25">
      <c r="B1132" s="25" t="s">
        <v>3834</v>
      </c>
      <c r="C1132" s="25" t="s">
        <v>4033</v>
      </c>
      <c r="D1132" s="25">
        <v>0</v>
      </c>
      <c r="E1132" s="25" t="s">
        <v>4034</v>
      </c>
      <c r="F1132" s="26" t="str">
        <f t="shared" si="76"/>
        <v>A_ABV800611</v>
      </c>
      <c r="G1132" s="26" t="str">
        <f t="shared" si="73"/>
        <v>N/A</v>
      </c>
      <c r="H1132" s="27" t="str">
        <f t="shared" si="77"/>
        <v>HS800611IO_FB0.Mode</v>
      </c>
      <c r="I1132" s="23" t="str">
        <f t="shared" si="78"/>
        <v>N/A</v>
      </c>
    </row>
    <row r="1133" spans="2:9" hidden="1" x14ac:dyDescent="0.25">
      <c r="B1133" s="25" t="s">
        <v>3834</v>
      </c>
      <c r="C1133" s="25" t="s">
        <v>4035</v>
      </c>
      <c r="D1133" s="25">
        <v>0</v>
      </c>
      <c r="E1133" s="25" t="s">
        <v>4036</v>
      </c>
      <c r="F1133" s="26" t="str">
        <f t="shared" si="76"/>
        <v>A_ABV800612</v>
      </c>
      <c r="G1133" s="26" t="str">
        <f t="shared" si="73"/>
        <v>N/A</v>
      </c>
      <c r="H1133" s="27" t="str">
        <f t="shared" si="77"/>
        <v>HS800612IO_FB0.Mode</v>
      </c>
      <c r="I1133" s="23" t="str">
        <f t="shared" si="78"/>
        <v>N/A</v>
      </c>
    </row>
    <row r="1134" spans="2:9" hidden="1" x14ac:dyDescent="0.25">
      <c r="B1134" s="25" t="s">
        <v>3834</v>
      </c>
      <c r="C1134" s="25" t="s">
        <v>4037</v>
      </c>
      <c r="D1134" s="25">
        <v>0</v>
      </c>
      <c r="E1134" s="25" t="s">
        <v>4038</v>
      </c>
      <c r="F1134" s="26" t="str">
        <f t="shared" si="76"/>
        <v>A_ABV800701</v>
      </c>
      <c r="G1134" s="26" t="str">
        <f t="shared" si="73"/>
        <v>N/A</v>
      </c>
      <c r="H1134" s="27" t="str">
        <f t="shared" si="77"/>
        <v>HS800701IO_FB0.Mode</v>
      </c>
      <c r="I1134" s="23" t="str">
        <f t="shared" si="78"/>
        <v>N/A</v>
      </c>
    </row>
    <row r="1135" spans="2:9" hidden="1" x14ac:dyDescent="0.25">
      <c r="B1135" s="25" t="s">
        <v>3834</v>
      </c>
      <c r="C1135" s="25" t="s">
        <v>4039</v>
      </c>
      <c r="D1135" s="25">
        <v>0</v>
      </c>
      <c r="E1135" s="25" t="s">
        <v>4040</v>
      </c>
      <c r="F1135" s="26" t="str">
        <f t="shared" si="76"/>
        <v>A_ABV800702</v>
      </c>
      <c r="G1135" s="26" t="str">
        <f t="shared" si="73"/>
        <v>N/A</v>
      </c>
      <c r="H1135" s="27" t="str">
        <f t="shared" si="77"/>
        <v>HS800702IO_FB0.Mode</v>
      </c>
      <c r="I1135" s="23" t="str">
        <f t="shared" si="78"/>
        <v>N/A</v>
      </c>
    </row>
    <row r="1136" spans="2:9" hidden="1" x14ac:dyDescent="0.25">
      <c r="B1136" s="25" t="s">
        <v>3834</v>
      </c>
      <c r="C1136" s="25" t="s">
        <v>4041</v>
      </c>
      <c r="D1136" s="25">
        <v>0</v>
      </c>
      <c r="E1136" s="25" t="s">
        <v>4042</v>
      </c>
      <c r="F1136" s="26" t="str">
        <f t="shared" si="76"/>
        <v>A_ABV800703</v>
      </c>
      <c r="G1136" s="26" t="str">
        <f t="shared" si="73"/>
        <v>N/A</v>
      </c>
      <c r="H1136" s="27" t="str">
        <f t="shared" si="77"/>
        <v>HS800703IO_FB0.Mode</v>
      </c>
      <c r="I1136" s="23" t="str">
        <f t="shared" si="78"/>
        <v>N/A</v>
      </c>
    </row>
    <row r="1137" spans="2:9" hidden="1" x14ac:dyDescent="0.25">
      <c r="B1137" s="25" t="s">
        <v>3834</v>
      </c>
      <c r="C1137" s="25" t="s">
        <v>4043</v>
      </c>
      <c r="D1137" s="25">
        <v>0</v>
      </c>
      <c r="E1137" s="25" t="s">
        <v>4044</v>
      </c>
      <c r="F1137" s="26" t="str">
        <f t="shared" si="76"/>
        <v>A_ABV800811</v>
      </c>
      <c r="G1137" s="26" t="str">
        <f t="shared" si="73"/>
        <v>N/A</v>
      </c>
      <c r="H1137" s="27" t="str">
        <f t="shared" si="77"/>
        <v>HS800811IO_FB0.Mode</v>
      </c>
      <c r="I1137" s="23" t="str">
        <f t="shared" si="78"/>
        <v>N/A</v>
      </c>
    </row>
    <row r="1138" spans="2:9" hidden="1" x14ac:dyDescent="0.25">
      <c r="B1138" s="25" t="s">
        <v>3834</v>
      </c>
      <c r="C1138" s="25" t="s">
        <v>4045</v>
      </c>
      <c r="D1138" s="25">
        <v>0</v>
      </c>
      <c r="E1138" s="25" t="s">
        <v>4046</v>
      </c>
      <c r="F1138" s="26" t="str">
        <f t="shared" si="76"/>
        <v>A_ABV800812</v>
      </c>
      <c r="G1138" s="26" t="str">
        <f t="shared" si="73"/>
        <v>N/A</v>
      </c>
      <c r="H1138" s="27" t="str">
        <f t="shared" si="77"/>
        <v>HS800812IO_FB0.Mode</v>
      </c>
      <c r="I1138" s="23" t="str">
        <f t="shared" si="78"/>
        <v>N/A</v>
      </c>
    </row>
    <row r="1139" spans="2:9" hidden="1" x14ac:dyDescent="0.25">
      <c r="B1139" s="25" t="s">
        <v>3834</v>
      </c>
      <c r="C1139" s="25" t="s">
        <v>4047</v>
      </c>
      <c r="D1139" s="25">
        <v>0</v>
      </c>
      <c r="E1139" s="25" t="s">
        <v>4048</v>
      </c>
      <c r="F1139" s="26" t="str">
        <f t="shared" si="76"/>
        <v>A_ABV800815</v>
      </c>
      <c r="G1139" s="26" t="str">
        <f t="shared" si="73"/>
        <v>N/A</v>
      </c>
      <c r="H1139" s="27" t="str">
        <f t="shared" si="77"/>
        <v>HS800815IO_FB0.Mode</v>
      </c>
      <c r="I1139" s="23" t="str">
        <f t="shared" si="78"/>
        <v>N/A</v>
      </c>
    </row>
    <row r="1140" spans="2:9" hidden="1" x14ac:dyDescent="0.25">
      <c r="B1140" s="25" t="s">
        <v>3834</v>
      </c>
      <c r="C1140" s="25" t="s">
        <v>4049</v>
      </c>
      <c r="D1140" s="25">
        <v>0</v>
      </c>
      <c r="E1140" s="25" t="s">
        <v>4050</v>
      </c>
      <c r="F1140" s="26" t="str">
        <f t="shared" si="76"/>
        <v>A_ABV803005</v>
      </c>
      <c r="G1140" s="26" t="str">
        <f t="shared" si="73"/>
        <v>N/A</v>
      </c>
      <c r="H1140" s="27" t="str">
        <f t="shared" si="77"/>
        <v>HS803005IO_FB0.Mode</v>
      </c>
      <c r="I1140" s="23" t="str">
        <f t="shared" si="78"/>
        <v>N/A</v>
      </c>
    </row>
    <row r="1141" spans="2:9" hidden="1" x14ac:dyDescent="0.25">
      <c r="B1141" s="25" t="s">
        <v>3834</v>
      </c>
      <c r="C1141" s="25" t="s">
        <v>4051</v>
      </c>
      <c r="D1141" s="25">
        <v>0</v>
      </c>
      <c r="E1141" s="25" t="s">
        <v>4052</v>
      </c>
      <c r="F1141" s="26" t="str">
        <f t="shared" si="76"/>
        <v>A_ABV803011</v>
      </c>
      <c r="G1141" s="26" t="str">
        <f t="shared" si="73"/>
        <v>N/A</v>
      </c>
      <c r="H1141" s="27" t="str">
        <f t="shared" si="77"/>
        <v>HS803011IO_FB0.Mode</v>
      </c>
      <c r="I1141" s="23" t="str">
        <f t="shared" si="78"/>
        <v>N/A</v>
      </c>
    </row>
    <row r="1142" spans="2:9" hidden="1" x14ac:dyDescent="0.25">
      <c r="B1142" s="25" t="s">
        <v>3834</v>
      </c>
      <c r="C1142" s="25" t="s">
        <v>4053</v>
      </c>
      <c r="D1142" s="25">
        <v>0</v>
      </c>
      <c r="E1142" s="25" t="s">
        <v>4054</v>
      </c>
      <c r="F1142" s="26" t="str">
        <f t="shared" si="76"/>
        <v>A_ABV803012</v>
      </c>
      <c r="G1142" s="26" t="str">
        <f t="shared" si="73"/>
        <v>N/A</v>
      </c>
      <c r="H1142" s="27" t="str">
        <f t="shared" si="77"/>
        <v>HS803012IO_FB0.Mode</v>
      </c>
      <c r="I1142" s="23" t="str">
        <f t="shared" si="78"/>
        <v>N/A</v>
      </c>
    </row>
    <row r="1143" spans="2:9" hidden="1" x14ac:dyDescent="0.25">
      <c r="B1143" s="25" t="s">
        <v>3834</v>
      </c>
      <c r="C1143" s="25" t="s">
        <v>4055</v>
      </c>
      <c r="D1143" s="25">
        <v>0</v>
      </c>
      <c r="E1143" s="25" t="s">
        <v>4056</v>
      </c>
      <c r="F1143" s="26" t="str">
        <f t="shared" si="76"/>
        <v>A_ABV803105</v>
      </c>
      <c r="G1143" s="26" t="str">
        <f t="shared" si="73"/>
        <v>N/A</v>
      </c>
      <c r="H1143" s="27" t="str">
        <f t="shared" si="77"/>
        <v>HS803105IO_FB0.Mode</v>
      </c>
      <c r="I1143" s="23" t="str">
        <f t="shared" si="78"/>
        <v>N/A</v>
      </c>
    </row>
    <row r="1144" spans="2:9" hidden="1" x14ac:dyDescent="0.25">
      <c r="B1144" s="25" t="s">
        <v>3834</v>
      </c>
      <c r="C1144" s="25" t="s">
        <v>4057</v>
      </c>
      <c r="D1144" s="25">
        <v>0</v>
      </c>
      <c r="E1144" s="25" t="s">
        <v>4058</v>
      </c>
      <c r="F1144" s="26" t="str">
        <f t="shared" si="76"/>
        <v>A_ABV803111</v>
      </c>
      <c r="G1144" s="26" t="str">
        <f t="shared" si="73"/>
        <v>N/A</v>
      </c>
      <c r="H1144" s="27" t="str">
        <f t="shared" si="77"/>
        <v>HS803111IO_FB0.Mode</v>
      </c>
      <c r="I1144" s="23" t="str">
        <f t="shared" si="78"/>
        <v>N/A</v>
      </c>
    </row>
    <row r="1145" spans="2:9" hidden="1" x14ac:dyDescent="0.25">
      <c r="B1145" s="25" t="s">
        <v>3834</v>
      </c>
      <c r="C1145" s="25" t="s">
        <v>4059</v>
      </c>
      <c r="D1145" s="25">
        <v>0</v>
      </c>
      <c r="E1145" s="25" t="s">
        <v>4060</v>
      </c>
      <c r="F1145" s="26" t="str">
        <f t="shared" si="76"/>
        <v>A_ABV803112</v>
      </c>
      <c r="G1145" s="26" t="str">
        <f t="shared" si="73"/>
        <v>N/A</v>
      </c>
      <c r="H1145" s="27" t="str">
        <f t="shared" si="77"/>
        <v>HS803112IO_FB0.Mode</v>
      </c>
      <c r="I1145" s="23" t="str">
        <f t="shared" si="78"/>
        <v>N/A</v>
      </c>
    </row>
    <row r="1146" spans="2:9" hidden="1" x14ac:dyDescent="0.25">
      <c r="B1146" s="25" t="s">
        <v>3834</v>
      </c>
      <c r="C1146" s="25" t="s">
        <v>4061</v>
      </c>
      <c r="D1146" s="25">
        <v>0</v>
      </c>
      <c r="E1146" s="25" t="s">
        <v>4062</v>
      </c>
      <c r="F1146" s="26" t="str">
        <f t="shared" si="76"/>
        <v>A_ABV803205</v>
      </c>
      <c r="G1146" s="26" t="str">
        <f t="shared" si="73"/>
        <v>N/A</v>
      </c>
      <c r="H1146" s="27" t="str">
        <f t="shared" si="77"/>
        <v>HS803205IO_FB0.Mode</v>
      </c>
      <c r="I1146" s="23" t="str">
        <f t="shared" si="78"/>
        <v>N/A</v>
      </c>
    </row>
    <row r="1147" spans="2:9" hidden="1" x14ac:dyDescent="0.25">
      <c r="B1147" s="25" t="s">
        <v>3834</v>
      </c>
      <c r="C1147" s="25" t="s">
        <v>4063</v>
      </c>
      <c r="D1147" s="25">
        <v>0</v>
      </c>
      <c r="E1147" s="25" t="s">
        <v>4064</v>
      </c>
      <c r="F1147" s="26" t="str">
        <f t="shared" si="76"/>
        <v>A_ABV803211</v>
      </c>
      <c r="G1147" s="26" t="str">
        <f t="shared" si="73"/>
        <v>N/A</v>
      </c>
      <c r="H1147" s="27" t="str">
        <f t="shared" si="77"/>
        <v>HS803211IO_FB0.Mode</v>
      </c>
      <c r="I1147" s="23" t="str">
        <f t="shared" si="78"/>
        <v>N/A</v>
      </c>
    </row>
    <row r="1148" spans="2:9" hidden="1" x14ac:dyDescent="0.25">
      <c r="B1148" s="25" t="s">
        <v>3834</v>
      </c>
      <c r="C1148" s="25" t="s">
        <v>4065</v>
      </c>
      <c r="D1148" s="25">
        <v>0</v>
      </c>
      <c r="E1148" s="25" t="s">
        <v>4066</v>
      </c>
      <c r="F1148" s="26" t="str">
        <f t="shared" si="76"/>
        <v>A_ABV803212</v>
      </c>
      <c r="G1148" s="26" t="str">
        <f t="shared" si="73"/>
        <v>N/A</v>
      </c>
      <c r="H1148" s="27" t="str">
        <f t="shared" si="77"/>
        <v>HS803212IO_FB0.Mode</v>
      </c>
      <c r="I1148" s="23" t="str">
        <f t="shared" si="78"/>
        <v>N/A</v>
      </c>
    </row>
    <row r="1149" spans="2:9" hidden="1" x14ac:dyDescent="0.25">
      <c r="B1149" s="25" t="s">
        <v>3834</v>
      </c>
      <c r="C1149" s="25" t="s">
        <v>4067</v>
      </c>
      <c r="D1149" s="25">
        <v>0</v>
      </c>
      <c r="E1149" s="25" t="s">
        <v>4068</v>
      </c>
      <c r="F1149" s="26" t="str">
        <f t="shared" si="76"/>
        <v>A_ABV803401</v>
      </c>
      <c r="G1149" s="26" t="str">
        <f t="shared" si="73"/>
        <v>N/A</v>
      </c>
      <c r="H1149" s="27" t="str">
        <f t="shared" si="77"/>
        <v>HS803401IO_FB0.Mode</v>
      </c>
      <c r="I1149" s="23" t="str">
        <f t="shared" si="78"/>
        <v>N/A</v>
      </c>
    </row>
    <row r="1150" spans="2:9" hidden="1" x14ac:dyDescent="0.25">
      <c r="B1150" s="25" t="s">
        <v>3834</v>
      </c>
      <c r="C1150" s="25" t="s">
        <v>4069</v>
      </c>
      <c r="D1150" s="25">
        <v>0</v>
      </c>
      <c r="E1150" s="25" t="s">
        <v>4070</v>
      </c>
      <c r="F1150" s="26" t="str">
        <f t="shared" si="76"/>
        <v>A_ABV803404</v>
      </c>
      <c r="G1150" s="26" t="str">
        <f t="shared" si="73"/>
        <v>N/A</v>
      </c>
      <c r="H1150" s="27" t="str">
        <f t="shared" si="77"/>
        <v>HS803404IO_FB0.Mode</v>
      </c>
      <c r="I1150" s="23" t="str">
        <f t="shared" si="78"/>
        <v>N/A</v>
      </c>
    </row>
    <row r="1151" spans="2:9" hidden="1" x14ac:dyDescent="0.25">
      <c r="B1151" s="25" t="s">
        <v>3834</v>
      </c>
      <c r="C1151" s="25" t="s">
        <v>4071</v>
      </c>
      <c r="D1151" s="25">
        <v>0</v>
      </c>
      <c r="E1151" s="25" t="s">
        <v>4072</v>
      </c>
      <c r="F1151" s="26" t="str">
        <f t="shared" si="76"/>
        <v>A_ABV803407</v>
      </c>
      <c r="G1151" s="26" t="str">
        <f t="shared" si="73"/>
        <v>N/A</v>
      </c>
      <c r="H1151" s="27" t="str">
        <f t="shared" si="77"/>
        <v>HS803407IO_FB0.Mode</v>
      </c>
      <c r="I1151" s="23" t="str">
        <f t="shared" si="78"/>
        <v>N/A</v>
      </c>
    </row>
    <row r="1152" spans="2:9" hidden="1" x14ac:dyDescent="0.25">
      <c r="B1152" s="25" t="s">
        <v>3834</v>
      </c>
      <c r="C1152" s="25" t="s">
        <v>4073</v>
      </c>
      <c r="D1152" s="25">
        <v>0</v>
      </c>
      <c r="E1152" s="25" t="s">
        <v>4074</v>
      </c>
      <c r="F1152" s="26" t="str">
        <f t="shared" si="76"/>
        <v>A_ABV803501</v>
      </c>
      <c r="G1152" s="26" t="str">
        <f t="shared" si="73"/>
        <v>N/A</v>
      </c>
      <c r="H1152" s="27" t="str">
        <f t="shared" si="77"/>
        <v>HS803501IO_FB0.Mode</v>
      </c>
      <c r="I1152" s="23" t="str">
        <f t="shared" si="78"/>
        <v>N/A</v>
      </c>
    </row>
    <row r="1153" spans="2:9" hidden="1" x14ac:dyDescent="0.25">
      <c r="B1153" s="25" t="s">
        <v>3834</v>
      </c>
      <c r="C1153" s="25" t="s">
        <v>4075</v>
      </c>
      <c r="D1153" s="25">
        <v>0</v>
      </c>
      <c r="E1153" s="25" t="s">
        <v>4076</v>
      </c>
      <c r="F1153" s="26" t="str">
        <f t="shared" si="76"/>
        <v>A_ABV803511</v>
      </c>
      <c r="G1153" s="26" t="str">
        <f t="shared" si="73"/>
        <v>N/A</v>
      </c>
      <c r="H1153" s="27" t="str">
        <f t="shared" si="77"/>
        <v>HS803511IO_FB0.Mode</v>
      </c>
      <c r="I1153" s="23" t="str">
        <f t="shared" si="78"/>
        <v>N/A</v>
      </c>
    </row>
    <row r="1154" spans="2:9" hidden="1" x14ac:dyDescent="0.25">
      <c r="B1154" s="25" t="s">
        <v>3834</v>
      </c>
      <c r="C1154" s="25" t="s">
        <v>4077</v>
      </c>
      <c r="D1154" s="25">
        <v>0</v>
      </c>
      <c r="E1154" s="25" t="s">
        <v>4078</v>
      </c>
      <c r="F1154" s="26" t="str">
        <f t="shared" si="76"/>
        <v>A_ABV803601</v>
      </c>
      <c r="G1154" s="26" t="str">
        <f t="shared" ref="G1154:G1217" si="79">+IFERROR(IF(VLOOKUP(F1154,DI,2,FALSE)="IO",2,0),"N/A")</f>
        <v>N/A</v>
      </c>
      <c r="H1154" s="27" t="str">
        <f t="shared" si="77"/>
        <v>HS803601IO_FB0.Mode</v>
      </c>
      <c r="I1154" s="23" t="str">
        <f t="shared" si="78"/>
        <v>N/A</v>
      </c>
    </row>
    <row r="1155" spans="2:9" hidden="1" x14ac:dyDescent="0.25">
      <c r="B1155" s="25" t="s">
        <v>3834</v>
      </c>
      <c r="C1155" s="25" t="s">
        <v>4079</v>
      </c>
      <c r="D1155" s="25">
        <v>0</v>
      </c>
      <c r="E1155" s="25" t="s">
        <v>4080</v>
      </c>
      <c r="F1155" s="26" t="str">
        <f t="shared" si="76"/>
        <v>A_ABV803604</v>
      </c>
      <c r="G1155" s="26" t="str">
        <f t="shared" si="79"/>
        <v>N/A</v>
      </c>
      <c r="H1155" s="27" t="str">
        <f t="shared" si="77"/>
        <v>HS803604IO_FB0.Mode</v>
      </c>
      <c r="I1155" s="23" t="str">
        <f t="shared" si="78"/>
        <v>N/A</v>
      </c>
    </row>
    <row r="1156" spans="2:9" hidden="1" x14ac:dyDescent="0.25">
      <c r="B1156" s="25" t="s">
        <v>3834</v>
      </c>
      <c r="C1156" s="25" t="s">
        <v>4081</v>
      </c>
      <c r="D1156" s="25">
        <v>0</v>
      </c>
      <c r="E1156" s="25" t="s">
        <v>4082</v>
      </c>
      <c r="F1156" s="26" t="str">
        <f t="shared" si="76"/>
        <v>A_ABV805003</v>
      </c>
      <c r="G1156" s="26" t="str">
        <f t="shared" si="79"/>
        <v>N/A</v>
      </c>
      <c r="H1156" s="27" t="str">
        <f t="shared" si="77"/>
        <v>HS805003IO_FB0.Mode</v>
      </c>
      <c r="I1156" s="23" t="str">
        <f t="shared" si="78"/>
        <v>N/A</v>
      </c>
    </row>
    <row r="1157" spans="2:9" hidden="1" x14ac:dyDescent="0.25">
      <c r="B1157" s="25" t="s">
        <v>3834</v>
      </c>
      <c r="C1157" s="25" t="s">
        <v>4083</v>
      </c>
      <c r="D1157" s="25">
        <v>0</v>
      </c>
      <c r="E1157" s="25" t="s">
        <v>4084</v>
      </c>
      <c r="F1157" s="26" t="str">
        <f t="shared" si="76"/>
        <v>A_ABV805018</v>
      </c>
      <c r="G1157" s="26" t="str">
        <f t="shared" si="79"/>
        <v>N/A</v>
      </c>
      <c r="H1157" s="27" t="str">
        <f t="shared" ref="H1157:H1185" si="80">+CONCATENATE(C1157,".Mode")</f>
        <v>HS805018IO_FB0.Mode</v>
      </c>
      <c r="I1157" s="23" t="str">
        <f t="shared" ref="I1157:I1185" si="81">+G1157</f>
        <v>N/A</v>
      </c>
    </row>
    <row r="1158" spans="2:9" hidden="1" x14ac:dyDescent="0.25">
      <c r="B1158" s="25" t="s">
        <v>3834</v>
      </c>
      <c r="C1158" s="25" t="s">
        <v>4085</v>
      </c>
      <c r="D1158" s="25">
        <v>0</v>
      </c>
      <c r="E1158" s="25" t="s">
        <v>4086</v>
      </c>
      <c r="F1158" s="26" t="str">
        <f t="shared" si="76"/>
        <v>A_ABV805019</v>
      </c>
      <c r="G1158" s="26" t="str">
        <f t="shared" si="79"/>
        <v>N/A</v>
      </c>
      <c r="H1158" s="27" t="str">
        <f t="shared" si="80"/>
        <v>HS805019IO_FB0.Mode</v>
      </c>
      <c r="I1158" s="23" t="str">
        <f t="shared" si="81"/>
        <v>N/A</v>
      </c>
    </row>
    <row r="1159" spans="2:9" hidden="1" x14ac:dyDescent="0.25">
      <c r="B1159" s="25" t="s">
        <v>3834</v>
      </c>
      <c r="C1159" s="25" t="s">
        <v>4087</v>
      </c>
      <c r="D1159" s="25">
        <v>0</v>
      </c>
      <c r="E1159" s="25" t="s">
        <v>4088</v>
      </c>
      <c r="F1159" s="26" t="str">
        <f t="shared" si="76"/>
        <v>A_ABV805020</v>
      </c>
      <c r="G1159" s="26" t="str">
        <f t="shared" si="79"/>
        <v>N/A</v>
      </c>
      <c r="H1159" s="27" t="str">
        <f t="shared" si="80"/>
        <v>HS805020IO_FB0.Mode</v>
      </c>
      <c r="I1159" s="23" t="str">
        <f t="shared" si="81"/>
        <v>N/A</v>
      </c>
    </row>
    <row r="1160" spans="2:9" hidden="1" x14ac:dyDescent="0.25">
      <c r="B1160" s="25" t="s">
        <v>3834</v>
      </c>
      <c r="C1160" s="25" t="s">
        <v>4089</v>
      </c>
      <c r="D1160" s="25">
        <v>0</v>
      </c>
      <c r="E1160" s="25" t="s">
        <v>4090</v>
      </c>
      <c r="F1160" s="26" t="str">
        <f t="shared" si="76"/>
        <v>A_ABV805021</v>
      </c>
      <c r="G1160" s="26" t="str">
        <f t="shared" si="79"/>
        <v>N/A</v>
      </c>
      <c r="H1160" s="27" t="str">
        <f t="shared" si="80"/>
        <v>HS805021IO_FB0.Mode</v>
      </c>
      <c r="I1160" s="23" t="str">
        <f t="shared" si="81"/>
        <v>N/A</v>
      </c>
    </row>
    <row r="1161" spans="2:9" hidden="1" x14ac:dyDescent="0.25">
      <c r="B1161" s="25" t="s">
        <v>3834</v>
      </c>
      <c r="C1161" s="25" t="s">
        <v>4091</v>
      </c>
      <c r="D1161" s="25">
        <v>0</v>
      </c>
      <c r="E1161" s="25" t="s">
        <v>4092</v>
      </c>
      <c r="F1161" s="26" t="str">
        <f t="shared" si="76"/>
        <v>A_ABV805022</v>
      </c>
      <c r="G1161" s="26" t="str">
        <f t="shared" si="79"/>
        <v>N/A</v>
      </c>
      <c r="H1161" s="27" t="str">
        <f t="shared" si="80"/>
        <v>HS805022IO_FB0.Mode</v>
      </c>
      <c r="I1161" s="23" t="str">
        <f t="shared" si="81"/>
        <v>N/A</v>
      </c>
    </row>
    <row r="1162" spans="2:9" hidden="1" x14ac:dyDescent="0.25">
      <c r="B1162" s="25" t="s">
        <v>3834</v>
      </c>
      <c r="C1162" s="25" t="s">
        <v>4093</v>
      </c>
      <c r="D1162" s="25">
        <v>0</v>
      </c>
      <c r="E1162" s="25" t="s">
        <v>4094</v>
      </c>
      <c r="F1162" s="26" t="str">
        <f t="shared" si="76"/>
        <v>A_ABV807007</v>
      </c>
      <c r="G1162" s="26" t="str">
        <f t="shared" si="79"/>
        <v>N/A</v>
      </c>
      <c r="H1162" s="27" t="str">
        <f t="shared" si="80"/>
        <v>HS807007IO_FB0.Mode</v>
      </c>
      <c r="I1162" s="23" t="str">
        <f t="shared" si="81"/>
        <v>N/A</v>
      </c>
    </row>
    <row r="1163" spans="2:9" hidden="1" x14ac:dyDescent="0.25">
      <c r="B1163" s="25" t="s">
        <v>3834</v>
      </c>
      <c r="C1163" s="25" t="s">
        <v>4095</v>
      </c>
      <c r="D1163" s="25">
        <v>0</v>
      </c>
      <c r="E1163" s="25" t="s">
        <v>4096</v>
      </c>
      <c r="F1163" s="26" t="str">
        <f t="shared" si="76"/>
        <v>A_ABV807008</v>
      </c>
      <c r="G1163" s="26" t="str">
        <f t="shared" si="79"/>
        <v>N/A</v>
      </c>
      <c r="H1163" s="27" t="str">
        <f t="shared" si="80"/>
        <v>HS807008IO_FB0.Mode</v>
      </c>
      <c r="I1163" s="23" t="str">
        <f t="shared" si="81"/>
        <v>N/A</v>
      </c>
    </row>
    <row r="1164" spans="2:9" hidden="1" x14ac:dyDescent="0.25">
      <c r="B1164" s="25" t="s">
        <v>3834</v>
      </c>
      <c r="C1164" s="25" t="s">
        <v>4097</v>
      </c>
      <c r="D1164" s="25">
        <v>0</v>
      </c>
      <c r="E1164" s="25" t="s">
        <v>4098</v>
      </c>
      <c r="F1164" s="26" t="str">
        <f t="shared" si="76"/>
        <v>A_ABV807009</v>
      </c>
      <c r="G1164" s="26" t="str">
        <f t="shared" si="79"/>
        <v>N/A</v>
      </c>
      <c r="H1164" s="27" t="str">
        <f t="shared" si="80"/>
        <v>HS807009IO_FB0.Mode</v>
      </c>
      <c r="I1164" s="23" t="str">
        <f t="shared" si="81"/>
        <v>N/A</v>
      </c>
    </row>
    <row r="1165" spans="2:9" hidden="1" x14ac:dyDescent="0.25">
      <c r="B1165" s="25" t="s">
        <v>3834</v>
      </c>
      <c r="C1165" s="25" t="s">
        <v>4099</v>
      </c>
      <c r="D1165" s="25">
        <v>0</v>
      </c>
      <c r="E1165" s="25" t="s">
        <v>4100</v>
      </c>
      <c r="F1165" s="26" t="str">
        <f t="shared" si="76"/>
        <v>A_ABV807016</v>
      </c>
      <c r="G1165" s="26" t="str">
        <f t="shared" si="79"/>
        <v>N/A</v>
      </c>
      <c r="H1165" s="27" t="str">
        <f t="shared" si="80"/>
        <v>HS807016IO_FB0.Mode</v>
      </c>
      <c r="I1165" s="23" t="str">
        <f t="shared" si="81"/>
        <v>N/A</v>
      </c>
    </row>
    <row r="1166" spans="2:9" hidden="1" x14ac:dyDescent="0.25">
      <c r="B1166" s="25" t="s">
        <v>3834</v>
      </c>
      <c r="C1166" s="25" t="s">
        <v>4101</v>
      </c>
      <c r="D1166" s="25">
        <v>0</v>
      </c>
      <c r="E1166" s="25" t="s">
        <v>4102</v>
      </c>
      <c r="F1166" s="26" t="str">
        <f t="shared" si="76"/>
        <v>A_ABV807017</v>
      </c>
      <c r="G1166" s="26" t="str">
        <f t="shared" si="79"/>
        <v>N/A</v>
      </c>
      <c r="H1166" s="27" t="str">
        <f t="shared" si="80"/>
        <v>HS807017IO_FB0.Mode</v>
      </c>
      <c r="I1166" s="23" t="str">
        <f t="shared" si="81"/>
        <v>N/A</v>
      </c>
    </row>
    <row r="1167" spans="2:9" hidden="1" x14ac:dyDescent="0.25">
      <c r="B1167" s="25" t="s">
        <v>3834</v>
      </c>
      <c r="C1167" s="25" t="s">
        <v>4103</v>
      </c>
      <c r="D1167" s="25">
        <v>0</v>
      </c>
      <c r="E1167" s="25" t="s">
        <v>4104</v>
      </c>
      <c r="F1167" s="26" t="str">
        <f t="shared" si="76"/>
        <v>A_ABV807018</v>
      </c>
      <c r="G1167" s="26" t="str">
        <f t="shared" si="79"/>
        <v>N/A</v>
      </c>
      <c r="H1167" s="27" t="str">
        <f t="shared" si="80"/>
        <v>HS807018IO_FB0.Mode</v>
      </c>
      <c r="I1167" s="23" t="str">
        <f t="shared" si="81"/>
        <v>N/A</v>
      </c>
    </row>
    <row r="1168" spans="2:9" hidden="1" x14ac:dyDescent="0.25">
      <c r="B1168" s="25" t="s">
        <v>3834</v>
      </c>
      <c r="C1168" s="25" t="s">
        <v>4105</v>
      </c>
      <c r="D1168" s="25">
        <v>0</v>
      </c>
      <c r="E1168" s="25" t="s">
        <v>4106</v>
      </c>
      <c r="F1168" s="26" t="str">
        <f t="shared" si="76"/>
        <v>A_ABV807026</v>
      </c>
      <c r="G1168" s="26" t="str">
        <f t="shared" si="79"/>
        <v>N/A</v>
      </c>
      <c r="H1168" s="27" t="str">
        <f t="shared" si="80"/>
        <v>HS807026IO_FB0.Mode</v>
      </c>
      <c r="I1168" s="23" t="str">
        <f t="shared" si="81"/>
        <v>N/A</v>
      </c>
    </row>
    <row r="1169" spans="2:9" hidden="1" x14ac:dyDescent="0.25">
      <c r="B1169" s="25" t="s">
        <v>3834</v>
      </c>
      <c r="C1169" s="25" t="s">
        <v>4107</v>
      </c>
      <c r="D1169" s="25">
        <v>0</v>
      </c>
      <c r="E1169" s="25" t="s">
        <v>4108</v>
      </c>
      <c r="F1169" s="26" t="str">
        <f t="shared" si="76"/>
        <v>A_ABV807027</v>
      </c>
      <c r="G1169" s="26" t="str">
        <f t="shared" si="79"/>
        <v>N/A</v>
      </c>
      <c r="H1169" s="27" t="str">
        <f t="shared" si="80"/>
        <v>HS807027IO_FB0.Mode</v>
      </c>
      <c r="I1169" s="23" t="str">
        <f t="shared" si="81"/>
        <v>N/A</v>
      </c>
    </row>
    <row r="1170" spans="2:9" hidden="1" x14ac:dyDescent="0.25">
      <c r="B1170" s="25" t="s">
        <v>3834</v>
      </c>
      <c r="C1170" s="25" t="s">
        <v>4109</v>
      </c>
      <c r="D1170" s="25">
        <v>0</v>
      </c>
      <c r="E1170" s="25" t="s">
        <v>4110</v>
      </c>
      <c r="F1170" s="26" t="str">
        <f t="shared" si="76"/>
        <v>A_ABV808104</v>
      </c>
      <c r="G1170" s="26" t="str">
        <f t="shared" si="79"/>
        <v>N/A</v>
      </c>
      <c r="H1170" s="27" t="str">
        <f t="shared" si="80"/>
        <v>HS808104IO_FB0.Mode</v>
      </c>
      <c r="I1170" s="23" t="str">
        <f t="shared" si="81"/>
        <v>N/A</v>
      </c>
    </row>
    <row r="1171" spans="2:9" hidden="1" x14ac:dyDescent="0.25">
      <c r="B1171" s="25" t="s">
        <v>3834</v>
      </c>
      <c r="C1171" s="25" t="s">
        <v>4111</v>
      </c>
      <c r="D1171" s="25">
        <v>0</v>
      </c>
      <c r="E1171" s="25" t="s">
        <v>4112</v>
      </c>
      <c r="F1171" s="26" t="str">
        <f t="shared" si="76"/>
        <v>A_ABV808114</v>
      </c>
      <c r="G1171" s="26" t="str">
        <f t="shared" si="79"/>
        <v>N/A</v>
      </c>
      <c r="H1171" s="27" t="str">
        <f t="shared" si="80"/>
        <v>HS808114IO_FB0.Mode</v>
      </c>
      <c r="I1171" s="23" t="str">
        <f t="shared" si="81"/>
        <v>N/A</v>
      </c>
    </row>
    <row r="1172" spans="2:9" hidden="1" x14ac:dyDescent="0.25">
      <c r="B1172" s="25" t="s">
        <v>3834</v>
      </c>
      <c r="C1172" s="25" t="s">
        <v>4113</v>
      </c>
      <c r="D1172" s="25">
        <v>0</v>
      </c>
      <c r="E1172" s="25" t="s">
        <v>4114</v>
      </c>
      <c r="F1172" s="26" t="str">
        <f t="shared" si="76"/>
        <v>A_ABV808115</v>
      </c>
      <c r="G1172" s="26" t="str">
        <f t="shared" si="79"/>
        <v>N/A</v>
      </c>
      <c r="H1172" s="27" t="str">
        <f t="shared" si="80"/>
        <v>HS808115IO_FB0.Mode</v>
      </c>
      <c r="I1172" s="23" t="str">
        <f t="shared" si="81"/>
        <v>N/A</v>
      </c>
    </row>
    <row r="1173" spans="2:9" hidden="1" x14ac:dyDescent="0.25">
      <c r="B1173" s="25" t="s">
        <v>3834</v>
      </c>
      <c r="C1173" s="25" t="s">
        <v>4115</v>
      </c>
      <c r="D1173" s="25">
        <v>0</v>
      </c>
      <c r="E1173" s="25" t="s">
        <v>4116</v>
      </c>
      <c r="F1173" s="26" t="str">
        <f t="shared" si="76"/>
        <v>A_ABV808205</v>
      </c>
      <c r="G1173" s="26" t="str">
        <f t="shared" si="79"/>
        <v>N/A</v>
      </c>
      <c r="H1173" s="27" t="str">
        <f t="shared" si="80"/>
        <v>HS808205IO_FB0.Mode</v>
      </c>
      <c r="I1173" s="23" t="str">
        <f t="shared" si="81"/>
        <v>N/A</v>
      </c>
    </row>
    <row r="1174" spans="2:9" hidden="1" x14ac:dyDescent="0.25">
      <c r="B1174" s="25" t="s">
        <v>3834</v>
      </c>
      <c r="C1174" s="25" t="s">
        <v>4117</v>
      </c>
      <c r="D1174" s="25">
        <v>0</v>
      </c>
      <c r="E1174" s="25" t="s">
        <v>4118</v>
      </c>
      <c r="F1174" s="26" t="str">
        <f t="shared" si="76"/>
        <v>A_ABV808211</v>
      </c>
      <c r="G1174" s="26" t="str">
        <f t="shared" si="79"/>
        <v>N/A</v>
      </c>
      <c r="H1174" s="27" t="str">
        <f t="shared" si="80"/>
        <v>HS808211IO_FB0.Mode</v>
      </c>
      <c r="I1174" s="23" t="str">
        <f t="shared" si="81"/>
        <v>N/A</v>
      </c>
    </row>
    <row r="1175" spans="2:9" hidden="1" x14ac:dyDescent="0.25">
      <c r="B1175" s="25" t="s">
        <v>3834</v>
      </c>
      <c r="C1175" s="25" t="s">
        <v>4119</v>
      </c>
      <c r="D1175" s="25">
        <v>0</v>
      </c>
      <c r="E1175" s="25" t="s">
        <v>4120</v>
      </c>
      <c r="F1175" s="26" t="str">
        <f t="shared" si="76"/>
        <v>A_ABV808214</v>
      </c>
      <c r="G1175" s="26" t="str">
        <f t="shared" si="79"/>
        <v>N/A</v>
      </c>
      <c r="H1175" s="27" t="str">
        <f t="shared" si="80"/>
        <v>HS808214IO_FB0.Mode</v>
      </c>
      <c r="I1175" s="23" t="str">
        <f t="shared" si="81"/>
        <v>N/A</v>
      </c>
    </row>
    <row r="1176" spans="2:9" hidden="1" x14ac:dyDescent="0.25">
      <c r="B1176" s="25" t="s">
        <v>3834</v>
      </c>
      <c r="C1176" s="25" t="s">
        <v>4121</v>
      </c>
      <c r="D1176" s="25">
        <v>0</v>
      </c>
      <c r="E1176" s="25" t="s">
        <v>4122</v>
      </c>
      <c r="F1176" s="26" t="str">
        <f t="shared" si="76"/>
        <v>A_ABV808309</v>
      </c>
      <c r="G1176" s="26" t="str">
        <f t="shared" si="79"/>
        <v>N/A</v>
      </c>
      <c r="H1176" s="27" t="str">
        <f t="shared" si="80"/>
        <v>HS808309IO_FB0.Mode</v>
      </c>
      <c r="I1176" s="23" t="str">
        <f t="shared" si="81"/>
        <v>N/A</v>
      </c>
    </row>
    <row r="1177" spans="2:9" hidden="1" x14ac:dyDescent="0.25">
      <c r="B1177" s="25" t="s">
        <v>3834</v>
      </c>
      <c r="C1177" s="25" t="s">
        <v>4123</v>
      </c>
      <c r="D1177" s="25">
        <v>0</v>
      </c>
      <c r="E1177" s="25" t="s">
        <v>4124</v>
      </c>
      <c r="F1177" s="26" t="str">
        <f t="shared" si="76"/>
        <v>A_ABV808316</v>
      </c>
      <c r="G1177" s="26" t="str">
        <f t="shared" si="79"/>
        <v>N/A</v>
      </c>
      <c r="H1177" s="27" t="str">
        <f t="shared" si="80"/>
        <v>HS808316IO_FB0.Mode</v>
      </c>
      <c r="I1177" s="23" t="str">
        <f t="shared" si="81"/>
        <v>N/A</v>
      </c>
    </row>
    <row r="1178" spans="2:9" hidden="1" x14ac:dyDescent="0.25">
      <c r="B1178" s="25" t="s">
        <v>3834</v>
      </c>
      <c r="C1178" s="25" t="s">
        <v>4125</v>
      </c>
      <c r="D1178" s="25">
        <v>0</v>
      </c>
      <c r="E1178" s="25" t="s">
        <v>4126</v>
      </c>
      <c r="F1178" s="26" t="str">
        <f t="shared" si="76"/>
        <v>A_ABV809005</v>
      </c>
      <c r="G1178" s="26" t="str">
        <f t="shared" si="79"/>
        <v>N/A</v>
      </c>
      <c r="H1178" s="27" t="str">
        <f t="shared" si="80"/>
        <v>HS809005IO_FB0.Mode</v>
      </c>
      <c r="I1178" s="23" t="str">
        <f t="shared" si="81"/>
        <v>N/A</v>
      </c>
    </row>
    <row r="1179" spans="2:9" hidden="1" x14ac:dyDescent="0.25">
      <c r="B1179" s="25" t="s">
        <v>3834</v>
      </c>
      <c r="C1179" s="25" t="s">
        <v>4127</v>
      </c>
      <c r="D1179" s="25">
        <v>0</v>
      </c>
      <c r="E1179" s="25" t="s">
        <v>4128</v>
      </c>
      <c r="F1179" s="26" t="str">
        <f t="shared" si="76"/>
        <v>A_ABV809013</v>
      </c>
      <c r="G1179" s="26" t="str">
        <f t="shared" si="79"/>
        <v>N/A</v>
      </c>
      <c r="H1179" s="27" t="str">
        <f t="shared" si="80"/>
        <v>HS809013IO_FB0.Mode</v>
      </c>
      <c r="I1179" s="23" t="str">
        <f t="shared" si="81"/>
        <v>N/A</v>
      </c>
    </row>
    <row r="1180" spans="2:9" hidden="1" x14ac:dyDescent="0.25">
      <c r="B1180" s="25" t="s">
        <v>3834</v>
      </c>
      <c r="C1180" s="25" t="s">
        <v>4129</v>
      </c>
      <c r="D1180" s="25">
        <v>0</v>
      </c>
      <c r="E1180" s="25" t="s">
        <v>4130</v>
      </c>
      <c r="F1180" s="26" t="str">
        <f t="shared" si="76"/>
        <v>A_ABV809105</v>
      </c>
      <c r="G1180" s="26" t="str">
        <f t="shared" si="79"/>
        <v>N/A</v>
      </c>
      <c r="H1180" s="27" t="str">
        <f t="shared" si="80"/>
        <v>HS809105IO_FB0.Mode</v>
      </c>
      <c r="I1180" s="23" t="str">
        <f t="shared" si="81"/>
        <v>N/A</v>
      </c>
    </row>
    <row r="1181" spans="2:9" hidden="1" x14ac:dyDescent="0.25">
      <c r="B1181" s="25" t="s">
        <v>3834</v>
      </c>
      <c r="C1181" s="25" t="s">
        <v>4131</v>
      </c>
      <c r="D1181" s="25">
        <v>0</v>
      </c>
      <c r="E1181" s="25" t="s">
        <v>4132</v>
      </c>
      <c r="F1181" s="26" t="str">
        <f t="shared" si="76"/>
        <v>A_ABV809205</v>
      </c>
      <c r="G1181" s="26" t="str">
        <f t="shared" si="79"/>
        <v>N/A</v>
      </c>
      <c r="H1181" s="27" t="str">
        <f t="shared" si="80"/>
        <v>HS809205IO_FB0.Mode</v>
      </c>
      <c r="I1181" s="23" t="str">
        <f t="shared" si="81"/>
        <v>N/A</v>
      </c>
    </row>
    <row r="1182" spans="2:9" hidden="1" x14ac:dyDescent="0.25">
      <c r="B1182" s="25" t="s">
        <v>3834</v>
      </c>
      <c r="C1182" s="25" t="s">
        <v>4133</v>
      </c>
      <c r="D1182" s="25">
        <v>0</v>
      </c>
      <c r="E1182" s="25" t="s">
        <v>4134</v>
      </c>
      <c r="F1182" s="26" t="str">
        <f t="shared" si="76"/>
        <v>A_EBV810006</v>
      </c>
      <c r="G1182" s="26" t="str">
        <f t="shared" si="79"/>
        <v>N/A</v>
      </c>
      <c r="H1182" s="27" t="str">
        <f t="shared" si="80"/>
        <v>HS810006FBCloseIO.Mode</v>
      </c>
      <c r="I1182" s="23" t="str">
        <f t="shared" si="81"/>
        <v>N/A</v>
      </c>
    </row>
    <row r="1183" spans="2:9" hidden="1" x14ac:dyDescent="0.25">
      <c r="B1183" s="25" t="s">
        <v>3834</v>
      </c>
      <c r="C1183" s="25" t="s">
        <v>4135</v>
      </c>
      <c r="D1183" s="25">
        <v>0</v>
      </c>
      <c r="E1183" s="25" t="s">
        <v>4136</v>
      </c>
      <c r="F1183" s="26" t="str">
        <f t="shared" si="76"/>
        <v>A_ABV810008</v>
      </c>
      <c r="G1183" s="26" t="str">
        <f t="shared" si="79"/>
        <v>N/A</v>
      </c>
      <c r="H1183" s="27" t="str">
        <f t="shared" si="80"/>
        <v>HS810008FBCloseIO.Mode</v>
      </c>
      <c r="I1183" s="23" t="str">
        <f t="shared" si="81"/>
        <v>N/A</v>
      </c>
    </row>
    <row r="1184" spans="2:9" hidden="1" x14ac:dyDescent="0.25">
      <c r="B1184" s="25" t="s">
        <v>3834</v>
      </c>
      <c r="C1184" s="25" t="s">
        <v>4137</v>
      </c>
      <c r="D1184" s="25">
        <v>0</v>
      </c>
      <c r="E1184" s="25" t="s">
        <v>4138</v>
      </c>
      <c r="F1184" s="26" t="str">
        <f t="shared" si="76"/>
        <v>A_ABV810009</v>
      </c>
      <c r="G1184" s="26" t="str">
        <f t="shared" si="79"/>
        <v>N/A</v>
      </c>
      <c r="H1184" s="27" t="str">
        <f t="shared" si="80"/>
        <v>HS810009IO_FB0.Mode</v>
      </c>
      <c r="I1184" s="23" t="str">
        <f t="shared" si="81"/>
        <v>N/A</v>
      </c>
    </row>
    <row r="1185" spans="2:9" hidden="1" x14ac:dyDescent="0.25">
      <c r="B1185" s="25" t="s">
        <v>3834</v>
      </c>
      <c r="C1185" s="25" t="s">
        <v>4139</v>
      </c>
      <c r="D1185" s="25">
        <v>0</v>
      </c>
      <c r="E1185" s="25" t="s">
        <v>4140</v>
      </c>
      <c r="F1185" s="26" t="str">
        <f t="shared" si="76"/>
        <v>A_ABV810009</v>
      </c>
      <c r="G1185" s="26" t="str">
        <f t="shared" si="79"/>
        <v>N/A</v>
      </c>
      <c r="H1185" s="27" t="str">
        <f t="shared" si="80"/>
        <v>HS810009IO_FB1.Mode</v>
      </c>
      <c r="I1185" s="23" t="str">
        <f t="shared" si="81"/>
        <v>N/A</v>
      </c>
    </row>
    <row r="1186" spans="2:9" hidden="1" x14ac:dyDescent="0.25">
      <c r="B1186" s="25" t="s">
        <v>3834</v>
      </c>
      <c r="C1186" s="25" t="s">
        <v>4141</v>
      </c>
      <c r="D1186" s="25">
        <v>0</v>
      </c>
      <c r="E1186" s="25" t="s">
        <v>4140</v>
      </c>
      <c r="F1186" s="26" t="str">
        <f t="shared" si="76"/>
        <v>A_ABV810009</v>
      </c>
      <c r="G1186" s="26" t="str">
        <f t="shared" si="79"/>
        <v>N/A</v>
      </c>
      <c r="H1186" s="27" t="str">
        <f>+CONCATENATE(C1186,".MA")</f>
        <v>HS810009IO_XGH.MA</v>
      </c>
      <c r="I1186" s="23" t="str">
        <f>+G1186</f>
        <v>N/A</v>
      </c>
    </row>
    <row r="1187" spans="2:9" hidden="1" x14ac:dyDescent="0.25">
      <c r="B1187" s="25" t="s">
        <v>3834</v>
      </c>
      <c r="C1187" s="25" t="s">
        <v>4142</v>
      </c>
      <c r="D1187" s="25">
        <v>0</v>
      </c>
      <c r="E1187" s="25" t="s">
        <v>4138</v>
      </c>
      <c r="F1187" s="26" t="str">
        <f t="shared" si="76"/>
        <v>A_ABV810009</v>
      </c>
      <c r="G1187" s="26" t="str">
        <f t="shared" si="79"/>
        <v>N/A</v>
      </c>
      <c r="H1187" s="27" t="str">
        <f>+CONCATENATE(C1187,".MA")</f>
        <v>HS810009IO_XGL.MA</v>
      </c>
      <c r="I1187" s="23" t="str">
        <f>+G1187</f>
        <v>N/A</v>
      </c>
    </row>
    <row r="1188" spans="2:9" hidden="1" x14ac:dyDescent="0.25">
      <c r="B1188" s="25" t="s">
        <v>3834</v>
      </c>
      <c r="C1188" s="25" t="s">
        <v>4143</v>
      </c>
      <c r="D1188" s="25">
        <v>0</v>
      </c>
      <c r="E1188" s="25" t="s">
        <v>4144</v>
      </c>
      <c r="F1188" s="26" t="str">
        <f t="shared" si="76"/>
        <v>A_ABV810103</v>
      </c>
      <c r="G1188" s="26" t="str">
        <f t="shared" si="79"/>
        <v>N/A</v>
      </c>
      <c r="H1188" s="27" t="str">
        <f>+CONCATENATE(C1188,".MA")</f>
        <v>HS810103IO_FB0.MA</v>
      </c>
      <c r="I1188" s="23" t="str">
        <f>+G1188</f>
        <v>N/A</v>
      </c>
    </row>
    <row r="1189" spans="2:9" hidden="1" x14ac:dyDescent="0.25">
      <c r="B1189" s="25" t="s">
        <v>3834</v>
      </c>
      <c r="C1189" s="25" t="s">
        <v>4145</v>
      </c>
      <c r="D1189" s="25">
        <v>0</v>
      </c>
      <c r="E1189" s="25" t="s">
        <v>4146</v>
      </c>
      <c r="F1189" s="26" t="str">
        <f t="shared" ref="F1189:F1252" si="82">+LEFT(E1189,FIND(".",E1189,1)-1)</f>
        <v>A_ABV810104</v>
      </c>
      <c r="G1189" s="26" t="str">
        <f t="shared" si="79"/>
        <v>N/A</v>
      </c>
      <c r="H1189" s="27" t="str">
        <f t="shared" ref="H1189:H1190" si="83">+CONCATENATE(C1189,".Mode")</f>
        <v>HS810104IO_FB0.Mode</v>
      </c>
      <c r="I1189" s="23" t="str">
        <f t="shared" ref="I1189:I1190" si="84">+G1189</f>
        <v>N/A</v>
      </c>
    </row>
    <row r="1190" spans="2:9" hidden="1" x14ac:dyDescent="0.25">
      <c r="B1190" s="25" t="s">
        <v>3834</v>
      </c>
      <c r="C1190" s="25" t="s">
        <v>4147</v>
      </c>
      <c r="D1190" s="25">
        <v>0</v>
      </c>
      <c r="E1190" s="25" t="s">
        <v>4148</v>
      </c>
      <c r="F1190" s="26" t="str">
        <f t="shared" si="82"/>
        <v>A_ABV810105</v>
      </c>
      <c r="G1190" s="26" t="str">
        <f t="shared" si="79"/>
        <v>N/A</v>
      </c>
      <c r="H1190" s="27" t="str">
        <f t="shared" si="83"/>
        <v>HS810105IO_FB0.Mode</v>
      </c>
      <c r="I1190" s="23" t="str">
        <f t="shared" si="84"/>
        <v>N/A</v>
      </c>
    </row>
    <row r="1191" spans="2:9" hidden="1" x14ac:dyDescent="0.25">
      <c r="B1191" s="25" t="s">
        <v>3834</v>
      </c>
      <c r="C1191" s="25" t="s">
        <v>4149</v>
      </c>
      <c r="D1191" s="25">
        <v>0</v>
      </c>
      <c r="E1191" s="25" t="s">
        <v>4150</v>
      </c>
      <c r="F1191" s="26" t="str">
        <f t="shared" si="82"/>
        <v>A_ABV810106</v>
      </c>
      <c r="G1191" s="26" t="str">
        <f t="shared" si="79"/>
        <v>N/A</v>
      </c>
      <c r="H1191" s="27" t="str">
        <f>+CONCATENATE(C1191,".MA")</f>
        <v>HS810106IO_FB0.MA</v>
      </c>
      <c r="I1191" s="23" t="str">
        <f>+G1191</f>
        <v>N/A</v>
      </c>
    </row>
    <row r="1192" spans="2:9" hidden="1" x14ac:dyDescent="0.25">
      <c r="B1192" s="25" t="s">
        <v>3834</v>
      </c>
      <c r="C1192" s="25" t="s">
        <v>4151</v>
      </c>
      <c r="D1192" s="25">
        <v>0</v>
      </c>
      <c r="E1192" s="25" t="s">
        <v>4152</v>
      </c>
      <c r="F1192" s="26" t="str">
        <f t="shared" si="82"/>
        <v>A_ABV810107</v>
      </c>
      <c r="G1192" s="26" t="str">
        <f t="shared" si="79"/>
        <v>N/A</v>
      </c>
      <c r="H1192" s="27" t="str">
        <f>+CONCATENATE(C1192,".MA")</f>
        <v>HS810107IO_FB0.MA</v>
      </c>
      <c r="I1192" s="23" t="str">
        <f>+G1192</f>
        <v>N/A</v>
      </c>
    </row>
    <row r="1193" spans="2:9" hidden="1" x14ac:dyDescent="0.25">
      <c r="B1193" s="25" t="s">
        <v>3834</v>
      </c>
      <c r="C1193" s="25" t="s">
        <v>4153</v>
      </c>
      <c r="D1193" s="25">
        <v>0</v>
      </c>
      <c r="E1193" s="25" t="s">
        <v>4154</v>
      </c>
      <c r="F1193" s="26" t="str">
        <f t="shared" si="82"/>
        <v>A_ABV810109</v>
      </c>
      <c r="G1193" s="26" t="str">
        <f t="shared" si="79"/>
        <v>N/A</v>
      </c>
      <c r="H1193" s="27" t="str">
        <f>+CONCATENATE(C1193,".Mode")</f>
        <v>HS810109IO_FB0.Mode</v>
      </c>
      <c r="I1193" s="23" t="str">
        <f>+G1193</f>
        <v>N/A</v>
      </c>
    </row>
    <row r="1194" spans="2:9" hidden="1" x14ac:dyDescent="0.25">
      <c r="B1194" s="25" t="s">
        <v>3834</v>
      </c>
      <c r="C1194" s="25" t="s">
        <v>4155</v>
      </c>
      <c r="D1194" s="25">
        <v>0</v>
      </c>
      <c r="E1194" s="25" t="s">
        <v>4156</v>
      </c>
      <c r="F1194" s="26" t="str">
        <f t="shared" si="82"/>
        <v>A_ABV810110</v>
      </c>
      <c r="G1194" s="26" t="str">
        <f t="shared" si="79"/>
        <v>N/A</v>
      </c>
      <c r="H1194" s="27" t="str">
        <f t="shared" ref="H1194:H1200" si="85">+CONCATENATE(C1194,".MA")</f>
        <v>HS810110IO_FB0.MA</v>
      </c>
      <c r="I1194" s="23" t="str">
        <f t="shared" ref="I1194:I1200" si="86">+G1194</f>
        <v>N/A</v>
      </c>
    </row>
    <row r="1195" spans="2:9" hidden="1" x14ac:dyDescent="0.25">
      <c r="B1195" s="25" t="s">
        <v>3834</v>
      </c>
      <c r="C1195" s="25" t="s">
        <v>4157</v>
      </c>
      <c r="D1195" s="25">
        <v>0</v>
      </c>
      <c r="E1195" s="25" t="s">
        <v>4158</v>
      </c>
      <c r="F1195" s="26" t="str">
        <f t="shared" si="82"/>
        <v>A_PV810401</v>
      </c>
      <c r="G1195" s="26" t="str">
        <f t="shared" si="79"/>
        <v>N/A</v>
      </c>
      <c r="H1195" s="27" t="str">
        <f t="shared" si="85"/>
        <v>HS810401IO_FB0.MA</v>
      </c>
      <c r="I1195" s="23" t="str">
        <f t="shared" si="86"/>
        <v>N/A</v>
      </c>
    </row>
    <row r="1196" spans="2:9" hidden="1" x14ac:dyDescent="0.25">
      <c r="B1196" s="25" t="s">
        <v>3834</v>
      </c>
      <c r="C1196" s="25" t="s">
        <v>4159</v>
      </c>
      <c r="D1196" s="25">
        <v>0</v>
      </c>
      <c r="E1196" s="25" t="s">
        <v>4160</v>
      </c>
      <c r="F1196" s="26" t="str">
        <f t="shared" si="82"/>
        <v>A_ABV810409</v>
      </c>
      <c r="G1196" s="26" t="str">
        <f t="shared" si="79"/>
        <v>N/A</v>
      </c>
      <c r="H1196" s="27" t="str">
        <f t="shared" si="85"/>
        <v>HS810409IO_FB0.MA</v>
      </c>
      <c r="I1196" s="23" t="str">
        <f t="shared" si="86"/>
        <v>N/A</v>
      </c>
    </row>
    <row r="1197" spans="2:9" hidden="1" x14ac:dyDescent="0.25">
      <c r="B1197" s="25" t="s">
        <v>3834</v>
      </c>
      <c r="C1197" s="25" t="s">
        <v>4161</v>
      </c>
      <c r="D1197" s="25">
        <v>0</v>
      </c>
      <c r="E1197" s="25" t="s">
        <v>4162</v>
      </c>
      <c r="F1197" s="26" t="str">
        <f t="shared" si="82"/>
        <v>A_ABV810415</v>
      </c>
      <c r="G1197" s="26" t="str">
        <f t="shared" si="79"/>
        <v>N/A</v>
      </c>
      <c r="H1197" s="27" t="str">
        <f t="shared" si="85"/>
        <v>HS810415IO_FB0.MA</v>
      </c>
      <c r="I1197" s="23" t="str">
        <f t="shared" si="86"/>
        <v>N/A</v>
      </c>
    </row>
    <row r="1198" spans="2:9" hidden="1" x14ac:dyDescent="0.25">
      <c r="B1198" s="25" t="s">
        <v>3834</v>
      </c>
      <c r="C1198" s="25" t="s">
        <v>4163</v>
      </c>
      <c r="D1198" s="25">
        <v>0</v>
      </c>
      <c r="E1198" s="25" t="s">
        <v>4164</v>
      </c>
      <c r="F1198" s="26" t="str">
        <f t="shared" si="82"/>
        <v>A_ABV810428</v>
      </c>
      <c r="G1198" s="26" t="str">
        <f t="shared" si="79"/>
        <v>N/A</v>
      </c>
      <c r="H1198" s="27" t="str">
        <f t="shared" si="85"/>
        <v>HS810428IO_FB0.MA</v>
      </c>
      <c r="I1198" s="23" t="str">
        <f t="shared" si="86"/>
        <v>N/A</v>
      </c>
    </row>
    <row r="1199" spans="2:9" hidden="1" x14ac:dyDescent="0.25">
      <c r="B1199" s="25" t="s">
        <v>3834</v>
      </c>
      <c r="C1199" s="25" t="s">
        <v>4165</v>
      </c>
      <c r="D1199" s="25">
        <v>0</v>
      </c>
      <c r="E1199" s="25" t="s">
        <v>4166</v>
      </c>
      <c r="F1199" s="26" t="str">
        <f t="shared" si="82"/>
        <v>A_ABV810429</v>
      </c>
      <c r="G1199" s="26" t="str">
        <f t="shared" si="79"/>
        <v>N/A</v>
      </c>
      <c r="H1199" s="27" t="str">
        <f t="shared" si="85"/>
        <v>HS810429IO_FB0.MA</v>
      </c>
      <c r="I1199" s="23" t="str">
        <f t="shared" si="86"/>
        <v>N/A</v>
      </c>
    </row>
    <row r="1200" spans="2:9" hidden="1" x14ac:dyDescent="0.25">
      <c r="B1200" s="25" t="s">
        <v>3834</v>
      </c>
      <c r="C1200" s="25" t="s">
        <v>4167</v>
      </c>
      <c r="D1200" s="25">
        <v>0</v>
      </c>
      <c r="E1200" s="25" t="s">
        <v>4168</v>
      </c>
      <c r="F1200" s="26" t="str">
        <f t="shared" si="82"/>
        <v>A_ABV810429</v>
      </c>
      <c r="G1200" s="26" t="str">
        <f t="shared" si="79"/>
        <v>N/A</v>
      </c>
      <c r="H1200" s="27" t="str">
        <f t="shared" si="85"/>
        <v>HS810429IO_FB1.MA</v>
      </c>
      <c r="I1200" s="23" t="str">
        <f t="shared" si="86"/>
        <v>N/A</v>
      </c>
    </row>
    <row r="1201" spans="2:9" hidden="1" x14ac:dyDescent="0.25">
      <c r="B1201" s="25" t="s">
        <v>3834</v>
      </c>
      <c r="C1201" s="25" t="s">
        <v>4169</v>
      </c>
      <c r="D1201" s="25">
        <v>0</v>
      </c>
      <c r="E1201" s="25" t="s">
        <v>4170</v>
      </c>
      <c r="F1201" s="26" t="str">
        <f t="shared" si="82"/>
        <v>A_HV810432</v>
      </c>
      <c r="G1201" s="26" t="str">
        <f t="shared" si="79"/>
        <v>N/A</v>
      </c>
      <c r="H1201" s="27" t="str">
        <f t="shared" ref="H1201:H1204" si="87">+CONCATENATE(C1201,".Mode")</f>
        <v>HS810432IO_FB0.Mode</v>
      </c>
      <c r="I1201" s="23" t="str">
        <f t="shared" ref="I1201:I1204" si="88">+G1201</f>
        <v>N/A</v>
      </c>
    </row>
    <row r="1202" spans="2:9" hidden="1" x14ac:dyDescent="0.25">
      <c r="B1202" s="25" t="s">
        <v>3834</v>
      </c>
      <c r="C1202" s="25" t="s">
        <v>4171</v>
      </c>
      <c r="D1202" s="25">
        <v>0</v>
      </c>
      <c r="E1202" s="25" t="s">
        <v>4172</v>
      </c>
      <c r="F1202" s="26" t="str">
        <f t="shared" si="82"/>
        <v>A_HV810433</v>
      </c>
      <c r="G1202" s="26" t="str">
        <f t="shared" si="79"/>
        <v>N/A</v>
      </c>
      <c r="H1202" s="27" t="str">
        <f t="shared" si="87"/>
        <v>HS810433IO_FB0.Mode</v>
      </c>
      <c r="I1202" s="23" t="str">
        <f t="shared" si="88"/>
        <v>N/A</v>
      </c>
    </row>
    <row r="1203" spans="2:9" hidden="1" x14ac:dyDescent="0.25">
      <c r="B1203" s="25" t="s">
        <v>3834</v>
      </c>
      <c r="C1203" s="25" t="s">
        <v>4173</v>
      </c>
      <c r="D1203" s="25">
        <v>0</v>
      </c>
      <c r="E1203" s="25" t="s">
        <v>4174</v>
      </c>
      <c r="F1203" s="26" t="str">
        <f t="shared" si="82"/>
        <v>A_ABV810434</v>
      </c>
      <c r="G1203" s="26" t="str">
        <f t="shared" si="79"/>
        <v>N/A</v>
      </c>
      <c r="H1203" s="27" t="str">
        <f t="shared" si="87"/>
        <v>HS810434IO_FB0.Mode</v>
      </c>
      <c r="I1203" s="23" t="str">
        <f t="shared" si="88"/>
        <v>N/A</v>
      </c>
    </row>
    <row r="1204" spans="2:9" hidden="1" x14ac:dyDescent="0.25">
      <c r="B1204" s="25" t="s">
        <v>3834</v>
      </c>
      <c r="C1204" s="25" t="s">
        <v>4175</v>
      </c>
      <c r="D1204" s="25">
        <v>0</v>
      </c>
      <c r="E1204" s="25" t="s">
        <v>4176</v>
      </c>
      <c r="F1204" s="26" t="str">
        <f t="shared" si="82"/>
        <v>A_ABV810449</v>
      </c>
      <c r="G1204" s="26" t="str">
        <f t="shared" si="79"/>
        <v>N/A</v>
      </c>
      <c r="H1204" s="27" t="str">
        <f t="shared" si="87"/>
        <v>HS810449IO_FB0.Mode</v>
      </c>
      <c r="I1204" s="23" t="str">
        <f t="shared" si="88"/>
        <v>N/A</v>
      </c>
    </row>
    <row r="1205" spans="2:9" hidden="1" x14ac:dyDescent="0.25">
      <c r="B1205" s="25" t="s">
        <v>3834</v>
      </c>
      <c r="C1205" s="25" t="s">
        <v>4177</v>
      </c>
      <c r="D1205" s="25">
        <v>0</v>
      </c>
      <c r="E1205" s="25" t="s">
        <v>4178</v>
      </c>
      <c r="F1205" s="26" t="str">
        <f t="shared" si="82"/>
        <v>A_ABV810450</v>
      </c>
      <c r="G1205" s="26" t="str">
        <f t="shared" si="79"/>
        <v>N/A</v>
      </c>
      <c r="H1205" s="27" t="str">
        <f>+CONCATENATE(C1205,".MA")</f>
        <v>HS810450IO_FB0.MA</v>
      </c>
      <c r="I1205" s="23" t="str">
        <f t="shared" ref="I1205:I1211" si="89">+G1205</f>
        <v>N/A</v>
      </c>
    </row>
    <row r="1206" spans="2:9" hidden="1" x14ac:dyDescent="0.25">
      <c r="B1206" s="25" t="s">
        <v>3834</v>
      </c>
      <c r="C1206" s="25" t="s">
        <v>4179</v>
      </c>
      <c r="D1206" s="25">
        <v>0</v>
      </c>
      <c r="E1206" s="25" t="s">
        <v>4180</v>
      </c>
      <c r="F1206" s="26" t="str">
        <f t="shared" si="82"/>
        <v>A_ABV810452</v>
      </c>
      <c r="G1206" s="26" t="str">
        <f t="shared" si="79"/>
        <v>N/A</v>
      </c>
      <c r="H1206" s="27" t="str">
        <f>+CONCATENATE(C1206,".Mode")</f>
        <v>HS810452IO_FB0.Mode</v>
      </c>
      <c r="I1206" s="23" t="str">
        <f t="shared" si="89"/>
        <v>N/A</v>
      </c>
    </row>
    <row r="1207" spans="2:9" hidden="1" x14ac:dyDescent="0.25">
      <c r="B1207" s="25" t="s">
        <v>3834</v>
      </c>
      <c r="C1207" s="25" t="s">
        <v>4181</v>
      </c>
      <c r="D1207" s="25">
        <v>0</v>
      </c>
      <c r="E1207" s="25" t="s">
        <v>4182</v>
      </c>
      <c r="F1207" s="26" t="str">
        <f t="shared" si="82"/>
        <v>A_ABV810453</v>
      </c>
      <c r="G1207" s="26" t="str">
        <f t="shared" si="79"/>
        <v>N/A</v>
      </c>
      <c r="H1207" s="27" t="str">
        <f>+CONCATENATE(C1207,".MA")</f>
        <v>HS810453IO_FB0.MA</v>
      </c>
      <c r="I1207" s="23" t="str">
        <f t="shared" si="89"/>
        <v>N/A</v>
      </c>
    </row>
    <row r="1208" spans="2:9" hidden="1" x14ac:dyDescent="0.25">
      <c r="B1208" s="25" t="s">
        <v>3834</v>
      </c>
      <c r="C1208" s="25" t="s">
        <v>4183</v>
      </c>
      <c r="D1208" s="25">
        <v>0</v>
      </c>
      <c r="E1208" s="25" t="s">
        <v>4184</v>
      </c>
      <c r="F1208" s="26" t="str">
        <f t="shared" si="82"/>
        <v>A_ABV810454</v>
      </c>
      <c r="G1208" s="26" t="str">
        <f t="shared" si="79"/>
        <v>N/A</v>
      </c>
      <c r="H1208" s="27" t="str">
        <f>+CONCATENATE(C1208,".MA")</f>
        <v>HS810454IO_FB0.MA</v>
      </c>
      <c r="I1208" s="23" t="str">
        <f t="shared" si="89"/>
        <v>N/A</v>
      </c>
    </row>
    <row r="1209" spans="2:9" hidden="1" x14ac:dyDescent="0.25">
      <c r="B1209" s="25" t="s">
        <v>3834</v>
      </c>
      <c r="C1209" s="25" t="s">
        <v>4185</v>
      </c>
      <c r="D1209" s="25">
        <v>0</v>
      </c>
      <c r="E1209" s="25" t="s">
        <v>4186</v>
      </c>
      <c r="F1209" s="26" t="str">
        <f t="shared" si="82"/>
        <v>A_EBV810501</v>
      </c>
      <c r="G1209" s="26" t="str">
        <f t="shared" si="79"/>
        <v>N/A</v>
      </c>
      <c r="H1209" s="27" t="str">
        <f>+CONCATENATE(C1209,".MA")</f>
        <v>HS810501IO_FB0.MA</v>
      </c>
      <c r="I1209" s="23" t="str">
        <f t="shared" si="89"/>
        <v>N/A</v>
      </c>
    </row>
    <row r="1210" spans="2:9" hidden="1" x14ac:dyDescent="0.25">
      <c r="B1210" s="25" t="s">
        <v>3834</v>
      </c>
      <c r="C1210" s="25" t="s">
        <v>4187</v>
      </c>
      <c r="D1210" s="25">
        <v>0</v>
      </c>
      <c r="E1210" s="25" t="s">
        <v>4188</v>
      </c>
      <c r="F1210" s="26" t="str">
        <f t="shared" si="82"/>
        <v>A_EBV810501</v>
      </c>
      <c r="G1210" s="26" t="str">
        <f t="shared" si="79"/>
        <v>N/A</v>
      </c>
      <c r="H1210" s="27" t="str">
        <f>+CONCATENATE(C1210,".MA")</f>
        <v>HS810501IO_FB1.MA</v>
      </c>
      <c r="I1210" s="23" t="str">
        <f t="shared" si="89"/>
        <v>N/A</v>
      </c>
    </row>
    <row r="1211" spans="2:9" hidden="1" x14ac:dyDescent="0.25">
      <c r="B1211" s="25" t="s">
        <v>3834</v>
      </c>
      <c r="C1211" s="25" t="s">
        <v>4189</v>
      </c>
      <c r="D1211" s="25">
        <v>0</v>
      </c>
      <c r="E1211" s="25" t="s">
        <v>4190</v>
      </c>
      <c r="F1211" s="26" t="str">
        <f t="shared" si="82"/>
        <v>A_ABV810502</v>
      </c>
      <c r="G1211" s="26" t="str">
        <f t="shared" si="79"/>
        <v>N/A</v>
      </c>
      <c r="H1211" s="27" t="str">
        <f>+CONCATENATE(C1211,".MA")</f>
        <v>HS810502IO_FB0.MA</v>
      </c>
      <c r="I1211" s="23" t="str">
        <f t="shared" si="89"/>
        <v>N/A</v>
      </c>
    </row>
    <row r="1212" spans="2:9" hidden="1" x14ac:dyDescent="0.25">
      <c r="B1212" s="25" t="s">
        <v>3834</v>
      </c>
      <c r="C1212" s="25" t="s">
        <v>4191</v>
      </c>
      <c r="D1212" s="25">
        <v>0</v>
      </c>
      <c r="E1212" s="25" t="s">
        <v>4192</v>
      </c>
      <c r="F1212" s="26" t="str">
        <f t="shared" si="82"/>
        <v>A_ABV810504</v>
      </c>
      <c r="G1212" s="26" t="str">
        <f t="shared" si="79"/>
        <v>N/A</v>
      </c>
      <c r="H1212" s="27" t="str">
        <f t="shared" ref="H1212:H1213" si="90">+CONCATENATE(C1212,".Mode")</f>
        <v>HS810504IO_XGL.Mode</v>
      </c>
      <c r="I1212" s="23" t="str">
        <f t="shared" ref="I1212:I1213" si="91">+G1212</f>
        <v>N/A</v>
      </c>
    </row>
    <row r="1213" spans="2:9" hidden="1" x14ac:dyDescent="0.25">
      <c r="B1213" s="25" t="s">
        <v>3834</v>
      </c>
      <c r="C1213" s="25" t="s">
        <v>4193</v>
      </c>
      <c r="D1213" s="25">
        <v>0</v>
      </c>
      <c r="E1213" s="25" t="s">
        <v>4194</v>
      </c>
      <c r="F1213" s="26" t="str">
        <f t="shared" si="82"/>
        <v>A_ABV810518</v>
      </c>
      <c r="G1213" s="26" t="str">
        <f t="shared" si="79"/>
        <v>N/A</v>
      </c>
      <c r="H1213" s="27" t="str">
        <f t="shared" si="90"/>
        <v>HS810518IO_XGL.Mode</v>
      </c>
      <c r="I1213" s="23" t="str">
        <f t="shared" si="91"/>
        <v>N/A</v>
      </c>
    </row>
    <row r="1214" spans="2:9" hidden="1" x14ac:dyDescent="0.25">
      <c r="B1214" s="25" t="s">
        <v>3834</v>
      </c>
      <c r="C1214" s="25" t="s">
        <v>4195</v>
      </c>
      <c r="D1214" s="25">
        <v>0</v>
      </c>
      <c r="E1214" s="25" t="s">
        <v>4196</v>
      </c>
      <c r="F1214" s="26" t="str">
        <f t="shared" si="82"/>
        <v>A_ABV810519</v>
      </c>
      <c r="G1214" s="26" t="str">
        <f t="shared" si="79"/>
        <v>N/A</v>
      </c>
      <c r="H1214" s="27" t="str">
        <f>+CONCATENATE(C1214,".MA")</f>
        <v>HS810519IO_XGL.MA</v>
      </c>
      <c r="I1214" s="23" t="str">
        <f>+G1214</f>
        <v>N/A</v>
      </c>
    </row>
    <row r="1215" spans="2:9" hidden="1" x14ac:dyDescent="0.25">
      <c r="B1215" s="25" t="s">
        <v>3834</v>
      </c>
      <c r="C1215" s="25" t="s">
        <v>4197</v>
      </c>
      <c r="D1215" s="25">
        <v>0</v>
      </c>
      <c r="E1215" s="25" t="s">
        <v>4198</v>
      </c>
      <c r="F1215" s="26" t="str">
        <f t="shared" si="82"/>
        <v>A_ABV810521</v>
      </c>
      <c r="G1215" s="26" t="str">
        <f t="shared" si="79"/>
        <v>N/A</v>
      </c>
      <c r="H1215" s="27" t="str">
        <f>+CONCATENATE(C1215,".MA")</f>
        <v>HS810521IO_FB0.MA</v>
      </c>
      <c r="I1215" s="23" t="str">
        <f>+G1215</f>
        <v>N/A</v>
      </c>
    </row>
    <row r="1216" spans="2:9" hidden="1" x14ac:dyDescent="0.25">
      <c r="B1216" s="25" t="s">
        <v>3834</v>
      </c>
      <c r="C1216" s="25" t="s">
        <v>4199</v>
      </c>
      <c r="D1216" s="25">
        <v>0</v>
      </c>
      <c r="E1216" s="25" t="s">
        <v>4200</v>
      </c>
      <c r="F1216" s="26" t="str">
        <f t="shared" si="82"/>
        <v>A_ABV810521</v>
      </c>
      <c r="G1216" s="26" t="str">
        <f t="shared" si="79"/>
        <v>N/A</v>
      </c>
      <c r="H1216" s="27" t="str">
        <f>+CONCATENATE(C1216,".Mode")</f>
        <v>HS810521IO_FB1.Mode</v>
      </c>
      <c r="I1216" s="23" t="str">
        <f>+G1216</f>
        <v>N/A</v>
      </c>
    </row>
    <row r="1217" spans="2:9" hidden="1" x14ac:dyDescent="0.25">
      <c r="B1217" s="25" t="s">
        <v>3834</v>
      </c>
      <c r="C1217" s="25" t="s">
        <v>4201</v>
      </c>
      <c r="D1217" s="25">
        <v>0</v>
      </c>
      <c r="E1217" s="25" t="s">
        <v>4202</v>
      </c>
      <c r="F1217" s="26" t="str">
        <f t="shared" si="82"/>
        <v>A_ABV810522</v>
      </c>
      <c r="G1217" s="26" t="str">
        <f t="shared" si="79"/>
        <v>N/A</v>
      </c>
      <c r="H1217" s="27" t="str">
        <f>+CONCATENATE(C1217,".MA")</f>
        <v>HS810522IO_FB0.MA</v>
      </c>
      <c r="I1217" s="23" t="str">
        <f>+G1217</f>
        <v>N/A</v>
      </c>
    </row>
    <row r="1218" spans="2:9" x14ac:dyDescent="0.25">
      <c r="B1218" s="25" t="s">
        <v>3834</v>
      </c>
      <c r="C1218" s="25" t="s">
        <v>4203</v>
      </c>
      <c r="D1218" s="25">
        <v>0</v>
      </c>
      <c r="E1218" s="25" t="s">
        <v>4204</v>
      </c>
      <c r="F1218" s="26" t="str">
        <f t="shared" si="82"/>
        <v>XA810533</v>
      </c>
      <c r="G1218" s="26">
        <f t="shared" ref="G1218:G1281" si="92">+IFERROR(IF(VLOOKUP(F1218,DI,2,FALSE)="IO",2,0),"N/A")</f>
        <v>2</v>
      </c>
      <c r="H1218" s="27" t="str">
        <f>+CONCATENATE(C1218,".MA")</f>
        <v>HS810533IO.MA</v>
      </c>
      <c r="I1218" s="23">
        <f>+G1218</f>
        <v>2</v>
      </c>
    </row>
    <row r="1219" spans="2:9" hidden="1" x14ac:dyDescent="0.25">
      <c r="B1219" s="25" t="s">
        <v>3834</v>
      </c>
      <c r="C1219" s="25" t="s">
        <v>4205</v>
      </c>
      <c r="D1219" s="25">
        <v>0</v>
      </c>
      <c r="E1219" s="25" t="s">
        <v>4206</v>
      </c>
      <c r="F1219" s="26" t="str">
        <f t="shared" si="82"/>
        <v>A_ABV810602</v>
      </c>
      <c r="G1219" s="26" t="str">
        <f t="shared" si="92"/>
        <v>N/A</v>
      </c>
      <c r="H1219" s="27" t="str">
        <f t="shared" ref="H1219:H1222" si="93">+CONCATENATE(C1219,".Mode")</f>
        <v>HS810602IO_FB0.Mode</v>
      </c>
      <c r="I1219" s="23" t="str">
        <f t="shared" ref="I1219:I1222" si="94">+G1219</f>
        <v>N/A</v>
      </c>
    </row>
    <row r="1220" spans="2:9" hidden="1" x14ac:dyDescent="0.25">
      <c r="B1220" s="25" t="s">
        <v>3834</v>
      </c>
      <c r="C1220" s="25" t="s">
        <v>4207</v>
      </c>
      <c r="D1220" s="25">
        <v>0</v>
      </c>
      <c r="E1220" s="25" t="s">
        <v>4208</v>
      </c>
      <c r="F1220" s="26" t="str">
        <f t="shared" si="82"/>
        <v>A_ABV810602</v>
      </c>
      <c r="G1220" s="26" t="str">
        <f t="shared" si="92"/>
        <v>N/A</v>
      </c>
      <c r="H1220" s="27" t="str">
        <f t="shared" si="93"/>
        <v>HS810602IO_FB1.Mode</v>
      </c>
      <c r="I1220" s="23" t="str">
        <f t="shared" si="94"/>
        <v>N/A</v>
      </c>
    </row>
    <row r="1221" spans="2:9" hidden="1" x14ac:dyDescent="0.25">
      <c r="B1221" s="25" t="s">
        <v>3834</v>
      </c>
      <c r="C1221" s="25" t="s">
        <v>4209</v>
      </c>
      <c r="D1221" s="25">
        <v>0</v>
      </c>
      <c r="E1221" s="25" t="s">
        <v>4210</v>
      </c>
      <c r="F1221" s="26" t="str">
        <f t="shared" si="82"/>
        <v>A_ABV810611</v>
      </c>
      <c r="G1221" s="26" t="str">
        <f t="shared" si="92"/>
        <v>N/A</v>
      </c>
      <c r="H1221" s="27" t="str">
        <f t="shared" si="93"/>
        <v>HS810611IO_FB0.Mode</v>
      </c>
      <c r="I1221" s="23" t="str">
        <f t="shared" si="94"/>
        <v>N/A</v>
      </c>
    </row>
    <row r="1222" spans="2:9" hidden="1" x14ac:dyDescent="0.25">
      <c r="B1222" s="25" t="s">
        <v>3834</v>
      </c>
      <c r="C1222" s="25" t="s">
        <v>4211</v>
      </c>
      <c r="D1222" s="25">
        <v>0</v>
      </c>
      <c r="E1222" s="25" t="s">
        <v>4212</v>
      </c>
      <c r="F1222" s="26" t="str">
        <f t="shared" si="82"/>
        <v>A_ABV810641</v>
      </c>
      <c r="G1222" s="26" t="str">
        <f t="shared" si="92"/>
        <v>N/A</v>
      </c>
      <c r="H1222" s="27" t="str">
        <f t="shared" si="93"/>
        <v>HS810641IO_FB0.Mode</v>
      </c>
      <c r="I1222" s="23" t="str">
        <f t="shared" si="94"/>
        <v>N/A</v>
      </c>
    </row>
    <row r="1223" spans="2:9" hidden="1" x14ac:dyDescent="0.25">
      <c r="B1223" s="25" t="s">
        <v>3834</v>
      </c>
      <c r="C1223" s="25" t="s">
        <v>4213</v>
      </c>
      <c r="D1223" s="25">
        <v>0</v>
      </c>
      <c r="E1223" s="25" t="s">
        <v>4214</v>
      </c>
      <c r="F1223" s="26" t="str">
        <f t="shared" si="82"/>
        <v>A_ABV810655</v>
      </c>
      <c r="G1223" s="26" t="str">
        <f t="shared" si="92"/>
        <v>N/A</v>
      </c>
      <c r="H1223" s="27" t="str">
        <f t="shared" ref="H1223:H1230" si="95">+CONCATENATE(C1223,".MA")</f>
        <v>HS810655IO_FB0.MA</v>
      </c>
      <c r="I1223" s="23" t="str">
        <f t="shared" ref="I1223:I1230" si="96">+G1223</f>
        <v>N/A</v>
      </c>
    </row>
    <row r="1224" spans="2:9" hidden="1" x14ac:dyDescent="0.25">
      <c r="B1224" s="25" t="s">
        <v>3834</v>
      </c>
      <c r="C1224" s="25" t="s">
        <v>4215</v>
      </c>
      <c r="D1224" s="25">
        <v>0</v>
      </c>
      <c r="E1224" s="25" t="s">
        <v>4216</v>
      </c>
      <c r="F1224" s="26" t="str">
        <f t="shared" si="82"/>
        <v>A_HV810714</v>
      </c>
      <c r="G1224" s="26" t="str">
        <f t="shared" si="92"/>
        <v>N/A</v>
      </c>
      <c r="H1224" s="27" t="str">
        <f t="shared" si="95"/>
        <v>HS810714IO_FB0.MA</v>
      </c>
      <c r="I1224" s="23" t="str">
        <f t="shared" si="96"/>
        <v>N/A</v>
      </c>
    </row>
    <row r="1225" spans="2:9" hidden="1" x14ac:dyDescent="0.25">
      <c r="B1225" s="25" t="s">
        <v>3834</v>
      </c>
      <c r="C1225" s="25" t="s">
        <v>4217</v>
      </c>
      <c r="D1225" s="25">
        <v>0</v>
      </c>
      <c r="E1225" s="25" t="s">
        <v>4218</v>
      </c>
      <c r="F1225" s="26" t="str">
        <f t="shared" si="82"/>
        <v>A_ABV810717</v>
      </c>
      <c r="G1225" s="26" t="str">
        <f t="shared" si="92"/>
        <v>N/A</v>
      </c>
      <c r="H1225" s="27" t="str">
        <f t="shared" si="95"/>
        <v>HS810717IO_FB0.MA</v>
      </c>
      <c r="I1225" s="23" t="str">
        <f t="shared" si="96"/>
        <v>N/A</v>
      </c>
    </row>
    <row r="1226" spans="2:9" hidden="1" x14ac:dyDescent="0.25">
      <c r="B1226" s="25" t="s">
        <v>3834</v>
      </c>
      <c r="C1226" s="25" t="s">
        <v>4219</v>
      </c>
      <c r="D1226" s="25">
        <v>0</v>
      </c>
      <c r="E1226" s="25" t="s">
        <v>4220</v>
      </c>
      <c r="F1226" s="26" t="str">
        <f t="shared" si="82"/>
        <v>A_ABV810728</v>
      </c>
      <c r="G1226" s="26" t="str">
        <f t="shared" si="92"/>
        <v>N/A</v>
      </c>
      <c r="H1226" s="27" t="str">
        <f t="shared" si="95"/>
        <v>HS810728IO_FB0.MA</v>
      </c>
      <c r="I1226" s="23" t="str">
        <f t="shared" si="96"/>
        <v>N/A</v>
      </c>
    </row>
    <row r="1227" spans="2:9" hidden="1" x14ac:dyDescent="0.25">
      <c r="B1227" s="25" t="s">
        <v>3834</v>
      </c>
      <c r="C1227" s="25" t="s">
        <v>4221</v>
      </c>
      <c r="D1227" s="25">
        <v>0</v>
      </c>
      <c r="E1227" s="25" t="s">
        <v>4222</v>
      </c>
      <c r="F1227" s="26" t="str">
        <f t="shared" si="82"/>
        <v>A_ABV811005</v>
      </c>
      <c r="G1227" s="26" t="str">
        <f t="shared" si="92"/>
        <v>N/A</v>
      </c>
      <c r="H1227" s="27" t="str">
        <f t="shared" si="95"/>
        <v>HS811005IO_FB0.MA</v>
      </c>
      <c r="I1227" s="23" t="str">
        <f t="shared" si="96"/>
        <v>N/A</v>
      </c>
    </row>
    <row r="1228" spans="2:9" hidden="1" x14ac:dyDescent="0.25">
      <c r="B1228" s="25" t="s">
        <v>3834</v>
      </c>
      <c r="C1228" s="25" t="s">
        <v>4223</v>
      </c>
      <c r="D1228" s="25">
        <v>0</v>
      </c>
      <c r="E1228" s="25" t="s">
        <v>4224</v>
      </c>
      <c r="F1228" s="26" t="str">
        <f t="shared" si="82"/>
        <v>A_ABV811012</v>
      </c>
      <c r="G1228" s="26" t="str">
        <f t="shared" si="92"/>
        <v>N/A</v>
      </c>
      <c r="H1228" s="27" t="str">
        <f t="shared" si="95"/>
        <v>HS811012IO_FB0.MA</v>
      </c>
      <c r="I1228" s="23" t="str">
        <f t="shared" si="96"/>
        <v>N/A</v>
      </c>
    </row>
    <row r="1229" spans="2:9" hidden="1" x14ac:dyDescent="0.25">
      <c r="B1229" s="25" t="s">
        <v>3834</v>
      </c>
      <c r="C1229" s="25" t="s">
        <v>4225</v>
      </c>
      <c r="D1229" s="25">
        <v>0</v>
      </c>
      <c r="E1229" s="25" t="s">
        <v>4226</v>
      </c>
      <c r="F1229" s="26" t="str">
        <f t="shared" si="82"/>
        <v>A_ABV811013</v>
      </c>
      <c r="G1229" s="26" t="str">
        <f t="shared" si="92"/>
        <v>N/A</v>
      </c>
      <c r="H1229" s="27" t="str">
        <f t="shared" si="95"/>
        <v>HS811013IO_FB0.MA</v>
      </c>
      <c r="I1229" s="23" t="str">
        <f t="shared" si="96"/>
        <v>N/A</v>
      </c>
    </row>
    <row r="1230" spans="2:9" hidden="1" x14ac:dyDescent="0.25">
      <c r="B1230" s="25" t="s">
        <v>3834</v>
      </c>
      <c r="C1230" s="25" t="s">
        <v>4227</v>
      </c>
      <c r="D1230" s="25">
        <v>0</v>
      </c>
      <c r="E1230" s="25" t="s">
        <v>4228</v>
      </c>
      <c r="F1230" s="26" t="str">
        <f t="shared" si="82"/>
        <v>A_ABV811105</v>
      </c>
      <c r="G1230" s="26" t="str">
        <f t="shared" si="92"/>
        <v>N/A</v>
      </c>
      <c r="H1230" s="27" t="str">
        <f t="shared" si="95"/>
        <v>HS811105IO_FB0.MA</v>
      </c>
      <c r="I1230" s="23" t="str">
        <f t="shared" si="96"/>
        <v>N/A</v>
      </c>
    </row>
    <row r="1231" spans="2:9" hidden="1" x14ac:dyDescent="0.25">
      <c r="B1231" s="25" t="s">
        <v>3834</v>
      </c>
      <c r="C1231" s="25" t="s">
        <v>4229</v>
      </c>
      <c r="D1231" s="25">
        <v>0</v>
      </c>
      <c r="E1231" s="25" t="s">
        <v>4230</v>
      </c>
      <c r="F1231" s="26" t="str">
        <f t="shared" si="82"/>
        <v>A_ABV811112</v>
      </c>
      <c r="G1231" s="26" t="str">
        <f t="shared" si="92"/>
        <v>N/A</v>
      </c>
      <c r="H1231" s="27" t="str">
        <f t="shared" ref="H1231:H1251" si="97">+CONCATENATE(C1231,".Mode")</f>
        <v>HS811112IO_FB0.Mode</v>
      </c>
      <c r="I1231" s="23" t="str">
        <f t="shared" ref="I1231:I1251" si="98">+G1231</f>
        <v>N/A</v>
      </c>
    </row>
    <row r="1232" spans="2:9" hidden="1" x14ac:dyDescent="0.25">
      <c r="B1232" s="25" t="s">
        <v>3834</v>
      </c>
      <c r="C1232" s="25" t="s">
        <v>4231</v>
      </c>
      <c r="D1232" s="25">
        <v>0</v>
      </c>
      <c r="E1232" s="25" t="s">
        <v>4232</v>
      </c>
      <c r="F1232" s="26" t="str">
        <f t="shared" si="82"/>
        <v>A_ABV811113</v>
      </c>
      <c r="G1232" s="26" t="str">
        <f t="shared" si="92"/>
        <v>N/A</v>
      </c>
      <c r="H1232" s="27" t="str">
        <f t="shared" si="97"/>
        <v>HS811113IO_FB0.Mode</v>
      </c>
      <c r="I1232" s="23" t="str">
        <f t="shared" si="98"/>
        <v>N/A</v>
      </c>
    </row>
    <row r="1233" spans="2:9" hidden="1" x14ac:dyDescent="0.25">
      <c r="B1233" s="25" t="s">
        <v>3834</v>
      </c>
      <c r="C1233" s="25" t="s">
        <v>4233</v>
      </c>
      <c r="D1233" s="25">
        <v>0</v>
      </c>
      <c r="E1233" s="25" t="s">
        <v>4234</v>
      </c>
      <c r="F1233" s="26" t="str">
        <f t="shared" si="82"/>
        <v>A_ABV812006</v>
      </c>
      <c r="G1233" s="26" t="str">
        <f t="shared" si="92"/>
        <v>N/A</v>
      </c>
      <c r="H1233" s="27" t="str">
        <f t="shared" si="97"/>
        <v>HS812006IO_FB0.Mode</v>
      </c>
      <c r="I1233" s="23" t="str">
        <f t="shared" si="98"/>
        <v>N/A</v>
      </c>
    </row>
    <row r="1234" spans="2:9" hidden="1" x14ac:dyDescent="0.25">
      <c r="B1234" s="25" t="s">
        <v>3834</v>
      </c>
      <c r="C1234" s="25" t="s">
        <v>4235</v>
      </c>
      <c r="D1234" s="25">
        <v>0</v>
      </c>
      <c r="E1234" s="25" t="s">
        <v>4236</v>
      </c>
      <c r="F1234" s="26" t="str">
        <f t="shared" si="82"/>
        <v>A_ABV812006</v>
      </c>
      <c r="G1234" s="26" t="str">
        <f t="shared" si="92"/>
        <v>N/A</v>
      </c>
      <c r="H1234" s="27" t="str">
        <f t="shared" si="97"/>
        <v>HS812006IO_FB1.Mode</v>
      </c>
      <c r="I1234" s="23" t="str">
        <f t="shared" si="98"/>
        <v>N/A</v>
      </c>
    </row>
    <row r="1235" spans="2:9" hidden="1" x14ac:dyDescent="0.25">
      <c r="B1235" s="25" t="s">
        <v>3834</v>
      </c>
      <c r="C1235" s="25" t="s">
        <v>4237</v>
      </c>
      <c r="D1235" s="25">
        <v>0</v>
      </c>
      <c r="E1235" s="25" t="s">
        <v>4238</v>
      </c>
      <c r="F1235" s="26" t="str">
        <f t="shared" si="82"/>
        <v>A_ABV812014</v>
      </c>
      <c r="G1235" s="26" t="str">
        <f t="shared" si="92"/>
        <v>N/A</v>
      </c>
      <c r="H1235" s="27" t="str">
        <f t="shared" si="97"/>
        <v>HS812014IO_FB0.Mode</v>
      </c>
      <c r="I1235" s="23" t="str">
        <f t="shared" si="98"/>
        <v>N/A</v>
      </c>
    </row>
    <row r="1236" spans="2:9" hidden="1" x14ac:dyDescent="0.25">
      <c r="B1236" s="25" t="s">
        <v>3834</v>
      </c>
      <c r="C1236" s="25" t="s">
        <v>4239</v>
      </c>
      <c r="D1236" s="25">
        <v>0</v>
      </c>
      <c r="E1236" s="25" t="s">
        <v>4240</v>
      </c>
      <c r="F1236" s="26" t="str">
        <f t="shared" si="82"/>
        <v>A_ABV812014</v>
      </c>
      <c r="G1236" s="26" t="str">
        <f t="shared" si="92"/>
        <v>N/A</v>
      </c>
      <c r="H1236" s="27" t="str">
        <f t="shared" si="97"/>
        <v>HS812014IO_FB1.Mode</v>
      </c>
      <c r="I1236" s="23" t="str">
        <f t="shared" si="98"/>
        <v>N/A</v>
      </c>
    </row>
    <row r="1237" spans="2:9" hidden="1" x14ac:dyDescent="0.25">
      <c r="B1237" s="25" t="s">
        <v>3834</v>
      </c>
      <c r="C1237" s="25" t="s">
        <v>4241</v>
      </c>
      <c r="D1237" s="25">
        <v>0</v>
      </c>
      <c r="E1237" s="25" t="s">
        <v>4242</v>
      </c>
      <c r="F1237" s="26" t="str">
        <f t="shared" si="82"/>
        <v>A_ABV812020</v>
      </c>
      <c r="G1237" s="26" t="str">
        <f t="shared" si="92"/>
        <v>N/A</v>
      </c>
      <c r="H1237" s="27" t="str">
        <f t="shared" si="97"/>
        <v>HS812020IO_FB0.Mode</v>
      </c>
      <c r="I1237" s="23" t="str">
        <f t="shared" si="98"/>
        <v>N/A</v>
      </c>
    </row>
    <row r="1238" spans="2:9" hidden="1" x14ac:dyDescent="0.25">
      <c r="B1238" s="25" t="s">
        <v>3834</v>
      </c>
      <c r="C1238" s="25" t="s">
        <v>4243</v>
      </c>
      <c r="D1238" s="25">
        <v>0</v>
      </c>
      <c r="E1238" s="25" t="s">
        <v>4244</v>
      </c>
      <c r="F1238" s="26" t="str">
        <f t="shared" si="82"/>
        <v>A_ABV812020</v>
      </c>
      <c r="G1238" s="26" t="str">
        <f t="shared" si="92"/>
        <v>N/A</v>
      </c>
      <c r="H1238" s="27" t="str">
        <f t="shared" si="97"/>
        <v>HS812020IO_FB1.Mode</v>
      </c>
      <c r="I1238" s="23" t="str">
        <f t="shared" si="98"/>
        <v>N/A</v>
      </c>
    </row>
    <row r="1239" spans="2:9" hidden="1" x14ac:dyDescent="0.25">
      <c r="B1239" s="25" t="s">
        <v>3834</v>
      </c>
      <c r="C1239" s="25" t="s">
        <v>4245</v>
      </c>
      <c r="D1239" s="25">
        <v>0</v>
      </c>
      <c r="E1239" s="25" t="s">
        <v>4246</v>
      </c>
      <c r="F1239" s="26" t="str">
        <f t="shared" si="82"/>
        <v>A_ABV812021</v>
      </c>
      <c r="G1239" s="26" t="str">
        <f t="shared" si="92"/>
        <v>N/A</v>
      </c>
      <c r="H1239" s="27" t="str">
        <f t="shared" si="97"/>
        <v>HS812021IO_FB0.Mode</v>
      </c>
      <c r="I1239" s="23" t="str">
        <f t="shared" si="98"/>
        <v>N/A</v>
      </c>
    </row>
    <row r="1240" spans="2:9" hidden="1" x14ac:dyDescent="0.25">
      <c r="B1240" s="25" t="s">
        <v>3834</v>
      </c>
      <c r="C1240" s="25" t="s">
        <v>4247</v>
      </c>
      <c r="D1240" s="25">
        <v>0</v>
      </c>
      <c r="E1240" s="25" t="s">
        <v>4248</v>
      </c>
      <c r="F1240" s="26" t="str">
        <f t="shared" si="82"/>
        <v>A_ABV812021</v>
      </c>
      <c r="G1240" s="26" t="str">
        <f t="shared" si="92"/>
        <v>N/A</v>
      </c>
      <c r="H1240" s="27" t="str">
        <f t="shared" si="97"/>
        <v>HS812021IO_FB1.Mode</v>
      </c>
      <c r="I1240" s="23" t="str">
        <f t="shared" si="98"/>
        <v>N/A</v>
      </c>
    </row>
    <row r="1241" spans="2:9" hidden="1" x14ac:dyDescent="0.25">
      <c r="B1241" s="25" t="s">
        <v>3834</v>
      </c>
      <c r="C1241" s="25" t="s">
        <v>4249</v>
      </c>
      <c r="D1241" s="25">
        <v>0</v>
      </c>
      <c r="E1241" s="25" t="s">
        <v>4250</v>
      </c>
      <c r="F1241" s="26" t="str">
        <f t="shared" si="82"/>
        <v>A_ABV812114</v>
      </c>
      <c r="G1241" s="26" t="str">
        <f t="shared" si="92"/>
        <v>N/A</v>
      </c>
      <c r="H1241" s="27" t="str">
        <f t="shared" si="97"/>
        <v>HS812114IO_FB0.Mode</v>
      </c>
      <c r="I1241" s="23" t="str">
        <f t="shared" si="98"/>
        <v>N/A</v>
      </c>
    </row>
    <row r="1242" spans="2:9" hidden="1" x14ac:dyDescent="0.25">
      <c r="B1242" s="25" t="s">
        <v>3834</v>
      </c>
      <c r="C1242" s="25" t="s">
        <v>4251</v>
      </c>
      <c r="D1242" s="25">
        <v>0</v>
      </c>
      <c r="E1242" s="25" t="s">
        <v>4252</v>
      </c>
      <c r="F1242" s="26" t="str">
        <f t="shared" si="82"/>
        <v>A_ABV812201</v>
      </c>
      <c r="G1242" s="26" t="str">
        <f t="shared" si="92"/>
        <v>N/A</v>
      </c>
      <c r="H1242" s="27" t="str">
        <f t="shared" si="97"/>
        <v>HS812201IO_FB0.Mode</v>
      </c>
      <c r="I1242" s="23" t="str">
        <f t="shared" si="98"/>
        <v>N/A</v>
      </c>
    </row>
    <row r="1243" spans="2:9" hidden="1" x14ac:dyDescent="0.25">
      <c r="B1243" s="25" t="s">
        <v>3834</v>
      </c>
      <c r="C1243" s="25" t="s">
        <v>4253</v>
      </c>
      <c r="D1243" s="25">
        <v>0</v>
      </c>
      <c r="E1243" s="25" t="s">
        <v>4254</v>
      </c>
      <c r="F1243" s="26" t="str">
        <f t="shared" si="82"/>
        <v>A_ABV812201</v>
      </c>
      <c r="G1243" s="26" t="str">
        <f t="shared" si="92"/>
        <v>N/A</v>
      </c>
      <c r="H1243" s="27" t="str">
        <f t="shared" si="97"/>
        <v>HS812201IO_FB1.Mode</v>
      </c>
      <c r="I1243" s="23" t="str">
        <f t="shared" si="98"/>
        <v>N/A</v>
      </c>
    </row>
    <row r="1244" spans="2:9" hidden="1" x14ac:dyDescent="0.25">
      <c r="B1244" s="25" t="s">
        <v>3834</v>
      </c>
      <c r="C1244" s="25" t="s">
        <v>4255</v>
      </c>
      <c r="D1244" s="25">
        <v>0</v>
      </c>
      <c r="E1244" s="25" t="s">
        <v>4256</v>
      </c>
      <c r="F1244" s="26" t="str">
        <f t="shared" si="82"/>
        <v>A_ABV812206</v>
      </c>
      <c r="G1244" s="26" t="str">
        <f t="shared" si="92"/>
        <v>N/A</v>
      </c>
      <c r="H1244" s="27" t="str">
        <f t="shared" si="97"/>
        <v>HS812206IO_FB0.Mode</v>
      </c>
      <c r="I1244" s="23" t="str">
        <f t="shared" si="98"/>
        <v>N/A</v>
      </c>
    </row>
    <row r="1245" spans="2:9" hidden="1" x14ac:dyDescent="0.25">
      <c r="B1245" s="25" t="s">
        <v>3834</v>
      </c>
      <c r="C1245" s="25" t="s">
        <v>4257</v>
      </c>
      <c r="D1245" s="25">
        <v>0</v>
      </c>
      <c r="E1245" s="25" t="s">
        <v>4258</v>
      </c>
      <c r="F1245" s="26" t="str">
        <f t="shared" si="82"/>
        <v>A_ABV812206</v>
      </c>
      <c r="G1245" s="26" t="str">
        <f t="shared" si="92"/>
        <v>N/A</v>
      </c>
      <c r="H1245" s="27" t="str">
        <f t="shared" si="97"/>
        <v>HS812206IO_FB1.Mode</v>
      </c>
      <c r="I1245" s="23" t="str">
        <f t="shared" si="98"/>
        <v>N/A</v>
      </c>
    </row>
    <row r="1246" spans="2:9" hidden="1" x14ac:dyDescent="0.25">
      <c r="B1246" s="25" t="s">
        <v>3834</v>
      </c>
      <c r="C1246" s="25" t="s">
        <v>4259</v>
      </c>
      <c r="D1246" s="25">
        <v>0</v>
      </c>
      <c r="E1246" s="25" t="s">
        <v>4260</v>
      </c>
      <c r="F1246" s="26" t="str">
        <f t="shared" si="82"/>
        <v>A_ABV812210</v>
      </c>
      <c r="G1246" s="26" t="str">
        <f t="shared" si="92"/>
        <v>N/A</v>
      </c>
      <c r="H1246" s="27" t="str">
        <f t="shared" si="97"/>
        <v>HS812210IO_FB0.Mode</v>
      </c>
      <c r="I1246" s="23" t="str">
        <f t="shared" si="98"/>
        <v>N/A</v>
      </c>
    </row>
    <row r="1247" spans="2:9" hidden="1" x14ac:dyDescent="0.25">
      <c r="B1247" s="25" t="s">
        <v>3834</v>
      </c>
      <c r="C1247" s="25" t="s">
        <v>4261</v>
      </c>
      <c r="D1247" s="25">
        <v>0</v>
      </c>
      <c r="E1247" s="25" t="s">
        <v>4262</v>
      </c>
      <c r="F1247" s="26" t="str">
        <f t="shared" si="82"/>
        <v>A_ABV812210</v>
      </c>
      <c r="G1247" s="26" t="str">
        <f t="shared" si="92"/>
        <v>N/A</v>
      </c>
      <c r="H1247" s="27" t="str">
        <f t="shared" si="97"/>
        <v>HS812210IO_FB1.Mode</v>
      </c>
      <c r="I1247" s="23" t="str">
        <f t="shared" si="98"/>
        <v>N/A</v>
      </c>
    </row>
    <row r="1248" spans="2:9" hidden="1" x14ac:dyDescent="0.25">
      <c r="B1248" s="25" t="s">
        <v>3834</v>
      </c>
      <c r="C1248" s="25" t="s">
        <v>4263</v>
      </c>
      <c r="D1248" s="25">
        <v>0</v>
      </c>
      <c r="E1248" s="25" t="s">
        <v>4264</v>
      </c>
      <c r="F1248" s="26" t="str">
        <f t="shared" si="82"/>
        <v>A_EBV820004</v>
      </c>
      <c r="G1248" s="26" t="str">
        <f t="shared" si="92"/>
        <v>N/A</v>
      </c>
      <c r="H1248" s="27" t="str">
        <f t="shared" si="97"/>
        <v>HS820004FBCloseIO.Mode</v>
      </c>
      <c r="I1248" s="23" t="str">
        <f t="shared" si="98"/>
        <v>N/A</v>
      </c>
    </row>
    <row r="1249" spans="2:9" hidden="1" x14ac:dyDescent="0.25">
      <c r="B1249" s="25" t="s">
        <v>3834</v>
      </c>
      <c r="C1249" s="25" t="s">
        <v>4265</v>
      </c>
      <c r="D1249" s="25">
        <v>0</v>
      </c>
      <c r="E1249" s="25" t="s">
        <v>4266</v>
      </c>
      <c r="F1249" s="26" t="str">
        <f t="shared" si="82"/>
        <v>A_ABV820005</v>
      </c>
      <c r="G1249" s="26" t="str">
        <f t="shared" si="92"/>
        <v>N/A</v>
      </c>
      <c r="H1249" s="27" t="str">
        <f t="shared" si="97"/>
        <v>HS820005IO_FB0.Mode</v>
      </c>
      <c r="I1249" s="23" t="str">
        <f t="shared" si="98"/>
        <v>N/A</v>
      </c>
    </row>
    <row r="1250" spans="2:9" hidden="1" x14ac:dyDescent="0.25">
      <c r="B1250" s="25" t="s">
        <v>3834</v>
      </c>
      <c r="C1250" s="25" t="s">
        <v>4267</v>
      </c>
      <c r="D1250" s="25">
        <v>0</v>
      </c>
      <c r="E1250" s="25" t="s">
        <v>4268</v>
      </c>
      <c r="F1250" s="26" t="str">
        <f t="shared" si="82"/>
        <v>A_ABV820005</v>
      </c>
      <c r="G1250" s="26" t="str">
        <f t="shared" si="92"/>
        <v>N/A</v>
      </c>
      <c r="H1250" s="27" t="str">
        <f t="shared" si="97"/>
        <v>HS820005IO_FB1.Mode</v>
      </c>
      <c r="I1250" s="23" t="str">
        <f t="shared" si="98"/>
        <v>N/A</v>
      </c>
    </row>
    <row r="1251" spans="2:9" hidden="1" x14ac:dyDescent="0.25">
      <c r="B1251" s="25" t="s">
        <v>3834</v>
      </c>
      <c r="C1251" s="25" t="s">
        <v>4269</v>
      </c>
      <c r="D1251" s="25">
        <v>0</v>
      </c>
      <c r="E1251" s="25" t="s">
        <v>4268</v>
      </c>
      <c r="F1251" s="26" t="str">
        <f t="shared" si="82"/>
        <v>A_ABV820005</v>
      </c>
      <c r="G1251" s="26" t="str">
        <f t="shared" si="92"/>
        <v>N/A</v>
      </c>
      <c r="H1251" s="27" t="str">
        <f t="shared" si="97"/>
        <v>HS820005IO_XGH.Mode</v>
      </c>
      <c r="I1251" s="23" t="str">
        <f t="shared" si="98"/>
        <v>N/A</v>
      </c>
    </row>
    <row r="1252" spans="2:9" hidden="1" x14ac:dyDescent="0.25">
      <c r="B1252" s="25" t="s">
        <v>3834</v>
      </c>
      <c r="C1252" s="25" t="s">
        <v>4270</v>
      </c>
      <c r="D1252" s="25">
        <v>0</v>
      </c>
      <c r="E1252" s="25" t="s">
        <v>4266</v>
      </c>
      <c r="F1252" s="26" t="str">
        <f t="shared" si="82"/>
        <v>A_ABV820005</v>
      </c>
      <c r="G1252" s="26" t="str">
        <f t="shared" si="92"/>
        <v>N/A</v>
      </c>
      <c r="H1252" s="27" t="str">
        <f t="shared" ref="H1252:H1261" si="99">+CONCATENATE(C1252,".MA")</f>
        <v>HS820005IO_XGL.MA</v>
      </c>
      <c r="I1252" s="23" t="str">
        <f t="shared" ref="I1252:I1261" si="100">+G1252</f>
        <v>N/A</v>
      </c>
    </row>
    <row r="1253" spans="2:9" hidden="1" x14ac:dyDescent="0.25">
      <c r="B1253" s="25" t="s">
        <v>3834</v>
      </c>
      <c r="C1253" s="25" t="s">
        <v>4271</v>
      </c>
      <c r="D1253" s="25">
        <v>0</v>
      </c>
      <c r="E1253" s="25" t="s">
        <v>4272</v>
      </c>
      <c r="F1253" s="26" t="str">
        <f t="shared" ref="F1253:F1316" si="101">+LEFT(E1253,FIND(".",E1253,1)-1)</f>
        <v>A_ABV820007</v>
      </c>
      <c r="G1253" s="26" t="str">
        <f t="shared" si="92"/>
        <v>N/A</v>
      </c>
      <c r="H1253" s="27" t="str">
        <f t="shared" si="99"/>
        <v>HS820007FBCloseIO.MA</v>
      </c>
      <c r="I1253" s="23" t="str">
        <f t="shared" si="100"/>
        <v>N/A</v>
      </c>
    </row>
    <row r="1254" spans="2:9" hidden="1" x14ac:dyDescent="0.25">
      <c r="B1254" s="25" t="s">
        <v>3834</v>
      </c>
      <c r="C1254" s="25" t="s">
        <v>4273</v>
      </c>
      <c r="D1254" s="25">
        <v>0</v>
      </c>
      <c r="E1254" s="25" t="s">
        <v>4274</v>
      </c>
      <c r="F1254" s="26" t="str">
        <f t="shared" si="101"/>
        <v>A_EBV820014</v>
      </c>
      <c r="G1254" s="26" t="str">
        <f t="shared" si="92"/>
        <v>N/A</v>
      </c>
      <c r="H1254" s="27" t="str">
        <f t="shared" si="99"/>
        <v>HS820014FBCloseIO.MA</v>
      </c>
      <c r="I1254" s="23" t="str">
        <f t="shared" si="100"/>
        <v>N/A</v>
      </c>
    </row>
    <row r="1255" spans="2:9" hidden="1" x14ac:dyDescent="0.25">
      <c r="B1255" s="25" t="s">
        <v>3834</v>
      </c>
      <c r="C1255" s="25" t="s">
        <v>4275</v>
      </c>
      <c r="D1255" s="25">
        <v>0</v>
      </c>
      <c r="E1255" s="25" t="s">
        <v>4276</v>
      </c>
      <c r="F1255" s="26" t="str">
        <f t="shared" si="101"/>
        <v>A_ABV820015</v>
      </c>
      <c r="G1255" s="26" t="str">
        <f t="shared" si="92"/>
        <v>N/A</v>
      </c>
      <c r="H1255" s="27" t="str">
        <f t="shared" si="99"/>
        <v>HS820015IO_FB0.MA</v>
      </c>
      <c r="I1255" s="23" t="str">
        <f t="shared" si="100"/>
        <v>N/A</v>
      </c>
    </row>
    <row r="1256" spans="2:9" hidden="1" x14ac:dyDescent="0.25">
      <c r="B1256" s="25" t="s">
        <v>3834</v>
      </c>
      <c r="C1256" s="25" t="s">
        <v>4277</v>
      </c>
      <c r="D1256" s="25">
        <v>0</v>
      </c>
      <c r="E1256" s="25" t="s">
        <v>4278</v>
      </c>
      <c r="F1256" s="26" t="str">
        <f t="shared" si="101"/>
        <v>A_ABV820015</v>
      </c>
      <c r="G1256" s="26" t="str">
        <f t="shared" si="92"/>
        <v>N/A</v>
      </c>
      <c r="H1256" s="27" t="str">
        <f t="shared" si="99"/>
        <v>HS820015IO_FB1.MA</v>
      </c>
      <c r="I1256" s="23" t="str">
        <f t="shared" si="100"/>
        <v>N/A</v>
      </c>
    </row>
    <row r="1257" spans="2:9" hidden="1" x14ac:dyDescent="0.25">
      <c r="B1257" s="25" t="s">
        <v>3834</v>
      </c>
      <c r="C1257" s="25" t="s">
        <v>4279</v>
      </c>
      <c r="D1257" s="25">
        <v>0</v>
      </c>
      <c r="E1257" s="25" t="s">
        <v>4278</v>
      </c>
      <c r="F1257" s="26" t="str">
        <f t="shared" si="101"/>
        <v>A_ABV820015</v>
      </c>
      <c r="G1257" s="26" t="str">
        <f t="shared" si="92"/>
        <v>N/A</v>
      </c>
      <c r="H1257" s="27" t="str">
        <f t="shared" si="99"/>
        <v>HS820015IO_XGH.MA</v>
      </c>
      <c r="I1257" s="23" t="str">
        <f t="shared" si="100"/>
        <v>N/A</v>
      </c>
    </row>
    <row r="1258" spans="2:9" hidden="1" x14ac:dyDescent="0.25">
      <c r="B1258" s="25" t="s">
        <v>3834</v>
      </c>
      <c r="C1258" s="25" t="s">
        <v>4280</v>
      </c>
      <c r="D1258" s="25">
        <v>0</v>
      </c>
      <c r="E1258" s="25" t="s">
        <v>4276</v>
      </c>
      <c r="F1258" s="26" t="str">
        <f t="shared" si="101"/>
        <v>A_ABV820015</v>
      </c>
      <c r="G1258" s="26" t="str">
        <f t="shared" si="92"/>
        <v>N/A</v>
      </c>
      <c r="H1258" s="27" t="str">
        <f t="shared" si="99"/>
        <v>HS820015IO_XGL.MA</v>
      </c>
      <c r="I1258" s="23" t="str">
        <f t="shared" si="100"/>
        <v>N/A</v>
      </c>
    </row>
    <row r="1259" spans="2:9" hidden="1" x14ac:dyDescent="0.25">
      <c r="B1259" s="25" t="s">
        <v>3834</v>
      </c>
      <c r="C1259" s="25" t="s">
        <v>4281</v>
      </c>
      <c r="D1259" s="25">
        <v>0</v>
      </c>
      <c r="E1259" s="25" t="s">
        <v>4282</v>
      </c>
      <c r="F1259" s="26" t="str">
        <f t="shared" si="101"/>
        <v>A_ABV820017</v>
      </c>
      <c r="G1259" s="26" t="str">
        <f t="shared" si="92"/>
        <v>N/A</v>
      </c>
      <c r="H1259" s="27" t="str">
        <f t="shared" si="99"/>
        <v>HS820017FBCloseIO.MA</v>
      </c>
      <c r="I1259" s="23" t="str">
        <f t="shared" si="100"/>
        <v>N/A</v>
      </c>
    </row>
    <row r="1260" spans="2:9" hidden="1" x14ac:dyDescent="0.25">
      <c r="B1260" s="25" t="s">
        <v>3834</v>
      </c>
      <c r="C1260" s="25" t="s">
        <v>4283</v>
      </c>
      <c r="D1260" s="25">
        <v>0</v>
      </c>
      <c r="E1260" s="25" t="s">
        <v>4284</v>
      </c>
      <c r="F1260" s="26" t="str">
        <f t="shared" si="101"/>
        <v>A_ABV820103</v>
      </c>
      <c r="G1260" s="26" t="str">
        <f t="shared" si="92"/>
        <v>N/A</v>
      </c>
      <c r="H1260" s="27" t="str">
        <f t="shared" si="99"/>
        <v>HS820103IO_FB0.MA</v>
      </c>
      <c r="I1260" s="23" t="str">
        <f t="shared" si="100"/>
        <v>N/A</v>
      </c>
    </row>
    <row r="1261" spans="2:9" hidden="1" x14ac:dyDescent="0.25">
      <c r="B1261" s="25" t="s">
        <v>3834</v>
      </c>
      <c r="C1261" s="25" t="s">
        <v>4285</v>
      </c>
      <c r="D1261" s="25">
        <v>0</v>
      </c>
      <c r="E1261" s="25" t="s">
        <v>4286</v>
      </c>
      <c r="F1261" s="26" t="str">
        <f t="shared" si="101"/>
        <v>A_ABV820104</v>
      </c>
      <c r="G1261" s="26" t="str">
        <f t="shared" si="92"/>
        <v>N/A</v>
      </c>
      <c r="H1261" s="27" t="str">
        <f t="shared" si="99"/>
        <v>HS820104IO_FB0.MA</v>
      </c>
      <c r="I1261" s="23" t="str">
        <f t="shared" si="100"/>
        <v>N/A</v>
      </c>
    </row>
    <row r="1262" spans="2:9" hidden="1" x14ac:dyDescent="0.25">
      <c r="B1262" s="25" t="s">
        <v>3834</v>
      </c>
      <c r="C1262" s="25" t="s">
        <v>4287</v>
      </c>
      <c r="D1262" s="25">
        <v>0</v>
      </c>
      <c r="E1262" s="25" t="s">
        <v>4288</v>
      </c>
      <c r="F1262" s="26" t="str">
        <f t="shared" si="101"/>
        <v>A_HV820106</v>
      </c>
      <c r="G1262" s="26" t="str">
        <f t="shared" si="92"/>
        <v>N/A</v>
      </c>
      <c r="H1262" s="27" t="str">
        <f t="shared" ref="H1262:H1267" si="102">+CONCATENATE(C1262,".Mode")</f>
        <v>HS820106IO_FB0.Mode</v>
      </c>
      <c r="I1262" s="23" t="str">
        <f t="shared" ref="I1262:I1267" si="103">+G1262</f>
        <v>N/A</v>
      </c>
    </row>
    <row r="1263" spans="2:9" hidden="1" x14ac:dyDescent="0.25">
      <c r="B1263" s="25" t="s">
        <v>3834</v>
      </c>
      <c r="C1263" s="25" t="s">
        <v>4289</v>
      </c>
      <c r="D1263" s="25">
        <v>0</v>
      </c>
      <c r="E1263" s="25" t="s">
        <v>4290</v>
      </c>
      <c r="F1263" s="26" t="str">
        <f t="shared" si="101"/>
        <v>A_ABV820107</v>
      </c>
      <c r="G1263" s="26" t="str">
        <f t="shared" si="92"/>
        <v>N/A</v>
      </c>
      <c r="H1263" s="27" t="str">
        <f t="shared" si="102"/>
        <v>HS820107IO_FB0.Mode</v>
      </c>
      <c r="I1263" s="23" t="str">
        <f t="shared" si="103"/>
        <v>N/A</v>
      </c>
    </row>
    <row r="1264" spans="2:9" hidden="1" x14ac:dyDescent="0.25">
      <c r="B1264" s="25" t="s">
        <v>3834</v>
      </c>
      <c r="C1264" s="25" t="s">
        <v>4291</v>
      </c>
      <c r="D1264" s="25">
        <v>0</v>
      </c>
      <c r="E1264" s="25" t="s">
        <v>4292</v>
      </c>
      <c r="F1264" s="26" t="str">
        <f t="shared" si="101"/>
        <v>A_ABV820409</v>
      </c>
      <c r="G1264" s="26" t="str">
        <f t="shared" si="92"/>
        <v>N/A</v>
      </c>
      <c r="H1264" s="27" t="str">
        <f t="shared" si="102"/>
        <v>HS820409IO_FB0.Mode</v>
      </c>
      <c r="I1264" s="23" t="str">
        <f t="shared" si="103"/>
        <v>N/A</v>
      </c>
    </row>
    <row r="1265" spans="2:9" hidden="1" x14ac:dyDescent="0.25">
      <c r="B1265" s="25" t="s">
        <v>3834</v>
      </c>
      <c r="C1265" s="25" t="s">
        <v>4293</v>
      </c>
      <c r="D1265" s="25">
        <v>0</v>
      </c>
      <c r="E1265" s="25" t="s">
        <v>4294</v>
      </c>
      <c r="F1265" s="26" t="str">
        <f t="shared" si="101"/>
        <v>A_ABV820409</v>
      </c>
      <c r="G1265" s="26" t="str">
        <f t="shared" si="92"/>
        <v>N/A</v>
      </c>
      <c r="H1265" s="27" t="str">
        <f t="shared" si="102"/>
        <v>HS820409IO_FB1.Mode</v>
      </c>
      <c r="I1265" s="23" t="str">
        <f t="shared" si="103"/>
        <v>N/A</v>
      </c>
    </row>
    <row r="1266" spans="2:9" hidden="1" x14ac:dyDescent="0.25">
      <c r="B1266" s="25" t="s">
        <v>3834</v>
      </c>
      <c r="C1266" s="25" t="s">
        <v>4295</v>
      </c>
      <c r="D1266" s="25">
        <v>0</v>
      </c>
      <c r="E1266" s="25" t="s">
        <v>4296</v>
      </c>
      <c r="F1266" s="26" t="str">
        <f t="shared" si="101"/>
        <v>A_PV820413</v>
      </c>
      <c r="G1266" s="26" t="str">
        <f t="shared" si="92"/>
        <v>N/A</v>
      </c>
      <c r="H1266" s="27" t="str">
        <f t="shared" si="102"/>
        <v>HS820413IO_FB0.Mode</v>
      </c>
      <c r="I1266" s="23" t="str">
        <f t="shared" si="103"/>
        <v>N/A</v>
      </c>
    </row>
    <row r="1267" spans="2:9" hidden="1" x14ac:dyDescent="0.25">
      <c r="B1267" s="25" t="s">
        <v>3834</v>
      </c>
      <c r="C1267" s="25" t="s">
        <v>4297</v>
      </c>
      <c r="D1267" s="25">
        <v>0</v>
      </c>
      <c r="E1267" s="25" t="s">
        <v>4298</v>
      </c>
      <c r="F1267" s="26" t="str">
        <f t="shared" si="101"/>
        <v>A_ABV820494</v>
      </c>
      <c r="G1267" s="26" t="str">
        <f t="shared" si="92"/>
        <v>N/A</v>
      </c>
      <c r="H1267" s="27" t="str">
        <f t="shared" si="102"/>
        <v>HS820494IO_FB0.Mode</v>
      </c>
      <c r="I1267" s="23" t="str">
        <f t="shared" si="103"/>
        <v>N/A</v>
      </c>
    </row>
    <row r="1268" spans="2:9" hidden="1" x14ac:dyDescent="0.25">
      <c r="B1268" s="25" t="s">
        <v>3834</v>
      </c>
      <c r="C1268" s="25" t="s">
        <v>4299</v>
      </c>
      <c r="D1268" s="25">
        <v>0</v>
      </c>
      <c r="E1268" s="25" t="s">
        <v>4300</v>
      </c>
      <c r="F1268" s="26" t="str">
        <f t="shared" si="101"/>
        <v>A_HV820495</v>
      </c>
      <c r="G1268" s="26" t="str">
        <f t="shared" si="92"/>
        <v>N/A</v>
      </c>
      <c r="H1268" s="27" t="str">
        <f>+CONCATENATE(C1268,".MA")</f>
        <v>HS820495IO_FB0.MA</v>
      </c>
      <c r="I1268" s="23" t="str">
        <f>+G1268</f>
        <v>N/A</v>
      </c>
    </row>
    <row r="1269" spans="2:9" hidden="1" x14ac:dyDescent="0.25">
      <c r="B1269" s="25" t="s">
        <v>3834</v>
      </c>
      <c r="C1269" s="25" t="s">
        <v>4301</v>
      </c>
      <c r="D1269" s="25">
        <v>0</v>
      </c>
      <c r="E1269" s="25" t="s">
        <v>4302</v>
      </c>
      <c r="F1269" s="26" t="str">
        <f t="shared" si="101"/>
        <v>A_HV820496</v>
      </c>
      <c r="G1269" s="26" t="str">
        <f t="shared" si="92"/>
        <v>N/A</v>
      </c>
      <c r="H1269" s="27" t="str">
        <f>+CONCATENATE(C1269,".MA")</f>
        <v>HS820496IO_FB0.MA</v>
      </c>
      <c r="I1269" s="23" t="str">
        <f>+G1269</f>
        <v>N/A</v>
      </c>
    </row>
    <row r="1270" spans="2:9" hidden="1" x14ac:dyDescent="0.25">
      <c r="B1270" s="25" t="s">
        <v>3834</v>
      </c>
      <c r="C1270" s="25" t="s">
        <v>4303</v>
      </c>
      <c r="D1270" s="25">
        <v>0</v>
      </c>
      <c r="E1270" s="25" t="s">
        <v>4304</v>
      </c>
      <c r="F1270" s="26" t="str">
        <f t="shared" si="101"/>
        <v>A_ABV820497</v>
      </c>
      <c r="G1270" s="26" t="str">
        <f t="shared" si="92"/>
        <v>N/A</v>
      </c>
      <c r="H1270" s="27" t="str">
        <f>+CONCATENATE(C1270,".MA")</f>
        <v>HS820497IO_FB0.MA</v>
      </c>
      <c r="I1270" s="23" t="str">
        <f>+G1270</f>
        <v>N/A</v>
      </c>
    </row>
    <row r="1271" spans="2:9" hidden="1" x14ac:dyDescent="0.25">
      <c r="B1271" s="25" t="s">
        <v>3834</v>
      </c>
      <c r="C1271" s="25" t="s">
        <v>4305</v>
      </c>
      <c r="D1271" s="25">
        <v>0</v>
      </c>
      <c r="E1271" s="25" t="s">
        <v>4306</v>
      </c>
      <c r="F1271" s="26" t="str">
        <f t="shared" si="101"/>
        <v>A_ABV820498</v>
      </c>
      <c r="G1271" s="26" t="str">
        <f t="shared" si="92"/>
        <v>N/A</v>
      </c>
      <c r="H1271" s="27" t="str">
        <f>+CONCATENATE(C1271,".MA")</f>
        <v>HS820498IO_FB0.MA</v>
      </c>
      <c r="I1271" s="23" t="str">
        <f>+G1271</f>
        <v>N/A</v>
      </c>
    </row>
    <row r="1272" spans="2:9" hidden="1" x14ac:dyDescent="0.25">
      <c r="B1272" s="25" t="s">
        <v>3834</v>
      </c>
      <c r="C1272" s="25" t="s">
        <v>4307</v>
      </c>
      <c r="D1272" s="25">
        <v>0</v>
      </c>
      <c r="E1272" s="25" t="s">
        <v>4308</v>
      </c>
      <c r="F1272" s="26" t="str">
        <f t="shared" si="101"/>
        <v>A_ABV820499</v>
      </c>
      <c r="G1272" s="26" t="str">
        <f t="shared" si="92"/>
        <v>N/A</v>
      </c>
      <c r="H1272" s="27" t="str">
        <f t="shared" ref="H1272:H1303" si="104">+CONCATENATE(C1272,".Mode")</f>
        <v>HS820499IO_FB0.Mode</v>
      </c>
      <c r="I1272" s="23" t="str">
        <f t="shared" ref="I1272:I1303" si="105">+G1272</f>
        <v>N/A</v>
      </c>
    </row>
    <row r="1273" spans="2:9" hidden="1" x14ac:dyDescent="0.25">
      <c r="B1273" s="25" t="s">
        <v>3834</v>
      </c>
      <c r="C1273" s="25" t="s">
        <v>4309</v>
      </c>
      <c r="D1273" s="25">
        <v>0</v>
      </c>
      <c r="E1273" s="25" t="s">
        <v>4310</v>
      </c>
      <c r="F1273" s="26" t="str">
        <f t="shared" si="101"/>
        <v>A_EBV820501</v>
      </c>
      <c r="G1273" s="26" t="str">
        <f t="shared" si="92"/>
        <v>N/A</v>
      </c>
      <c r="H1273" s="27" t="str">
        <f t="shared" si="104"/>
        <v>HS820501IO_FB0.Mode</v>
      </c>
      <c r="I1273" s="23" t="str">
        <f t="shared" si="105"/>
        <v>N/A</v>
      </c>
    </row>
    <row r="1274" spans="2:9" hidden="1" x14ac:dyDescent="0.25">
      <c r="B1274" s="25" t="s">
        <v>3834</v>
      </c>
      <c r="C1274" s="25" t="s">
        <v>4311</v>
      </c>
      <c r="D1274" s="25">
        <v>0</v>
      </c>
      <c r="E1274" s="25" t="s">
        <v>4312</v>
      </c>
      <c r="F1274" s="26" t="str">
        <f t="shared" si="101"/>
        <v>A_EBV820501</v>
      </c>
      <c r="G1274" s="26" t="str">
        <f t="shared" si="92"/>
        <v>N/A</v>
      </c>
      <c r="H1274" s="27" t="str">
        <f t="shared" si="104"/>
        <v>HS820501IO_FB1.Mode</v>
      </c>
      <c r="I1274" s="23" t="str">
        <f t="shared" si="105"/>
        <v>N/A</v>
      </c>
    </row>
    <row r="1275" spans="2:9" hidden="1" x14ac:dyDescent="0.25">
      <c r="B1275" s="25" t="s">
        <v>3834</v>
      </c>
      <c r="C1275" s="25" t="s">
        <v>4313</v>
      </c>
      <c r="D1275" s="25">
        <v>0</v>
      </c>
      <c r="E1275" s="25" t="s">
        <v>4314</v>
      </c>
      <c r="F1275" s="26" t="str">
        <f t="shared" si="101"/>
        <v>A_ABV820502</v>
      </c>
      <c r="G1275" s="26" t="str">
        <f t="shared" si="92"/>
        <v>N/A</v>
      </c>
      <c r="H1275" s="27" t="str">
        <f t="shared" si="104"/>
        <v>HS820502IO_FB0.Mode</v>
      </c>
      <c r="I1275" s="23" t="str">
        <f t="shared" si="105"/>
        <v>N/A</v>
      </c>
    </row>
    <row r="1276" spans="2:9" hidden="1" x14ac:dyDescent="0.25">
      <c r="B1276" s="25" t="s">
        <v>3834</v>
      </c>
      <c r="C1276" s="25" t="s">
        <v>4315</v>
      </c>
      <c r="D1276" s="25">
        <v>0</v>
      </c>
      <c r="E1276" s="25" t="s">
        <v>4316</v>
      </c>
      <c r="F1276" s="26" t="str">
        <f t="shared" si="101"/>
        <v>A_ABV820504</v>
      </c>
      <c r="G1276" s="26" t="str">
        <f t="shared" si="92"/>
        <v>N/A</v>
      </c>
      <c r="H1276" s="27" t="str">
        <f t="shared" si="104"/>
        <v>HS820504IO_XGL.Mode</v>
      </c>
      <c r="I1276" s="23" t="str">
        <f t="shared" si="105"/>
        <v>N/A</v>
      </c>
    </row>
    <row r="1277" spans="2:9" hidden="1" x14ac:dyDescent="0.25">
      <c r="B1277" s="25" t="s">
        <v>3834</v>
      </c>
      <c r="C1277" s="25" t="s">
        <v>4317</v>
      </c>
      <c r="D1277" s="25">
        <v>0</v>
      </c>
      <c r="E1277" s="25" t="s">
        <v>4318</v>
      </c>
      <c r="F1277" s="26" t="str">
        <f t="shared" si="101"/>
        <v>A_ABV820519</v>
      </c>
      <c r="G1277" s="26" t="str">
        <f t="shared" si="92"/>
        <v>N/A</v>
      </c>
      <c r="H1277" s="27" t="str">
        <f t="shared" si="104"/>
        <v>HS820519IO_XGL.Mode</v>
      </c>
      <c r="I1277" s="23" t="str">
        <f t="shared" si="105"/>
        <v>N/A</v>
      </c>
    </row>
    <row r="1278" spans="2:9" hidden="1" x14ac:dyDescent="0.25">
      <c r="B1278" s="25" t="s">
        <v>3834</v>
      </c>
      <c r="C1278" s="25" t="s">
        <v>4319</v>
      </c>
      <c r="D1278" s="25">
        <v>0</v>
      </c>
      <c r="E1278" s="25" t="s">
        <v>4320</v>
      </c>
      <c r="F1278" s="26" t="str">
        <f t="shared" si="101"/>
        <v>A_ABV820521</v>
      </c>
      <c r="G1278" s="26" t="str">
        <f t="shared" si="92"/>
        <v>N/A</v>
      </c>
      <c r="H1278" s="27" t="str">
        <f t="shared" si="104"/>
        <v>HS820521IO_FB0.Mode</v>
      </c>
      <c r="I1278" s="23" t="str">
        <f t="shared" si="105"/>
        <v>N/A</v>
      </c>
    </row>
    <row r="1279" spans="2:9" hidden="1" x14ac:dyDescent="0.25">
      <c r="B1279" s="25" t="s">
        <v>3834</v>
      </c>
      <c r="C1279" s="25" t="s">
        <v>4321</v>
      </c>
      <c r="D1279" s="25">
        <v>0</v>
      </c>
      <c r="E1279" s="25" t="s">
        <v>4322</v>
      </c>
      <c r="F1279" s="26" t="str">
        <f t="shared" si="101"/>
        <v>A_ABV820521</v>
      </c>
      <c r="G1279" s="26" t="str">
        <f t="shared" si="92"/>
        <v>N/A</v>
      </c>
      <c r="H1279" s="27" t="str">
        <f t="shared" si="104"/>
        <v>HS820521IO_FB1.Mode</v>
      </c>
      <c r="I1279" s="23" t="str">
        <f t="shared" si="105"/>
        <v>N/A</v>
      </c>
    </row>
    <row r="1280" spans="2:9" hidden="1" x14ac:dyDescent="0.25">
      <c r="B1280" s="25" t="s">
        <v>3834</v>
      </c>
      <c r="C1280" s="25" t="s">
        <v>4323</v>
      </c>
      <c r="D1280" s="25">
        <v>0</v>
      </c>
      <c r="E1280" s="25" t="s">
        <v>4324</v>
      </c>
      <c r="F1280" s="26" t="str">
        <f t="shared" si="101"/>
        <v>A_ABV820522</v>
      </c>
      <c r="G1280" s="26" t="str">
        <f t="shared" si="92"/>
        <v>N/A</v>
      </c>
      <c r="H1280" s="27" t="str">
        <f t="shared" si="104"/>
        <v>HS820522IO_FB0.Mode</v>
      </c>
      <c r="I1280" s="23" t="str">
        <f t="shared" si="105"/>
        <v>N/A</v>
      </c>
    </row>
    <row r="1281" spans="2:9" x14ac:dyDescent="0.25">
      <c r="B1281" s="25" t="s">
        <v>3834</v>
      </c>
      <c r="C1281" s="25" t="s">
        <v>4325</v>
      </c>
      <c r="D1281" s="25">
        <v>0</v>
      </c>
      <c r="E1281" s="25" t="s">
        <v>4326</v>
      </c>
      <c r="F1281" s="26" t="str">
        <f t="shared" si="101"/>
        <v>XA820560</v>
      </c>
      <c r="G1281" s="26">
        <f t="shared" si="92"/>
        <v>2</v>
      </c>
      <c r="H1281" s="27" t="str">
        <f t="shared" si="104"/>
        <v>HS820560IO.Mode</v>
      </c>
      <c r="I1281" s="23">
        <f t="shared" si="105"/>
        <v>2</v>
      </c>
    </row>
    <row r="1282" spans="2:9" hidden="1" x14ac:dyDescent="0.25">
      <c r="B1282" s="25" t="s">
        <v>3834</v>
      </c>
      <c r="C1282" s="25" t="s">
        <v>4327</v>
      </c>
      <c r="D1282" s="25">
        <v>0</v>
      </c>
      <c r="E1282" s="25" t="s">
        <v>4328</v>
      </c>
      <c r="F1282" s="26" t="str">
        <f t="shared" si="101"/>
        <v>A_ABV820602</v>
      </c>
      <c r="G1282" s="26" t="str">
        <f t="shared" ref="G1282:G1345" si="106">+IFERROR(IF(VLOOKUP(F1282,DI,2,FALSE)="IO",2,0),"N/A")</f>
        <v>N/A</v>
      </c>
      <c r="H1282" s="27" t="str">
        <f t="shared" si="104"/>
        <v>HS820602IO_FB0.Mode</v>
      </c>
      <c r="I1282" s="23" t="str">
        <f t="shared" si="105"/>
        <v>N/A</v>
      </c>
    </row>
    <row r="1283" spans="2:9" hidden="1" x14ac:dyDescent="0.25">
      <c r="B1283" s="25" t="s">
        <v>3834</v>
      </c>
      <c r="C1283" s="25" t="s">
        <v>4329</v>
      </c>
      <c r="D1283" s="25">
        <v>0</v>
      </c>
      <c r="E1283" s="25" t="s">
        <v>4330</v>
      </c>
      <c r="F1283" s="26" t="str">
        <f t="shared" si="101"/>
        <v>A_ABV820602</v>
      </c>
      <c r="G1283" s="26" t="str">
        <f t="shared" si="106"/>
        <v>N/A</v>
      </c>
      <c r="H1283" s="27" t="str">
        <f t="shared" si="104"/>
        <v>HS820602IO_FB1.Mode</v>
      </c>
      <c r="I1283" s="23" t="str">
        <f t="shared" si="105"/>
        <v>N/A</v>
      </c>
    </row>
    <row r="1284" spans="2:9" hidden="1" x14ac:dyDescent="0.25">
      <c r="B1284" s="25" t="s">
        <v>3834</v>
      </c>
      <c r="C1284" s="25" t="s">
        <v>4331</v>
      </c>
      <c r="D1284" s="25">
        <v>0</v>
      </c>
      <c r="E1284" s="25" t="s">
        <v>4332</v>
      </c>
      <c r="F1284" s="26" t="str">
        <f t="shared" si="101"/>
        <v>A_ABV820611</v>
      </c>
      <c r="G1284" s="26" t="str">
        <f t="shared" si="106"/>
        <v>N/A</v>
      </c>
      <c r="H1284" s="27" t="str">
        <f t="shared" si="104"/>
        <v>HS820611IO_FB0.Mode</v>
      </c>
      <c r="I1284" s="23" t="str">
        <f t="shared" si="105"/>
        <v>N/A</v>
      </c>
    </row>
    <row r="1285" spans="2:9" hidden="1" x14ac:dyDescent="0.25">
      <c r="B1285" s="25" t="s">
        <v>3834</v>
      </c>
      <c r="C1285" s="25" t="s">
        <v>4333</v>
      </c>
      <c r="D1285" s="25">
        <v>0</v>
      </c>
      <c r="E1285" s="25" t="s">
        <v>4334</v>
      </c>
      <c r="F1285" s="26" t="str">
        <f t="shared" si="101"/>
        <v>A_ABV820641</v>
      </c>
      <c r="G1285" s="26" t="str">
        <f t="shared" si="106"/>
        <v>N/A</v>
      </c>
      <c r="H1285" s="27" t="str">
        <f t="shared" si="104"/>
        <v>HS820641IO_FB0.Mode</v>
      </c>
      <c r="I1285" s="23" t="str">
        <f t="shared" si="105"/>
        <v>N/A</v>
      </c>
    </row>
    <row r="1286" spans="2:9" hidden="1" x14ac:dyDescent="0.25">
      <c r="B1286" s="25" t="s">
        <v>3834</v>
      </c>
      <c r="C1286" s="25" t="s">
        <v>4335</v>
      </c>
      <c r="D1286" s="25">
        <v>0</v>
      </c>
      <c r="E1286" s="25" t="s">
        <v>4336</v>
      </c>
      <c r="F1286" s="26" t="str">
        <f t="shared" si="101"/>
        <v>A_ABV820655</v>
      </c>
      <c r="G1286" s="26" t="str">
        <f t="shared" si="106"/>
        <v>N/A</v>
      </c>
      <c r="H1286" s="27" t="str">
        <f t="shared" si="104"/>
        <v>HS820655IO_FB0.Mode</v>
      </c>
      <c r="I1286" s="23" t="str">
        <f t="shared" si="105"/>
        <v>N/A</v>
      </c>
    </row>
    <row r="1287" spans="2:9" hidden="1" x14ac:dyDescent="0.25">
      <c r="B1287" s="25" t="s">
        <v>3834</v>
      </c>
      <c r="C1287" s="25" t="s">
        <v>4337</v>
      </c>
      <c r="D1287" s="25">
        <v>0</v>
      </c>
      <c r="E1287" s="25" t="s">
        <v>4338</v>
      </c>
      <c r="F1287" s="26" t="str">
        <f t="shared" si="101"/>
        <v>A_HV820716</v>
      </c>
      <c r="G1287" s="26" t="str">
        <f t="shared" si="106"/>
        <v>N/A</v>
      </c>
      <c r="H1287" s="27" t="str">
        <f t="shared" si="104"/>
        <v>HS820716IO_FB0.Mode</v>
      </c>
      <c r="I1287" s="23" t="str">
        <f t="shared" si="105"/>
        <v>N/A</v>
      </c>
    </row>
    <row r="1288" spans="2:9" hidden="1" x14ac:dyDescent="0.25">
      <c r="B1288" s="25" t="s">
        <v>3834</v>
      </c>
      <c r="C1288" s="25" t="s">
        <v>4339</v>
      </c>
      <c r="D1288" s="25">
        <v>0</v>
      </c>
      <c r="E1288" s="25" t="s">
        <v>4340</v>
      </c>
      <c r="F1288" s="26" t="str">
        <f t="shared" si="101"/>
        <v>A_HV820718</v>
      </c>
      <c r="G1288" s="26" t="str">
        <f t="shared" si="106"/>
        <v>N/A</v>
      </c>
      <c r="H1288" s="27" t="str">
        <f t="shared" si="104"/>
        <v>HS820718IO_FB0.Mode</v>
      </c>
      <c r="I1288" s="23" t="str">
        <f t="shared" si="105"/>
        <v>N/A</v>
      </c>
    </row>
    <row r="1289" spans="2:9" hidden="1" x14ac:dyDescent="0.25">
      <c r="B1289" s="25" t="s">
        <v>3834</v>
      </c>
      <c r="C1289" s="25" t="s">
        <v>4341</v>
      </c>
      <c r="D1289" s="25">
        <v>0</v>
      </c>
      <c r="E1289" s="25" t="s">
        <v>4342</v>
      </c>
      <c r="F1289" s="26" t="str">
        <f t="shared" si="101"/>
        <v>A_ABV820801</v>
      </c>
      <c r="G1289" s="26" t="str">
        <f t="shared" si="106"/>
        <v>N/A</v>
      </c>
      <c r="H1289" s="27" t="str">
        <f t="shared" si="104"/>
        <v>HS820801IO_FB0.Mode</v>
      </c>
      <c r="I1289" s="23" t="str">
        <f t="shared" si="105"/>
        <v>N/A</v>
      </c>
    </row>
    <row r="1290" spans="2:9" hidden="1" x14ac:dyDescent="0.25">
      <c r="B1290" s="25" t="s">
        <v>3834</v>
      </c>
      <c r="C1290" s="25" t="s">
        <v>4343</v>
      </c>
      <c r="D1290" s="25">
        <v>0</v>
      </c>
      <c r="E1290" s="25" t="s">
        <v>4344</v>
      </c>
      <c r="F1290" s="26" t="str">
        <f t="shared" si="101"/>
        <v>A_ABV820801</v>
      </c>
      <c r="G1290" s="26" t="str">
        <f t="shared" si="106"/>
        <v>N/A</v>
      </c>
      <c r="H1290" s="27" t="str">
        <f t="shared" si="104"/>
        <v>HS820801IO_FB1.Mode</v>
      </c>
      <c r="I1290" s="23" t="str">
        <f t="shared" si="105"/>
        <v>N/A</v>
      </c>
    </row>
    <row r="1291" spans="2:9" hidden="1" x14ac:dyDescent="0.25">
      <c r="B1291" s="25" t="s">
        <v>3834</v>
      </c>
      <c r="C1291" s="25" t="s">
        <v>4345</v>
      </c>
      <c r="D1291" s="25">
        <v>0</v>
      </c>
      <c r="E1291" s="25" t="s">
        <v>4346</v>
      </c>
      <c r="F1291" s="26" t="str">
        <f t="shared" si="101"/>
        <v>A_ABV820802</v>
      </c>
      <c r="G1291" s="26" t="str">
        <f t="shared" si="106"/>
        <v>N/A</v>
      </c>
      <c r="H1291" s="27" t="str">
        <f t="shared" si="104"/>
        <v>HS820802IO_FB0.Mode</v>
      </c>
      <c r="I1291" s="23" t="str">
        <f t="shared" si="105"/>
        <v>N/A</v>
      </c>
    </row>
    <row r="1292" spans="2:9" hidden="1" x14ac:dyDescent="0.25">
      <c r="B1292" s="25" t="s">
        <v>3834</v>
      </c>
      <c r="C1292" s="25" t="s">
        <v>4347</v>
      </c>
      <c r="D1292" s="25">
        <v>0</v>
      </c>
      <c r="E1292" s="25" t="s">
        <v>4348</v>
      </c>
      <c r="F1292" s="26" t="str">
        <f t="shared" si="101"/>
        <v>A_ABV820803</v>
      </c>
      <c r="G1292" s="26" t="str">
        <f t="shared" si="106"/>
        <v>N/A</v>
      </c>
      <c r="H1292" s="27" t="str">
        <f t="shared" si="104"/>
        <v>HS820803IO_FB0.Mode</v>
      </c>
      <c r="I1292" s="23" t="str">
        <f t="shared" si="105"/>
        <v>N/A</v>
      </c>
    </row>
    <row r="1293" spans="2:9" hidden="1" x14ac:dyDescent="0.25">
      <c r="B1293" s="25" t="s">
        <v>3834</v>
      </c>
      <c r="C1293" s="25" t="s">
        <v>4349</v>
      </c>
      <c r="D1293" s="25">
        <v>0</v>
      </c>
      <c r="E1293" s="25" t="s">
        <v>4350</v>
      </c>
      <c r="F1293" s="26" t="str">
        <f t="shared" si="101"/>
        <v>A_ABV820806</v>
      </c>
      <c r="G1293" s="26" t="str">
        <f t="shared" si="106"/>
        <v>N/A</v>
      </c>
      <c r="H1293" s="27" t="str">
        <f t="shared" si="104"/>
        <v>HS820806IO_FB0.Mode</v>
      </c>
      <c r="I1293" s="23" t="str">
        <f t="shared" si="105"/>
        <v>N/A</v>
      </c>
    </row>
    <row r="1294" spans="2:9" hidden="1" x14ac:dyDescent="0.25">
      <c r="B1294" s="25" t="s">
        <v>3834</v>
      </c>
      <c r="C1294" s="25" t="s">
        <v>4351</v>
      </c>
      <c r="D1294" s="25">
        <v>0</v>
      </c>
      <c r="E1294" s="25" t="s">
        <v>4352</v>
      </c>
      <c r="F1294" s="26" t="str">
        <f t="shared" si="101"/>
        <v>A_ABV820826</v>
      </c>
      <c r="G1294" s="26" t="str">
        <f t="shared" si="106"/>
        <v>N/A</v>
      </c>
      <c r="H1294" s="27" t="str">
        <f t="shared" si="104"/>
        <v>HS820826IO_FB0.Mode</v>
      </c>
      <c r="I1294" s="23" t="str">
        <f t="shared" si="105"/>
        <v>N/A</v>
      </c>
    </row>
    <row r="1295" spans="2:9" hidden="1" x14ac:dyDescent="0.25">
      <c r="B1295" s="25" t="s">
        <v>3834</v>
      </c>
      <c r="C1295" s="25" t="s">
        <v>4353</v>
      </c>
      <c r="D1295" s="25">
        <v>0</v>
      </c>
      <c r="E1295" s="25" t="s">
        <v>4354</v>
      </c>
      <c r="F1295" s="26" t="str">
        <f t="shared" si="101"/>
        <v>A_ABV820827</v>
      </c>
      <c r="G1295" s="26" t="str">
        <f t="shared" si="106"/>
        <v>N/A</v>
      </c>
      <c r="H1295" s="27" t="str">
        <f t="shared" si="104"/>
        <v>HS820827IO_FB0.Mode</v>
      </c>
      <c r="I1295" s="23" t="str">
        <f t="shared" si="105"/>
        <v>N/A</v>
      </c>
    </row>
    <row r="1296" spans="2:9" hidden="1" x14ac:dyDescent="0.25">
      <c r="B1296" s="25" t="s">
        <v>3834</v>
      </c>
      <c r="C1296" s="25" t="s">
        <v>4355</v>
      </c>
      <c r="D1296" s="25">
        <v>0</v>
      </c>
      <c r="E1296" s="25" t="s">
        <v>4356</v>
      </c>
      <c r="F1296" s="26" t="str">
        <f t="shared" si="101"/>
        <v>A_ABV820832</v>
      </c>
      <c r="G1296" s="26" t="str">
        <f t="shared" si="106"/>
        <v>N/A</v>
      </c>
      <c r="H1296" s="27" t="str">
        <f t="shared" si="104"/>
        <v>HS820832IO_FB0.Mode</v>
      </c>
      <c r="I1296" s="23" t="str">
        <f t="shared" si="105"/>
        <v>N/A</v>
      </c>
    </row>
    <row r="1297" spans="2:9" hidden="1" x14ac:dyDescent="0.25">
      <c r="B1297" s="25" t="s">
        <v>3834</v>
      </c>
      <c r="C1297" s="25" t="s">
        <v>4357</v>
      </c>
      <c r="D1297" s="25">
        <v>0</v>
      </c>
      <c r="E1297" s="25" t="s">
        <v>4358</v>
      </c>
      <c r="F1297" s="26" t="str">
        <f t="shared" si="101"/>
        <v>A_ABV820840</v>
      </c>
      <c r="G1297" s="26" t="str">
        <f t="shared" si="106"/>
        <v>N/A</v>
      </c>
      <c r="H1297" s="27" t="str">
        <f t="shared" si="104"/>
        <v>HS820840IO_FB0.Mode</v>
      </c>
      <c r="I1297" s="23" t="str">
        <f t="shared" si="105"/>
        <v>N/A</v>
      </c>
    </row>
    <row r="1298" spans="2:9" hidden="1" x14ac:dyDescent="0.25">
      <c r="B1298" s="25" t="s">
        <v>3834</v>
      </c>
      <c r="C1298" s="25" t="s">
        <v>4359</v>
      </c>
      <c r="D1298" s="25">
        <v>0</v>
      </c>
      <c r="E1298" s="25" t="s">
        <v>4360</v>
      </c>
      <c r="F1298" s="26" t="str">
        <f t="shared" si="101"/>
        <v>A_ABV820841</v>
      </c>
      <c r="G1298" s="26" t="str">
        <f t="shared" si="106"/>
        <v>N/A</v>
      </c>
      <c r="H1298" s="27" t="str">
        <f t="shared" si="104"/>
        <v>HS820841IO_FB0.Mode</v>
      </c>
      <c r="I1298" s="23" t="str">
        <f t="shared" si="105"/>
        <v>N/A</v>
      </c>
    </row>
    <row r="1299" spans="2:9" hidden="1" x14ac:dyDescent="0.25">
      <c r="B1299" s="25" t="s">
        <v>3834</v>
      </c>
      <c r="C1299" s="25" t="s">
        <v>4361</v>
      </c>
      <c r="D1299" s="25">
        <v>0</v>
      </c>
      <c r="E1299" s="25" t="s">
        <v>4362</v>
      </c>
      <c r="F1299" s="26" t="str">
        <f t="shared" si="101"/>
        <v>A_ABV820902</v>
      </c>
      <c r="G1299" s="26" t="str">
        <f t="shared" si="106"/>
        <v>N/A</v>
      </c>
      <c r="H1299" s="27" t="str">
        <f t="shared" si="104"/>
        <v>HS820902IO_FB0.Mode</v>
      </c>
      <c r="I1299" s="23" t="str">
        <f t="shared" si="105"/>
        <v>N/A</v>
      </c>
    </row>
    <row r="1300" spans="2:9" hidden="1" x14ac:dyDescent="0.25">
      <c r="B1300" s="25" t="s">
        <v>3834</v>
      </c>
      <c r="C1300" s="25" t="s">
        <v>4363</v>
      </c>
      <c r="D1300" s="25">
        <v>0</v>
      </c>
      <c r="E1300" s="25" t="s">
        <v>4364</v>
      </c>
      <c r="F1300" s="26" t="str">
        <f t="shared" si="101"/>
        <v>A_ABV820907</v>
      </c>
      <c r="G1300" s="26" t="str">
        <f t="shared" si="106"/>
        <v>N/A</v>
      </c>
      <c r="H1300" s="27" t="str">
        <f t="shared" si="104"/>
        <v>HS820907IO_FB0.Mode</v>
      </c>
      <c r="I1300" s="23" t="str">
        <f t="shared" si="105"/>
        <v>N/A</v>
      </c>
    </row>
    <row r="1301" spans="2:9" hidden="1" x14ac:dyDescent="0.25">
      <c r="B1301" s="25" t="s">
        <v>3834</v>
      </c>
      <c r="C1301" s="25" t="s">
        <v>4365</v>
      </c>
      <c r="D1301" s="25">
        <v>0</v>
      </c>
      <c r="E1301" s="25" t="s">
        <v>4366</v>
      </c>
      <c r="F1301" s="26" t="str">
        <f t="shared" si="101"/>
        <v>A_ABV821001</v>
      </c>
      <c r="G1301" s="26" t="str">
        <f t="shared" si="106"/>
        <v>N/A</v>
      </c>
      <c r="H1301" s="27" t="str">
        <f t="shared" si="104"/>
        <v>HS821001IO_FB0.Mode</v>
      </c>
      <c r="I1301" s="23" t="str">
        <f t="shared" si="105"/>
        <v>N/A</v>
      </c>
    </row>
    <row r="1302" spans="2:9" hidden="1" x14ac:dyDescent="0.25">
      <c r="B1302" s="25" t="s">
        <v>3834</v>
      </c>
      <c r="C1302" s="25" t="s">
        <v>4367</v>
      </c>
      <c r="D1302" s="25">
        <v>0</v>
      </c>
      <c r="E1302" s="25" t="s">
        <v>4368</v>
      </c>
      <c r="F1302" s="26" t="str">
        <f t="shared" si="101"/>
        <v>A_ABV821002</v>
      </c>
      <c r="G1302" s="26" t="str">
        <f t="shared" si="106"/>
        <v>N/A</v>
      </c>
      <c r="H1302" s="27" t="str">
        <f t="shared" si="104"/>
        <v>HS821002IO_FB0.Mode</v>
      </c>
      <c r="I1302" s="23" t="str">
        <f t="shared" si="105"/>
        <v>N/A</v>
      </c>
    </row>
    <row r="1303" spans="2:9" hidden="1" x14ac:dyDescent="0.25">
      <c r="B1303" s="25" t="s">
        <v>3834</v>
      </c>
      <c r="C1303" s="25" t="s">
        <v>4369</v>
      </c>
      <c r="D1303" s="25">
        <v>0</v>
      </c>
      <c r="E1303" s="25" t="s">
        <v>4370</v>
      </c>
      <c r="F1303" s="26" t="str">
        <f t="shared" si="101"/>
        <v>A_ABV821004</v>
      </c>
      <c r="G1303" s="26" t="str">
        <f t="shared" si="106"/>
        <v>N/A</v>
      </c>
      <c r="H1303" s="27" t="str">
        <f t="shared" si="104"/>
        <v>HS821004IO_FB0.Mode</v>
      </c>
      <c r="I1303" s="23" t="str">
        <f t="shared" si="105"/>
        <v>N/A</v>
      </c>
    </row>
    <row r="1304" spans="2:9" hidden="1" x14ac:dyDescent="0.25">
      <c r="B1304" s="25" t="s">
        <v>3834</v>
      </c>
      <c r="C1304" s="25" t="s">
        <v>4371</v>
      </c>
      <c r="D1304" s="25">
        <v>0</v>
      </c>
      <c r="E1304" s="25" t="s">
        <v>4372</v>
      </c>
      <c r="F1304" s="26" t="str">
        <f t="shared" si="101"/>
        <v>A_ABV821005</v>
      </c>
      <c r="G1304" s="26" t="str">
        <f t="shared" si="106"/>
        <v>N/A</v>
      </c>
      <c r="H1304" s="27" t="str">
        <f t="shared" ref="H1304:H1335" si="107">+CONCATENATE(C1304,".Mode")</f>
        <v>HS821005IO_FB0.Mode</v>
      </c>
      <c r="I1304" s="23" t="str">
        <f t="shared" ref="I1304:I1335" si="108">+G1304</f>
        <v>N/A</v>
      </c>
    </row>
    <row r="1305" spans="2:9" hidden="1" x14ac:dyDescent="0.25">
      <c r="B1305" s="25" t="s">
        <v>3834</v>
      </c>
      <c r="C1305" s="25" t="s">
        <v>4373</v>
      </c>
      <c r="D1305" s="25">
        <v>0</v>
      </c>
      <c r="E1305" s="25" t="s">
        <v>4374</v>
      </c>
      <c r="F1305" s="26" t="str">
        <f t="shared" si="101"/>
        <v>A_ABV821008</v>
      </c>
      <c r="G1305" s="26" t="str">
        <f t="shared" si="106"/>
        <v>N/A</v>
      </c>
      <c r="H1305" s="27" t="str">
        <f t="shared" si="107"/>
        <v>HS821008IO_FB0.Mode</v>
      </c>
      <c r="I1305" s="23" t="str">
        <f t="shared" si="108"/>
        <v>N/A</v>
      </c>
    </row>
    <row r="1306" spans="2:9" hidden="1" x14ac:dyDescent="0.25">
      <c r="B1306" s="25" t="s">
        <v>3834</v>
      </c>
      <c r="C1306" s="25" t="s">
        <v>4375</v>
      </c>
      <c r="D1306" s="25">
        <v>0</v>
      </c>
      <c r="E1306" s="25" t="s">
        <v>4376</v>
      </c>
      <c r="F1306" s="26" t="str">
        <f t="shared" si="101"/>
        <v>A_ABV821010</v>
      </c>
      <c r="G1306" s="26" t="str">
        <f t="shared" si="106"/>
        <v>N/A</v>
      </c>
      <c r="H1306" s="27" t="str">
        <f t="shared" si="107"/>
        <v>HS821010IO_FB0.Mode</v>
      </c>
      <c r="I1306" s="23" t="str">
        <f t="shared" si="108"/>
        <v>N/A</v>
      </c>
    </row>
    <row r="1307" spans="2:9" hidden="1" x14ac:dyDescent="0.25">
      <c r="B1307" s="25" t="s">
        <v>3834</v>
      </c>
      <c r="C1307" s="25" t="s">
        <v>4377</v>
      </c>
      <c r="D1307" s="25">
        <v>0</v>
      </c>
      <c r="E1307" s="25" t="s">
        <v>4378</v>
      </c>
      <c r="F1307" s="26" t="str">
        <f t="shared" si="101"/>
        <v>A_ABV821011</v>
      </c>
      <c r="G1307" s="26" t="str">
        <f t="shared" si="106"/>
        <v>N/A</v>
      </c>
      <c r="H1307" s="27" t="str">
        <f t="shared" si="107"/>
        <v>HS821011IO_FB0.Mode</v>
      </c>
      <c r="I1307" s="23" t="str">
        <f t="shared" si="108"/>
        <v>N/A</v>
      </c>
    </row>
    <row r="1308" spans="2:9" hidden="1" x14ac:dyDescent="0.25">
      <c r="B1308" s="25" t="s">
        <v>3834</v>
      </c>
      <c r="C1308" s="25" t="s">
        <v>4379</v>
      </c>
      <c r="D1308" s="25">
        <v>0</v>
      </c>
      <c r="E1308" s="25" t="s">
        <v>4380</v>
      </c>
      <c r="F1308" s="26" t="str">
        <f t="shared" si="101"/>
        <v>A_ABV821012</v>
      </c>
      <c r="G1308" s="26" t="str">
        <f t="shared" si="106"/>
        <v>N/A</v>
      </c>
      <c r="H1308" s="27" t="str">
        <f t="shared" si="107"/>
        <v>HS821012IO_FB0.Mode</v>
      </c>
      <c r="I1308" s="23" t="str">
        <f t="shared" si="108"/>
        <v>N/A</v>
      </c>
    </row>
    <row r="1309" spans="2:9" hidden="1" x14ac:dyDescent="0.25">
      <c r="B1309" s="25" t="s">
        <v>3834</v>
      </c>
      <c r="C1309" s="25" t="s">
        <v>4381</v>
      </c>
      <c r="D1309" s="25">
        <v>0</v>
      </c>
      <c r="E1309" s="25" t="s">
        <v>4382</v>
      </c>
      <c r="F1309" s="26" t="str">
        <f t="shared" si="101"/>
        <v>A_ABV821013</v>
      </c>
      <c r="G1309" s="26" t="str">
        <f t="shared" si="106"/>
        <v>N/A</v>
      </c>
      <c r="H1309" s="27" t="str">
        <f t="shared" si="107"/>
        <v>HS821013IO_FB0.Mode</v>
      </c>
      <c r="I1309" s="23" t="str">
        <f t="shared" si="108"/>
        <v>N/A</v>
      </c>
    </row>
    <row r="1310" spans="2:9" hidden="1" x14ac:dyDescent="0.25">
      <c r="B1310" s="25" t="s">
        <v>3834</v>
      </c>
      <c r="C1310" s="25" t="s">
        <v>4383</v>
      </c>
      <c r="D1310" s="25">
        <v>0</v>
      </c>
      <c r="E1310" s="25" t="s">
        <v>4384</v>
      </c>
      <c r="F1310" s="26" t="str">
        <f t="shared" si="101"/>
        <v>A_ABV821014</v>
      </c>
      <c r="G1310" s="26" t="str">
        <f t="shared" si="106"/>
        <v>N/A</v>
      </c>
      <c r="H1310" s="27" t="str">
        <f t="shared" si="107"/>
        <v>HS821014IO_FB0.Mode</v>
      </c>
      <c r="I1310" s="23" t="str">
        <f t="shared" si="108"/>
        <v>N/A</v>
      </c>
    </row>
    <row r="1311" spans="2:9" hidden="1" x14ac:dyDescent="0.25">
      <c r="B1311" s="25" t="s">
        <v>3834</v>
      </c>
      <c r="C1311" s="25" t="s">
        <v>4385</v>
      </c>
      <c r="D1311" s="25">
        <v>0</v>
      </c>
      <c r="E1311" s="25" t="s">
        <v>4386</v>
      </c>
      <c r="F1311" s="26" t="str">
        <f t="shared" si="101"/>
        <v>A_ABV821015</v>
      </c>
      <c r="G1311" s="26" t="str">
        <f t="shared" si="106"/>
        <v>N/A</v>
      </c>
      <c r="H1311" s="27" t="str">
        <f t="shared" si="107"/>
        <v>HS821015IO_FB0.Mode</v>
      </c>
      <c r="I1311" s="23" t="str">
        <f t="shared" si="108"/>
        <v>N/A</v>
      </c>
    </row>
    <row r="1312" spans="2:9" hidden="1" x14ac:dyDescent="0.25">
      <c r="B1312" s="25" t="s">
        <v>3834</v>
      </c>
      <c r="C1312" s="25" t="s">
        <v>4387</v>
      </c>
      <c r="D1312" s="25">
        <v>0</v>
      </c>
      <c r="E1312" s="25" t="s">
        <v>4388</v>
      </c>
      <c r="F1312" s="26" t="str">
        <f t="shared" si="101"/>
        <v>A_ABV821103</v>
      </c>
      <c r="G1312" s="26" t="str">
        <f t="shared" si="106"/>
        <v>N/A</v>
      </c>
      <c r="H1312" s="27" t="str">
        <f t="shared" si="107"/>
        <v>HS821103IO_FB0.Mode</v>
      </c>
      <c r="I1312" s="23" t="str">
        <f t="shared" si="108"/>
        <v>N/A</v>
      </c>
    </row>
    <row r="1313" spans="2:9" hidden="1" x14ac:dyDescent="0.25">
      <c r="B1313" s="25" t="s">
        <v>3834</v>
      </c>
      <c r="C1313" s="25" t="s">
        <v>4389</v>
      </c>
      <c r="D1313" s="25">
        <v>0</v>
      </c>
      <c r="E1313" s="25" t="s">
        <v>4390</v>
      </c>
      <c r="F1313" s="26" t="str">
        <f t="shared" si="101"/>
        <v>A_ABV821104</v>
      </c>
      <c r="G1313" s="26" t="str">
        <f t="shared" si="106"/>
        <v>N/A</v>
      </c>
      <c r="H1313" s="27" t="str">
        <f t="shared" si="107"/>
        <v>HS821104IO_FB0.Mode</v>
      </c>
      <c r="I1313" s="23" t="str">
        <f t="shared" si="108"/>
        <v>N/A</v>
      </c>
    </row>
    <row r="1314" spans="2:9" hidden="1" x14ac:dyDescent="0.25">
      <c r="B1314" s="25" t="s">
        <v>3834</v>
      </c>
      <c r="C1314" s="25" t="s">
        <v>4391</v>
      </c>
      <c r="D1314" s="25">
        <v>0</v>
      </c>
      <c r="E1314" s="25" t="s">
        <v>4392</v>
      </c>
      <c r="F1314" s="26" t="str">
        <f t="shared" si="101"/>
        <v>A_ABV821105</v>
      </c>
      <c r="G1314" s="26" t="str">
        <f t="shared" si="106"/>
        <v>N/A</v>
      </c>
      <c r="H1314" s="27" t="str">
        <f t="shared" si="107"/>
        <v>HS821105IO_FB0.Mode</v>
      </c>
      <c r="I1314" s="23" t="str">
        <f t="shared" si="108"/>
        <v>N/A</v>
      </c>
    </row>
    <row r="1315" spans="2:9" hidden="1" x14ac:dyDescent="0.25">
      <c r="B1315" s="25" t="s">
        <v>3834</v>
      </c>
      <c r="C1315" s="25" t="s">
        <v>4393</v>
      </c>
      <c r="D1315" s="25">
        <v>0</v>
      </c>
      <c r="E1315" s="25" t="s">
        <v>4394</v>
      </c>
      <c r="F1315" s="26" t="str">
        <f t="shared" si="101"/>
        <v>A_ABV821107</v>
      </c>
      <c r="G1315" s="26" t="str">
        <f t="shared" si="106"/>
        <v>N/A</v>
      </c>
      <c r="H1315" s="27" t="str">
        <f t="shared" si="107"/>
        <v>HS821107IO_FB0.Mode</v>
      </c>
      <c r="I1315" s="23" t="str">
        <f t="shared" si="108"/>
        <v>N/A</v>
      </c>
    </row>
    <row r="1316" spans="2:9" hidden="1" x14ac:dyDescent="0.25">
      <c r="B1316" s="25" t="s">
        <v>3834</v>
      </c>
      <c r="C1316" s="25" t="s">
        <v>4395</v>
      </c>
      <c r="D1316" s="25">
        <v>0</v>
      </c>
      <c r="E1316" s="25" t="s">
        <v>4396</v>
      </c>
      <c r="F1316" s="26" t="str">
        <f t="shared" si="101"/>
        <v>A_ABV821205</v>
      </c>
      <c r="G1316" s="26" t="str">
        <f t="shared" si="106"/>
        <v>N/A</v>
      </c>
      <c r="H1316" s="27" t="str">
        <f t="shared" si="107"/>
        <v>HS821205IO_FB0.Mode</v>
      </c>
      <c r="I1316" s="23" t="str">
        <f t="shared" si="108"/>
        <v>N/A</v>
      </c>
    </row>
    <row r="1317" spans="2:9" hidden="1" x14ac:dyDescent="0.25">
      <c r="B1317" s="25" t="s">
        <v>3834</v>
      </c>
      <c r="C1317" s="25" t="s">
        <v>4397</v>
      </c>
      <c r="D1317" s="25">
        <v>0</v>
      </c>
      <c r="E1317" s="25" t="s">
        <v>4398</v>
      </c>
      <c r="F1317" s="26" t="str">
        <f t="shared" ref="F1317:F1380" si="109">+LEFT(E1317,FIND(".",E1317,1)-1)</f>
        <v>A_ABV821206</v>
      </c>
      <c r="G1317" s="26" t="str">
        <f t="shared" si="106"/>
        <v>N/A</v>
      </c>
      <c r="H1317" s="27" t="str">
        <f t="shared" si="107"/>
        <v>HS821206IO_FB0.Mode</v>
      </c>
      <c r="I1317" s="23" t="str">
        <f t="shared" si="108"/>
        <v>N/A</v>
      </c>
    </row>
    <row r="1318" spans="2:9" hidden="1" x14ac:dyDescent="0.25">
      <c r="B1318" s="25" t="s">
        <v>3834</v>
      </c>
      <c r="C1318" s="25" t="s">
        <v>4399</v>
      </c>
      <c r="D1318" s="25">
        <v>0</v>
      </c>
      <c r="E1318" s="25" t="s">
        <v>4400</v>
      </c>
      <c r="F1318" s="26" t="str">
        <f t="shared" si="109"/>
        <v>A_ABV821401</v>
      </c>
      <c r="G1318" s="26" t="str">
        <f t="shared" si="106"/>
        <v>N/A</v>
      </c>
      <c r="H1318" s="27" t="str">
        <f t="shared" si="107"/>
        <v>HS821401IO_FB0.Mode</v>
      </c>
      <c r="I1318" s="23" t="str">
        <f t="shared" si="108"/>
        <v>N/A</v>
      </c>
    </row>
    <row r="1319" spans="2:9" hidden="1" x14ac:dyDescent="0.25">
      <c r="B1319" s="25" t="s">
        <v>3834</v>
      </c>
      <c r="C1319" s="25" t="s">
        <v>4401</v>
      </c>
      <c r="D1319" s="25">
        <v>0</v>
      </c>
      <c r="E1319" s="25" t="s">
        <v>4402</v>
      </c>
      <c r="F1319" s="26" t="str">
        <f t="shared" si="109"/>
        <v>A_ABV821402</v>
      </c>
      <c r="G1319" s="26" t="str">
        <f t="shared" si="106"/>
        <v>N/A</v>
      </c>
      <c r="H1319" s="27" t="str">
        <f t="shared" si="107"/>
        <v>HS821402IO_FB0.Mode</v>
      </c>
      <c r="I1319" s="23" t="str">
        <f t="shared" si="108"/>
        <v>N/A</v>
      </c>
    </row>
    <row r="1320" spans="2:9" hidden="1" x14ac:dyDescent="0.25">
      <c r="B1320" s="25" t="s">
        <v>3834</v>
      </c>
      <c r="C1320" s="25" t="s">
        <v>4403</v>
      </c>
      <c r="D1320" s="25">
        <v>0</v>
      </c>
      <c r="E1320" s="25" t="s">
        <v>4404</v>
      </c>
      <c r="F1320" s="26" t="str">
        <f t="shared" si="109"/>
        <v>A_ABV821403</v>
      </c>
      <c r="G1320" s="26" t="str">
        <f t="shared" si="106"/>
        <v>N/A</v>
      </c>
      <c r="H1320" s="27" t="str">
        <f t="shared" si="107"/>
        <v>HS821403IO_FB0.Mode</v>
      </c>
      <c r="I1320" s="23" t="str">
        <f t="shared" si="108"/>
        <v>N/A</v>
      </c>
    </row>
    <row r="1321" spans="2:9" hidden="1" x14ac:dyDescent="0.25">
      <c r="B1321" s="25" t="s">
        <v>3834</v>
      </c>
      <c r="C1321" s="25" t="s">
        <v>4405</v>
      </c>
      <c r="D1321" s="25">
        <v>0</v>
      </c>
      <c r="E1321" s="25" t="s">
        <v>4406</v>
      </c>
      <c r="F1321" s="26" t="str">
        <f t="shared" si="109"/>
        <v>A_ABV821415</v>
      </c>
      <c r="G1321" s="26" t="str">
        <f t="shared" si="106"/>
        <v>N/A</v>
      </c>
      <c r="H1321" s="27" t="str">
        <f t="shared" si="107"/>
        <v>HS821415IO_FB0.Mode</v>
      </c>
      <c r="I1321" s="23" t="str">
        <f t="shared" si="108"/>
        <v>N/A</v>
      </c>
    </row>
    <row r="1322" spans="2:9" hidden="1" x14ac:dyDescent="0.25">
      <c r="B1322" s="25" t="s">
        <v>3834</v>
      </c>
      <c r="C1322" s="25" t="s">
        <v>4407</v>
      </c>
      <c r="D1322" s="25">
        <v>0</v>
      </c>
      <c r="E1322" s="25" t="s">
        <v>4408</v>
      </c>
      <c r="F1322" s="26" t="str">
        <f t="shared" si="109"/>
        <v>A_ABV821418</v>
      </c>
      <c r="G1322" s="26" t="str">
        <f t="shared" si="106"/>
        <v>N/A</v>
      </c>
      <c r="H1322" s="27" t="str">
        <f t="shared" si="107"/>
        <v>HS821418IO_FB0.Mode</v>
      </c>
      <c r="I1322" s="23" t="str">
        <f t="shared" si="108"/>
        <v>N/A</v>
      </c>
    </row>
    <row r="1323" spans="2:9" hidden="1" x14ac:dyDescent="0.25">
      <c r="B1323" s="25" t="s">
        <v>3834</v>
      </c>
      <c r="C1323" s="25" t="s">
        <v>4409</v>
      </c>
      <c r="D1323" s="25">
        <v>0</v>
      </c>
      <c r="E1323" s="25" t="s">
        <v>4410</v>
      </c>
      <c r="F1323" s="26" t="str">
        <f t="shared" si="109"/>
        <v>A_ABV821507</v>
      </c>
      <c r="G1323" s="26" t="str">
        <f t="shared" si="106"/>
        <v>N/A</v>
      </c>
      <c r="H1323" s="27" t="str">
        <f t="shared" si="107"/>
        <v>HS821507IO_FB0.Mode</v>
      </c>
      <c r="I1323" s="23" t="str">
        <f t="shared" si="108"/>
        <v>N/A</v>
      </c>
    </row>
    <row r="1324" spans="2:9" hidden="1" x14ac:dyDescent="0.25">
      <c r="B1324" s="25" t="s">
        <v>3834</v>
      </c>
      <c r="C1324" s="25" t="s">
        <v>4411</v>
      </c>
      <c r="D1324" s="25">
        <v>0</v>
      </c>
      <c r="E1324" s="25" t="s">
        <v>4412</v>
      </c>
      <c r="F1324" s="26" t="str">
        <f t="shared" si="109"/>
        <v>A_ABV821508</v>
      </c>
      <c r="G1324" s="26" t="str">
        <f t="shared" si="106"/>
        <v>N/A</v>
      </c>
      <c r="H1324" s="27" t="str">
        <f t="shared" si="107"/>
        <v>HS821508IO_FB0.Mode</v>
      </c>
      <c r="I1324" s="23" t="str">
        <f t="shared" si="108"/>
        <v>N/A</v>
      </c>
    </row>
    <row r="1325" spans="2:9" hidden="1" x14ac:dyDescent="0.25">
      <c r="B1325" s="25" t="s">
        <v>3834</v>
      </c>
      <c r="C1325" s="25" t="s">
        <v>4413</v>
      </c>
      <c r="D1325" s="25">
        <v>0</v>
      </c>
      <c r="E1325" s="25" t="s">
        <v>4414</v>
      </c>
      <c r="F1325" s="26" t="str">
        <f t="shared" si="109"/>
        <v>A_ABV821515</v>
      </c>
      <c r="G1325" s="26" t="str">
        <f t="shared" si="106"/>
        <v>N/A</v>
      </c>
      <c r="H1325" s="27" t="str">
        <f t="shared" si="107"/>
        <v>HS821515IO_FB0.Mode</v>
      </c>
      <c r="I1325" s="23" t="str">
        <f t="shared" si="108"/>
        <v>N/A</v>
      </c>
    </row>
    <row r="1326" spans="2:9" hidden="1" x14ac:dyDescent="0.25">
      <c r="B1326" s="25" t="s">
        <v>3834</v>
      </c>
      <c r="C1326" s="25" t="s">
        <v>4415</v>
      </c>
      <c r="D1326" s="25">
        <v>0</v>
      </c>
      <c r="E1326" s="25" t="s">
        <v>4416</v>
      </c>
      <c r="F1326" s="26" t="str">
        <f t="shared" si="109"/>
        <v>A_ABV821516</v>
      </c>
      <c r="G1326" s="26" t="str">
        <f t="shared" si="106"/>
        <v>N/A</v>
      </c>
      <c r="H1326" s="27" t="str">
        <f t="shared" si="107"/>
        <v>HS821516IO_FB0.Mode</v>
      </c>
      <c r="I1326" s="23" t="str">
        <f t="shared" si="108"/>
        <v>N/A</v>
      </c>
    </row>
    <row r="1327" spans="2:9" hidden="1" x14ac:dyDescent="0.25">
      <c r="B1327" s="25" t="s">
        <v>3834</v>
      </c>
      <c r="C1327" s="25" t="s">
        <v>4417</v>
      </c>
      <c r="D1327" s="25">
        <v>0</v>
      </c>
      <c r="E1327" s="25" t="s">
        <v>4418</v>
      </c>
      <c r="F1327" s="26" t="str">
        <f t="shared" si="109"/>
        <v>A_ABV821517</v>
      </c>
      <c r="G1327" s="26" t="str">
        <f t="shared" si="106"/>
        <v>N/A</v>
      </c>
      <c r="H1327" s="27" t="str">
        <f t="shared" si="107"/>
        <v>HS821517IO_FB0.Mode</v>
      </c>
      <c r="I1327" s="23" t="str">
        <f t="shared" si="108"/>
        <v>N/A</v>
      </c>
    </row>
    <row r="1328" spans="2:9" hidden="1" x14ac:dyDescent="0.25">
      <c r="B1328" s="25" t="s">
        <v>3834</v>
      </c>
      <c r="C1328" s="25" t="s">
        <v>4419</v>
      </c>
      <c r="D1328" s="25">
        <v>0</v>
      </c>
      <c r="E1328" s="25" t="s">
        <v>4420</v>
      </c>
      <c r="F1328" s="26" t="str">
        <f t="shared" si="109"/>
        <v>A_ABV821518</v>
      </c>
      <c r="G1328" s="26" t="str">
        <f t="shared" si="106"/>
        <v>N/A</v>
      </c>
      <c r="H1328" s="27" t="str">
        <f t="shared" si="107"/>
        <v>HS821518IO_FB0.Mode</v>
      </c>
      <c r="I1328" s="23" t="str">
        <f t="shared" si="108"/>
        <v>N/A</v>
      </c>
    </row>
    <row r="1329" spans="2:9" hidden="1" x14ac:dyDescent="0.25">
      <c r="B1329" s="25" t="s">
        <v>3834</v>
      </c>
      <c r="C1329" s="25" t="s">
        <v>4421</v>
      </c>
      <c r="D1329" s="25">
        <v>0</v>
      </c>
      <c r="E1329" s="25" t="s">
        <v>4422</v>
      </c>
      <c r="F1329" s="26" t="str">
        <f t="shared" si="109"/>
        <v>A_ABV821603</v>
      </c>
      <c r="G1329" s="26" t="str">
        <f t="shared" si="106"/>
        <v>N/A</v>
      </c>
      <c r="H1329" s="27" t="str">
        <f t="shared" si="107"/>
        <v>HS821603IO_FB0.Mode</v>
      </c>
      <c r="I1329" s="23" t="str">
        <f t="shared" si="108"/>
        <v>N/A</v>
      </c>
    </row>
    <row r="1330" spans="2:9" hidden="1" x14ac:dyDescent="0.25">
      <c r="B1330" s="25" t="s">
        <v>3834</v>
      </c>
      <c r="C1330" s="25" t="s">
        <v>4423</v>
      </c>
      <c r="D1330" s="25">
        <v>0</v>
      </c>
      <c r="E1330" s="25" t="s">
        <v>4424</v>
      </c>
      <c r="F1330" s="26" t="str">
        <f t="shared" si="109"/>
        <v>A_ABV821604</v>
      </c>
      <c r="G1330" s="26" t="str">
        <f t="shared" si="106"/>
        <v>N/A</v>
      </c>
      <c r="H1330" s="27" t="str">
        <f t="shared" si="107"/>
        <v>HS821604IO_FB0.Mode</v>
      </c>
      <c r="I1330" s="23" t="str">
        <f t="shared" si="108"/>
        <v>N/A</v>
      </c>
    </row>
    <row r="1331" spans="2:9" hidden="1" x14ac:dyDescent="0.25">
      <c r="B1331" s="25" t="s">
        <v>3834</v>
      </c>
      <c r="C1331" s="25" t="s">
        <v>4425</v>
      </c>
      <c r="D1331" s="25">
        <v>0</v>
      </c>
      <c r="E1331" s="25" t="s">
        <v>4426</v>
      </c>
      <c r="F1331" s="26" t="str">
        <f t="shared" si="109"/>
        <v>A_ABV821605</v>
      </c>
      <c r="G1331" s="26" t="str">
        <f t="shared" si="106"/>
        <v>N/A</v>
      </c>
      <c r="H1331" s="27" t="str">
        <f t="shared" si="107"/>
        <v>HS821605IO_FB0.Mode</v>
      </c>
      <c r="I1331" s="23" t="str">
        <f t="shared" si="108"/>
        <v>N/A</v>
      </c>
    </row>
    <row r="1332" spans="2:9" hidden="1" x14ac:dyDescent="0.25">
      <c r="B1332" s="25" t="s">
        <v>3834</v>
      </c>
      <c r="C1332" s="25" t="s">
        <v>4427</v>
      </c>
      <c r="D1332" s="25">
        <v>0</v>
      </c>
      <c r="E1332" s="25" t="s">
        <v>4428</v>
      </c>
      <c r="F1332" s="26" t="str">
        <f t="shared" si="109"/>
        <v>A_ABV821621</v>
      </c>
      <c r="G1332" s="26" t="str">
        <f t="shared" si="106"/>
        <v>N/A</v>
      </c>
      <c r="H1332" s="27" t="str">
        <f t="shared" si="107"/>
        <v>HS821621IO_FB0.Mode</v>
      </c>
      <c r="I1332" s="23" t="str">
        <f t="shared" si="108"/>
        <v>N/A</v>
      </c>
    </row>
    <row r="1333" spans="2:9" hidden="1" x14ac:dyDescent="0.25">
      <c r="B1333" s="25" t="s">
        <v>3834</v>
      </c>
      <c r="C1333" s="25" t="s">
        <v>4429</v>
      </c>
      <c r="D1333" s="25">
        <v>0</v>
      </c>
      <c r="E1333" s="25" t="s">
        <v>4430</v>
      </c>
      <c r="F1333" s="26" t="str">
        <f t="shared" si="109"/>
        <v>A_ABV821631</v>
      </c>
      <c r="G1333" s="26" t="str">
        <f t="shared" si="106"/>
        <v>N/A</v>
      </c>
      <c r="H1333" s="27" t="str">
        <f t="shared" si="107"/>
        <v>HS821631IO_FB0.Mode</v>
      </c>
      <c r="I1333" s="23" t="str">
        <f t="shared" si="108"/>
        <v>N/A</v>
      </c>
    </row>
    <row r="1334" spans="2:9" hidden="1" x14ac:dyDescent="0.25">
      <c r="B1334" s="25" t="s">
        <v>3834</v>
      </c>
      <c r="C1334" s="25" t="s">
        <v>4431</v>
      </c>
      <c r="D1334" s="25">
        <v>0</v>
      </c>
      <c r="E1334" s="25" t="s">
        <v>4432</v>
      </c>
      <c r="F1334" s="26" t="str">
        <f t="shared" si="109"/>
        <v>A_ABV821631</v>
      </c>
      <c r="G1334" s="26" t="str">
        <f t="shared" si="106"/>
        <v>N/A</v>
      </c>
      <c r="H1334" s="27" t="str">
        <f t="shared" si="107"/>
        <v>HS821631IO_FB1.Mode</v>
      </c>
      <c r="I1334" s="23" t="str">
        <f t="shared" si="108"/>
        <v>N/A</v>
      </c>
    </row>
    <row r="1335" spans="2:9" hidden="1" x14ac:dyDescent="0.25">
      <c r="B1335" s="25" t="s">
        <v>3834</v>
      </c>
      <c r="C1335" s="25" t="s">
        <v>4433</v>
      </c>
      <c r="D1335" s="25">
        <v>0</v>
      </c>
      <c r="E1335" s="25" t="s">
        <v>4434</v>
      </c>
      <c r="F1335" s="26" t="str">
        <f t="shared" si="109"/>
        <v>A_ABV821641</v>
      </c>
      <c r="G1335" s="26" t="str">
        <f t="shared" si="106"/>
        <v>N/A</v>
      </c>
      <c r="H1335" s="27" t="str">
        <f t="shared" si="107"/>
        <v>HS821641IO_FB0.Mode</v>
      </c>
      <c r="I1335" s="23" t="str">
        <f t="shared" si="108"/>
        <v>N/A</v>
      </c>
    </row>
    <row r="1336" spans="2:9" hidden="1" x14ac:dyDescent="0.25">
      <c r="B1336" s="25" t="s">
        <v>3834</v>
      </c>
      <c r="C1336" s="25" t="s">
        <v>4435</v>
      </c>
      <c r="D1336" s="25">
        <v>0</v>
      </c>
      <c r="E1336" s="25" t="s">
        <v>4436</v>
      </c>
      <c r="F1336" s="26" t="str">
        <f t="shared" si="109"/>
        <v>A_ABV821806</v>
      </c>
      <c r="G1336" s="26" t="str">
        <f t="shared" si="106"/>
        <v>N/A</v>
      </c>
      <c r="H1336" s="27" t="str">
        <f t="shared" ref="H1336:H1367" si="110">+CONCATENATE(C1336,".Mode")</f>
        <v>HS821806IO_FB0.Mode</v>
      </c>
      <c r="I1336" s="23" t="str">
        <f t="shared" ref="I1336:I1367" si="111">+G1336</f>
        <v>N/A</v>
      </c>
    </row>
    <row r="1337" spans="2:9" hidden="1" x14ac:dyDescent="0.25">
      <c r="B1337" s="25" t="s">
        <v>3834</v>
      </c>
      <c r="C1337" s="25" t="s">
        <v>4437</v>
      </c>
      <c r="D1337" s="25">
        <v>0</v>
      </c>
      <c r="E1337" s="25" t="s">
        <v>4438</v>
      </c>
      <c r="F1337" s="26" t="str">
        <f t="shared" si="109"/>
        <v>A_ABV821819</v>
      </c>
      <c r="G1337" s="26" t="str">
        <f t="shared" si="106"/>
        <v>N/A</v>
      </c>
      <c r="H1337" s="27" t="str">
        <f t="shared" si="110"/>
        <v>HS821819IO_FB0.Mode</v>
      </c>
      <c r="I1337" s="23" t="str">
        <f t="shared" si="111"/>
        <v>N/A</v>
      </c>
    </row>
    <row r="1338" spans="2:9" hidden="1" x14ac:dyDescent="0.25">
      <c r="B1338" s="25" t="s">
        <v>3834</v>
      </c>
      <c r="C1338" s="25" t="s">
        <v>4439</v>
      </c>
      <c r="D1338" s="25">
        <v>0</v>
      </c>
      <c r="E1338" s="25" t="s">
        <v>4440</v>
      </c>
      <c r="F1338" s="26" t="str">
        <f t="shared" si="109"/>
        <v>A_ABV821821</v>
      </c>
      <c r="G1338" s="26" t="str">
        <f t="shared" si="106"/>
        <v>N/A</v>
      </c>
      <c r="H1338" s="27" t="str">
        <f t="shared" si="110"/>
        <v>HS821821IO_FB0.Mode</v>
      </c>
      <c r="I1338" s="23" t="str">
        <f t="shared" si="111"/>
        <v>N/A</v>
      </c>
    </row>
    <row r="1339" spans="2:9" hidden="1" x14ac:dyDescent="0.25">
      <c r="B1339" s="25" t="s">
        <v>3834</v>
      </c>
      <c r="C1339" s="25" t="s">
        <v>4441</v>
      </c>
      <c r="D1339" s="25">
        <v>0</v>
      </c>
      <c r="E1339" s="25" t="s">
        <v>4442</v>
      </c>
      <c r="F1339" s="26" t="str">
        <f t="shared" si="109"/>
        <v>A_ABV821823</v>
      </c>
      <c r="G1339" s="26" t="str">
        <f t="shared" si="106"/>
        <v>N/A</v>
      </c>
      <c r="H1339" s="27" t="str">
        <f t="shared" si="110"/>
        <v>HS821823IO_FB0.Mode</v>
      </c>
      <c r="I1339" s="23" t="str">
        <f t="shared" si="111"/>
        <v>N/A</v>
      </c>
    </row>
    <row r="1340" spans="2:9" hidden="1" x14ac:dyDescent="0.25">
      <c r="B1340" s="25" t="s">
        <v>3834</v>
      </c>
      <c r="C1340" s="25" t="s">
        <v>4443</v>
      </c>
      <c r="D1340" s="25">
        <v>0</v>
      </c>
      <c r="E1340" s="25" t="s">
        <v>4444</v>
      </c>
      <c r="F1340" s="26" t="str">
        <f t="shared" si="109"/>
        <v>A_ABV821824</v>
      </c>
      <c r="G1340" s="26" t="str">
        <f t="shared" si="106"/>
        <v>N/A</v>
      </c>
      <c r="H1340" s="27" t="str">
        <f t="shared" si="110"/>
        <v>HS821824IO_FB0.Mode</v>
      </c>
      <c r="I1340" s="23" t="str">
        <f t="shared" si="111"/>
        <v>N/A</v>
      </c>
    </row>
    <row r="1341" spans="2:9" hidden="1" x14ac:dyDescent="0.25">
      <c r="B1341" s="25" t="s">
        <v>3834</v>
      </c>
      <c r="C1341" s="25" t="s">
        <v>4445</v>
      </c>
      <c r="D1341" s="25">
        <v>0</v>
      </c>
      <c r="E1341" s="25" t="s">
        <v>4446</v>
      </c>
      <c r="F1341" s="26" t="str">
        <f t="shared" si="109"/>
        <v>A_ABV821825</v>
      </c>
      <c r="G1341" s="26" t="str">
        <f t="shared" si="106"/>
        <v>N/A</v>
      </c>
      <c r="H1341" s="27" t="str">
        <f t="shared" si="110"/>
        <v>HS821825IO_FB0.Mode</v>
      </c>
      <c r="I1341" s="23" t="str">
        <f t="shared" si="111"/>
        <v>N/A</v>
      </c>
    </row>
    <row r="1342" spans="2:9" hidden="1" x14ac:dyDescent="0.25">
      <c r="B1342" s="25" t="s">
        <v>3834</v>
      </c>
      <c r="C1342" s="25" t="s">
        <v>4447</v>
      </c>
      <c r="D1342" s="25">
        <v>0</v>
      </c>
      <c r="E1342" s="25" t="s">
        <v>4448</v>
      </c>
      <c r="F1342" s="26" t="str">
        <f t="shared" si="109"/>
        <v>A_ABV821832</v>
      </c>
      <c r="G1342" s="26" t="str">
        <f t="shared" si="106"/>
        <v>N/A</v>
      </c>
      <c r="H1342" s="27" t="str">
        <f t="shared" si="110"/>
        <v>HS821832IO_FB0.Mode</v>
      </c>
      <c r="I1342" s="23" t="str">
        <f t="shared" si="111"/>
        <v>N/A</v>
      </c>
    </row>
    <row r="1343" spans="2:9" hidden="1" x14ac:dyDescent="0.25">
      <c r="B1343" s="25" t="s">
        <v>3834</v>
      </c>
      <c r="C1343" s="25" t="s">
        <v>4449</v>
      </c>
      <c r="D1343" s="25">
        <v>0</v>
      </c>
      <c r="E1343" s="25" t="s">
        <v>4450</v>
      </c>
      <c r="F1343" s="26" t="str">
        <f t="shared" si="109"/>
        <v>A_ABV821833</v>
      </c>
      <c r="G1343" s="26" t="str">
        <f t="shared" si="106"/>
        <v>N/A</v>
      </c>
      <c r="H1343" s="27" t="str">
        <f t="shared" si="110"/>
        <v>HS821833IO_FB0.Mode</v>
      </c>
      <c r="I1343" s="23" t="str">
        <f t="shared" si="111"/>
        <v>N/A</v>
      </c>
    </row>
    <row r="1344" spans="2:9" hidden="1" x14ac:dyDescent="0.25">
      <c r="B1344" s="25" t="s">
        <v>3834</v>
      </c>
      <c r="C1344" s="25" t="s">
        <v>4451</v>
      </c>
      <c r="D1344" s="25">
        <v>0</v>
      </c>
      <c r="E1344" s="25" t="s">
        <v>4452</v>
      </c>
      <c r="F1344" s="26" t="str">
        <f t="shared" si="109"/>
        <v>A_ABV821834</v>
      </c>
      <c r="G1344" s="26" t="str">
        <f t="shared" si="106"/>
        <v>N/A</v>
      </c>
      <c r="H1344" s="27" t="str">
        <f t="shared" si="110"/>
        <v>HS821834IO_FB0.Mode</v>
      </c>
      <c r="I1344" s="23" t="str">
        <f t="shared" si="111"/>
        <v>N/A</v>
      </c>
    </row>
    <row r="1345" spans="2:9" hidden="1" x14ac:dyDescent="0.25">
      <c r="B1345" s="25" t="s">
        <v>3834</v>
      </c>
      <c r="C1345" s="25" t="s">
        <v>4453</v>
      </c>
      <c r="D1345" s="25">
        <v>0</v>
      </c>
      <c r="E1345" s="25" t="s">
        <v>4454</v>
      </c>
      <c r="F1345" s="26" t="str">
        <f t="shared" si="109"/>
        <v>A_ABV821835</v>
      </c>
      <c r="G1345" s="26" t="str">
        <f t="shared" si="106"/>
        <v>N/A</v>
      </c>
      <c r="H1345" s="27" t="str">
        <f t="shared" si="110"/>
        <v>HS821835IO_FB0.Mode</v>
      </c>
      <c r="I1345" s="23" t="str">
        <f t="shared" si="111"/>
        <v>N/A</v>
      </c>
    </row>
    <row r="1346" spans="2:9" hidden="1" x14ac:dyDescent="0.25">
      <c r="B1346" s="25" t="s">
        <v>3834</v>
      </c>
      <c r="C1346" s="25" t="s">
        <v>4455</v>
      </c>
      <c r="D1346" s="25">
        <v>0</v>
      </c>
      <c r="E1346" s="25" t="s">
        <v>4456</v>
      </c>
      <c r="F1346" s="26" t="str">
        <f t="shared" si="109"/>
        <v>A_ABV821836</v>
      </c>
      <c r="G1346" s="26" t="str">
        <f t="shared" ref="G1346:G1409" si="112">+IFERROR(IF(VLOOKUP(F1346,DI,2,FALSE)="IO",2,0),"N/A")</f>
        <v>N/A</v>
      </c>
      <c r="H1346" s="27" t="str">
        <f t="shared" si="110"/>
        <v>HS821836IO_FB0.Mode</v>
      </c>
      <c r="I1346" s="23" t="str">
        <f t="shared" si="111"/>
        <v>N/A</v>
      </c>
    </row>
    <row r="1347" spans="2:9" hidden="1" x14ac:dyDescent="0.25">
      <c r="B1347" s="25" t="s">
        <v>3834</v>
      </c>
      <c r="C1347" s="25" t="s">
        <v>4457</v>
      </c>
      <c r="D1347" s="25">
        <v>0</v>
      </c>
      <c r="E1347" s="25" t="s">
        <v>4458</v>
      </c>
      <c r="F1347" s="26" t="str">
        <f t="shared" si="109"/>
        <v>A_ABV821837</v>
      </c>
      <c r="G1347" s="26" t="str">
        <f t="shared" si="112"/>
        <v>N/A</v>
      </c>
      <c r="H1347" s="27" t="str">
        <f t="shared" si="110"/>
        <v>HS821837IO_FB0.Mode</v>
      </c>
      <c r="I1347" s="23" t="str">
        <f t="shared" si="111"/>
        <v>N/A</v>
      </c>
    </row>
    <row r="1348" spans="2:9" hidden="1" x14ac:dyDescent="0.25">
      <c r="B1348" s="25" t="s">
        <v>3834</v>
      </c>
      <c r="C1348" s="25" t="s">
        <v>4459</v>
      </c>
      <c r="D1348" s="25">
        <v>0</v>
      </c>
      <c r="E1348" s="25" t="s">
        <v>4460</v>
      </c>
      <c r="F1348" s="26" t="str">
        <f t="shared" si="109"/>
        <v>A_ABV821841</v>
      </c>
      <c r="G1348" s="26" t="str">
        <f t="shared" si="112"/>
        <v>N/A</v>
      </c>
      <c r="H1348" s="27" t="str">
        <f t="shared" si="110"/>
        <v>HS821841IO_FB0.Mode</v>
      </c>
      <c r="I1348" s="23" t="str">
        <f t="shared" si="111"/>
        <v>N/A</v>
      </c>
    </row>
    <row r="1349" spans="2:9" hidden="1" x14ac:dyDescent="0.25">
      <c r="B1349" s="25" t="s">
        <v>3834</v>
      </c>
      <c r="C1349" s="25" t="s">
        <v>4461</v>
      </c>
      <c r="D1349" s="25">
        <v>0</v>
      </c>
      <c r="E1349" s="25" t="s">
        <v>4462</v>
      </c>
      <c r="F1349" s="26" t="str">
        <f t="shared" si="109"/>
        <v>A_ABV821861</v>
      </c>
      <c r="G1349" s="26" t="str">
        <f t="shared" si="112"/>
        <v>N/A</v>
      </c>
      <c r="H1349" s="27" t="str">
        <f t="shared" si="110"/>
        <v>HS821861IO_FB0.Mode</v>
      </c>
      <c r="I1349" s="23" t="str">
        <f t="shared" si="111"/>
        <v>N/A</v>
      </c>
    </row>
    <row r="1350" spans="2:9" hidden="1" x14ac:dyDescent="0.25">
      <c r="B1350" s="25" t="s">
        <v>3834</v>
      </c>
      <c r="C1350" s="25" t="s">
        <v>4463</v>
      </c>
      <c r="D1350" s="25">
        <v>0</v>
      </c>
      <c r="E1350" s="25" t="s">
        <v>4464</v>
      </c>
      <c r="F1350" s="26" t="str">
        <f t="shared" si="109"/>
        <v>A_ABV821901</v>
      </c>
      <c r="G1350" s="26" t="str">
        <f t="shared" si="112"/>
        <v>N/A</v>
      </c>
      <c r="H1350" s="27" t="str">
        <f t="shared" si="110"/>
        <v>HS821901IO_FB0.Mode</v>
      </c>
      <c r="I1350" s="23" t="str">
        <f t="shared" si="111"/>
        <v>N/A</v>
      </c>
    </row>
    <row r="1351" spans="2:9" hidden="1" x14ac:dyDescent="0.25">
      <c r="B1351" s="25" t="s">
        <v>3834</v>
      </c>
      <c r="C1351" s="25" t="s">
        <v>4465</v>
      </c>
      <c r="D1351" s="25">
        <v>0</v>
      </c>
      <c r="E1351" s="25" t="s">
        <v>4466</v>
      </c>
      <c r="F1351" s="26" t="str">
        <f t="shared" si="109"/>
        <v>A_ABV821904</v>
      </c>
      <c r="G1351" s="26" t="str">
        <f t="shared" si="112"/>
        <v>N/A</v>
      </c>
      <c r="H1351" s="27" t="str">
        <f t="shared" si="110"/>
        <v>HS821904IO_FB0.Mode</v>
      </c>
      <c r="I1351" s="23" t="str">
        <f t="shared" si="111"/>
        <v>N/A</v>
      </c>
    </row>
    <row r="1352" spans="2:9" hidden="1" x14ac:dyDescent="0.25">
      <c r="B1352" s="25" t="s">
        <v>3834</v>
      </c>
      <c r="C1352" s="25" t="s">
        <v>4467</v>
      </c>
      <c r="D1352" s="25">
        <v>0</v>
      </c>
      <c r="E1352" s="25" t="s">
        <v>4468</v>
      </c>
      <c r="F1352" s="26" t="str">
        <f t="shared" si="109"/>
        <v>A_ABV821911</v>
      </c>
      <c r="G1352" s="26" t="str">
        <f t="shared" si="112"/>
        <v>N/A</v>
      </c>
      <c r="H1352" s="27" t="str">
        <f t="shared" si="110"/>
        <v>HS821911IO_FB0.Mode</v>
      </c>
      <c r="I1352" s="23" t="str">
        <f t="shared" si="111"/>
        <v>N/A</v>
      </c>
    </row>
    <row r="1353" spans="2:9" hidden="1" x14ac:dyDescent="0.25">
      <c r="B1353" s="25" t="s">
        <v>3834</v>
      </c>
      <c r="C1353" s="25" t="s">
        <v>4469</v>
      </c>
      <c r="D1353" s="25">
        <v>0</v>
      </c>
      <c r="E1353" s="25" t="s">
        <v>4470</v>
      </c>
      <c r="F1353" s="26" t="str">
        <f t="shared" si="109"/>
        <v>A_ABV821912</v>
      </c>
      <c r="G1353" s="26" t="str">
        <f t="shared" si="112"/>
        <v>N/A</v>
      </c>
      <c r="H1353" s="27" t="str">
        <f t="shared" si="110"/>
        <v>HS821912IO_FB0.Mode</v>
      </c>
      <c r="I1353" s="23" t="str">
        <f t="shared" si="111"/>
        <v>N/A</v>
      </c>
    </row>
    <row r="1354" spans="2:9" hidden="1" x14ac:dyDescent="0.25">
      <c r="B1354" s="25" t="s">
        <v>3834</v>
      </c>
      <c r="C1354" s="25" t="s">
        <v>4471</v>
      </c>
      <c r="D1354" s="25">
        <v>0</v>
      </c>
      <c r="E1354" s="25" t="s">
        <v>4472</v>
      </c>
      <c r="F1354" s="26" t="str">
        <f t="shared" si="109"/>
        <v>A_ABV822001</v>
      </c>
      <c r="G1354" s="26" t="str">
        <f t="shared" si="112"/>
        <v>N/A</v>
      </c>
      <c r="H1354" s="27" t="str">
        <f t="shared" si="110"/>
        <v>HS822001IO_FB0.Mode</v>
      </c>
      <c r="I1354" s="23" t="str">
        <f t="shared" si="111"/>
        <v>N/A</v>
      </c>
    </row>
    <row r="1355" spans="2:9" hidden="1" x14ac:dyDescent="0.25">
      <c r="B1355" s="25" t="s">
        <v>3834</v>
      </c>
      <c r="C1355" s="25" t="s">
        <v>4473</v>
      </c>
      <c r="D1355" s="25">
        <v>0</v>
      </c>
      <c r="E1355" s="25" t="s">
        <v>4474</v>
      </c>
      <c r="F1355" s="26" t="str">
        <f t="shared" si="109"/>
        <v>A_ABV822002</v>
      </c>
      <c r="G1355" s="26" t="str">
        <f t="shared" si="112"/>
        <v>N/A</v>
      </c>
      <c r="H1355" s="27" t="str">
        <f t="shared" si="110"/>
        <v>HS822002IO_FB0.Mode</v>
      </c>
      <c r="I1355" s="23" t="str">
        <f t="shared" si="111"/>
        <v>N/A</v>
      </c>
    </row>
    <row r="1356" spans="2:9" hidden="1" x14ac:dyDescent="0.25">
      <c r="B1356" s="25" t="s">
        <v>3834</v>
      </c>
      <c r="C1356" s="25" t="s">
        <v>4475</v>
      </c>
      <c r="D1356" s="25">
        <v>0</v>
      </c>
      <c r="E1356" s="25" t="s">
        <v>4476</v>
      </c>
      <c r="F1356" s="26" t="str">
        <f t="shared" si="109"/>
        <v>A_ABV822003</v>
      </c>
      <c r="G1356" s="26" t="str">
        <f t="shared" si="112"/>
        <v>N/A</v>
      </c>
      <c r="H1356" s="27" t="str">
        <f t="shared" si="110"/>
        <v>HS822003IO_FB0.Mode</v>
      </c>
      <c r="I1356" s="23" t="str">
        <f t="shared" si="111"/>
        <v>N/A</v>
      </c>
    </row>
    <row r="1357" spans="2:9" hidden="1" x14ac:dyDescent="0.25">
      <c r="B1357" s="25" t="s">
        <v>3834</v>
      </c>
      <c r="C1357" s="25" t="s">
        <v>4477</v>
      </c>
      <c r="D1357" s="25">
        <v>0</v>
      </c>
      <c r="E1357" s="25" t="s">
        <v>4478</v>
      </c>
      <c r="F1357" s="26" t="str">
        <f t="shared" si="109"/>
        <v>A_ABV822004</v>
      </c>
      <c r="G1357" s="26" t="str">
        <f t="shared" si="112"/>
        <v>N/A</v>
      </c>
      <c r="H1357" s="27" t="str">
        <f t="shared" si="110"/>
        <v>HS822004IO_FB0.Mode</v>
      </c>
      <c r="I1357" s="23" t="str">
        <f t="shared" si="111"/>
        <v>N/A</v>
      </c>
    </row>
    <row r="1358" spans="2:9" hidden="1" x14ac:dyDescent="0.25">
      <c r="B1358" s="25" t="s">
        <v>3834</v>
      </c>
      <c r="C1358" s="25" t="s">
        <v>4479</v>
      </c>
      <c r="D1358" s="25">
        <v>0</v>
      </c>
      <c r="E1358" s="25" t="s">
        <v>4480</v>
      </c>
      <c r="F1358" s="26" t="str">
        <f t="shared" si="109"/>
        <v>A_ABV822006</v>
      </c>
      <c r="G1358" s="26" t="str">
        <f t="shared" si="112"/>
        <v>N/A</v>
      </c>
      <c r="H1358" s="27" t="str">
        <f t="shared" si="110"/>
        <v>HS822006IO_FB0.Mode</v>
      </c>
      <c r="I1358" s="23" t="str">
        <f t="shared" si="111"/>
        <v>N/A</v>
      </c>
    </row>
    <row r="1359" spans="2:9" hidden="1" x14ac:dyDescent="0.25">
      <c r="B1359" s="25" t="s">
        <v>3834</v>
      </c>
      <c r="C1359" s="25" t="s">
        <v>4481</v>
      </c>
      <c r="D1359" s="25">
        <v>0</v>
      </c>
      <c r="E1359" s="25" t="s">
        <v>4482</v>
      </c>
      <c r="F1359" s="26" t="str">
        <f t="shared" si="109"/>
        <v>A_ABV822009</v>
      </c>
      <c r="G1359" s="26" t="str">
        <f t="shared" si="112"/>
        <v>N/A</v>
      </c>
      <c r="H1359" s="27" t="str">
        <f t="shared" si="110"/>
        <v>HS822009IO_FB0.Mode</v>
      </c>
      <c r="I1359" s="23" t="str">
        <f t="shared" si="111"/>
        <v>N/A</v>
      </c>
    </row>
    <row r="1360" spans="2:9" hidden="1" x14ac:dyDescent="0.25">
      <c r="B1360" s="25" t="s">
        <v>3834</v>
      </c>
      <c r="C1360" s="25" t="s">
        <v>4483</v>
      </c>
      <c r="D1360" s="25">
        <v>0</v>
      </c>
      <c r="E1360" s="25" t="s">
        <v>4484</v>
      </c>
      <c r="F1360" s="26" t="str">
        <f t="shared" si="109"/>
        <v>A_ABV822013</v>
      </c>
      <c r="G1360" s="26" t="str">
        <f t="shared" si="112"/>
        <v>N/A</v>
      </c>
      <c r="H1360" s="27" t="str">
        <f t="shared" si="110"/>
        <v>HS822013IO_FB0.Mode</v>
      </c>
      <c r="I1360" s="23" t="str">
        <f t="shared" si="111"/>
        <v>N/A</v>
      </c>
    </row>
    <row r="1361" spans="2:9" hidden="1" x14ac:dyDescent="0.25">
      <c r="B1361" s="25" t="s">
        <v>3834</v>
      </c>
      <c r="C1361" s="25" t="s">
        <v>4485</v>
      </c>
      <c r="D1361" s="25">
        <v>0</v>
      </c>
      <c r="E1361" s="25" t="s">
        <v>4486</v>
      </c>
      <c r="F1361" s="26" t="str">
        <f t="shared" si="109"/>
        <v>A_ABV822126</v>
      </c>
      <c r="G1361" s="26" t="str">
        <f t="shared" si="112"/>
        <v>N/A</v>
      </c>
      <c r="H1361" s="27" t="str">
        <f t="shared" si="110"/>
        <v>HS822126IO_FB0.Mode</v>
      </c>
      <c r="I1361" s="23" t="str">
        <f t="shared" si="111"/>
        <v>N/A</v>
      </c>
    </row>
    <row r="1362" spans="2:9" hidden="1" x14ac:dyDescent="0.25">
      <c r="B1362" s="25" t="s">
        <v>3834</v>
      </c>
      <c r="C1362" s="25" t="s">
        <v>4487</v>
      </c>
      <c r="D1362" s="25">
        <v>0</v>
      </c>
      <c r="E1362" s="25" t="s">
        <v>4488</v>
      </c>
      <c r="F1362" s="26" t="str">
        <f t="shared" si="109"/>
        <v>A_ABV822127</v>
      </c>
      <c r="G1362" s="26" t="str">
        <f t="shared" si="112"/>
        <v>N/A</v>
      </c>
      <c r="H1362" s="27" t="str">
        <f t="shared" si="110"/>
        <v>HS822127IO_FB0.Mode</v>
      </c>
      <c r="I1362" s="23" t="str">
        <f t="shared" si="111"/>
        <v>N/A</v>
      </c>
    </row>
    <row r="1363" spans="2:9" hidden="1" x14ac:dyDescent="0.25">
      <c r="B1363" s="25" t="s">
        <v>3834</v>
      </c>
      <c r="C1363" s="25" t="s">
        <v>4489</v>
      </c>
      <c r="D1363" s="25">
        <v>0</v>
      </c>
      <c r="E1363" s="25" t="s">
        <v>4490</v>
      </c>
      <c r="F1363" s="26" t="str">
        <f t="shared" si="109"/>
        <v>A_ABV822128</v>
      </c>
      <c r="G1363" s="26" t="str">
        <f t="shared" si="112"/>
        <v>N/A</v>
      </c>
      <c r="H1363" s="27" t="str">
        <f t="shared" si="110"/>
        <v>HS822128IO_FB0.Mode</v>
      </c>
      <c r="I1363" s="23" t="str">
        <f t="shared" si="111"/>
        <v>N/A</v>
      </c>
    </row>
    <row r="1364" spans="2:9" hidden="1" x14ac:dyDescent="0.25">
      <c r="B1364" s="25" t="s">
        <v>3834</v>
      </c>
      <c r="C1364" s="25" t="s">
        <v>4491</v>
      </c>
      <c r="D1364" s="25">
        <v>0</v>
      </c>
      <c r="E1364" s="25" t="s">
        <v>4492</v>
      </c>
      <c r="F1364" s="26" t="str">
        <f t="shared" si="109"/>
        <v>A_ABV822129</v>
      </c>
      <c r="G1364" s="26" t="str">
        <f t="shared" si="112"/>
        <v>N/A</v>
      </c>
      <c r="H1364" s="27" t="str">
        <f t="shared" si="110"/>
        <v>HS822129IO_FB0.Mode</v>
      </c>
      <c r="I1364" s="23" t="str">
        <f t="shared" si="111"/>
        <v>N/A</v>
      </c>
    </row>
    <row r="1365" spans="2:9" hidden="1" x14ac:dyDescent="0.25">
      <c r="B1365" s="25" t="s">
        <v>3834</v>
      </c>
      <c r="C1365" s="25" t="s">
        <v>4493</v>
      </c>
      <c r="D1365" s="25">
        <v>0</v>
      </c>
      <c r="E1365" s="25" t="s">
        <v>4494</v>
      </c>
      <c r="F1365" s="26" t="str">
        <f t="shared" si="109"/>
        <v>A_ABV822130</v>
      </c>
      <c r="G1365" s="26" t="str">
        <f t="shared" si="112"/>
        <v>N/A</v>
      </c>
      <c r="H1365" s="27" t="str">
        <f t="shared" si="110"/>
        <v>HS822130IO_FB0.Mode</v>
      </c>
      <c r="I1365" s="23" t="str">
        <f t="shared" si="111"/>
        <v>N/A</v>
      </c>
    </row>
    <row r="1366" spans="2:9" hidden="1" x14ac:dyDescent="0.25">
      <c r="B1366" s="25" t="s">
        <v>3834</v>
      </c>
      <c r="C1366" s="25" t="s">
        <v>4495</v>
      </c>
      <c r="D1366" s="25">
        <v>0</v>
      </c>
      <c r="E1366" s="25" t="s">
        <v>4496</v>
      </c>
      <c r="F1366" s="26" t="str">
        <f t="shared" si="109"/>
        <v>A_ABV822133</v>
      </c>
      <c r="G1366" s="26" t="str">
        <f t="shared" si="112"/>
        <v>N/A</v>
      </c>
      <c r="H1366" s="27" t="str">
        <f t="shared" si="110"/>
        <v>HS822133IO_FB0.Mode</v>
      </c>
      <c r="I1366" s="23" t="str">
        <f t="shared" si="111"/>
        <v>N/A</v>
      </c>
    </row>
    <row r="1367" spans="2:9" hidden="1" x14ac:dyDescent="0.25">
      <c r="B1367" s="25" t="s">
        <v>3834</v>
      </c>
      <c r="C1367" s="25" t="s">
        <v>4497</v>
      </c>
      <c r="D1367" s="25">
        <v>0</v>
      </c>
      <c r="E1367" s="25" t="s">
        <v>4498</v>
      </c>
      <c r="F1367" s="26" t="str">
        <f t="shared" si="109"/>
        <v>A_ABV822141</v>
      </c>
      <c r="G1367" s="26" t="str">
        <f t="shared" si="112"/>
        <v>N/A</v>
      </c>
      <c r="H1367" s="27" t="str">
        <f t="shared" si="110"/>
        <v>HS822141IO_FB0.Mode</v>
      </c>
      <c r="I1367" s="23" t="str">
        <f t="shared" si="111"/>
        <v>N/A</v>
      </c>
    </row>
    <row r="1368" spans="2:9" hidden="1" x14ac:dyDescent="0.25">
      <c r="B1368" s="25" t="s">
        <v>3834</v>
      </c>
      <c r="C1368" s="25" t="s">
        <v>4499</v>
      </c>
      <c r="D1368" s="25">
        <v>0</v>
      </c>
      <c r="E1368" s="25" t="s">
        <v>4500</v>
      </c>
      <c r="F1368" s="26" t="str">
        <f t="shared" si="109"/>
        <v>A_ABV822201</v>
      </c>
      <c r="G1368" s="26" t="str">
        <f t="shared" si="112"/>
        <v>N/A</v>
      </c>
      <c r="H1368" s="27" t="str">
        <f t="shared" ref="H1368:H1380" si="113">+CONCATENATE(C1368,".Mode")</f>
        <v>HS822201IO_FB0.Mode</v>
      </c>
      <c r="I1368" s="23" t="str">
        <f t="shared" ref="I1368:I1380" si="114">+G1368</f>
        <v>N/A</v>
      </c>
    </row>
    <row r="1369" spans="2:9" hidden="1" x14ac:dyDescent="0.25">
      <c r="B1369" s="25" t="s">
        <v>3834</v>
      </c>
      <c r="C1369" s="25" t="s">
        <v>4501</v>
      </c>
      <c r="D1369" s="25">
        <v>0</v>
      </c>
      <c r="E1369" s="25" t="s">
        <v>4502</v>
      </c>
      <c r="F1369" s="26" t="str">
        <f t="shared" si="109"/>
        <v>A_ABV822202</v>
      </c>
      <c r="G1369" s="26" t="str">
        <f t="shared" si="112"/>
        <v>N/A</v>
      </c>
      <c r="H1369" s="27" t="str">
        <f t="shared" si="113"/>
        <v>HS822202IO_FB0.Mode</v>
      </c>
      <c r="I1369" s="23" t="str">
        <f t="shared" si="114"/>
        <v>N/A</v>
      </c>
    </row>
    <row r="1370" spans="2:9" hidden="1" x14ac:dyDescent="0.25">
      <c r="B1370" s="25" t="s">
        <v>3834</v>
      </c>
      <c r="C1370" s="25" t="s">
        <v>4503</v>
      </c>
      <c r="D1370" s="25">
        <v>0</v>
      </c>
      <c r="E1370" s="25" t="s">
        <v>4504</v>
      </c>
      <c r="F1370" s="26" t="str">
        <f t="shared" si="109"/>
        <v>A_ABV822209</v>
      </c>
      <c r="G1370" s="26" t="str">
        <f t="shared" si="112"/>
        <v>N/A</v>
      </c>
      <c r="H1370" s="27" t="str">
        <f t="shared" si="113"/>
        <v>HS822209IO_FB0.Mode</v>
      </c>
      <c r="I1370" s="23" t="str">
        <f t="shared" si="114"/>
        <v>N/A</v>
      </c>
    </row>
    <row r="1371" spans="2:9" hidden="1" x14ac:dyDescent="0.25">
      <c r="B1371" s="25" t="s">
        <v>3834</v>
      </c>
      <c r="C1371" s="25" t="s">
        <v>4505</v>
      </c>
      <c r="D1371" s="25">
        <v>0</v>
      </c>
      <c r="E1371" s="25" t="s">
        <v>4506</v>
      </c>
      <c r="F1371" s="26" t="str">
        <f t="shared" si="109"/>
        <v>A_ABV822210</v>
      </c>
      <c r="G1371" s="26" t="str">
        <f t="shared" si="112"/>
        <v>N/A</v>
      </c>
      <c r="H1371" s="27" t="str">
        <f t="shared" si="113"/>
        <v>HS822210IO_FB0.Mode</v>
      </c>
      <c r="I1371" s="23" t="str">
        <f t="shared" si="114"/>
        <v>N/A</v>
      </c>
    </row>
    <row r="1372" spans="2:9" hidden="1" x14ac:dyDescent="0.25">
      <c r="B1372" s="25" t="s">
        <v>3834</v>
      </c>
      <c r="C1372" s="25" t="s">
        <v>4507</v>
      </c>
      <c r="D1372" s="25">
        <v>0</v>
      </c>
      <c r="E1372" s="25" t="s">
        <v>4508</v>
      </c>
      <c r="F1372" s="26" t="str">
        <f t="shared" si="109"/>
        <v>A_ABV822211</v>
      </c>
      <c r="G1372" s="26" t="str">
        <f t="shared" si="112"/>
        <v>N/A</v>
      </c>
      <c r="H1372" s="27" t="str">
        <f t="shared" si="113"/>
        <v>HS822211IO_FB0.Mode</v>
      </c>
      <c r="I1372" s="23" t="str">
        <f t="shared" si="114"/>
        <v>N/A</v>
      </c>
    </row>
    <row r="1373" spans="2:9" hidden="1" x14ac:dyDescent="0.25">
      <c r="B1373" s="25" t="s">
        <v>3834</v>
      </c>
      <c r="C1373" s="25" t="s">
        <v>4509</v>
      </c>
      <c r="D1373" s="25">
        <v>0</v>
      </c>
      <c r="E1373" s="25" t="s">
        <v>4510</v>
      </c>
      <c r="F1373" s="26" t="str">
        <f t="shared" si="109"/>
        <v>A_ABV822212</v>
      </c>
      <c r="G1373" s="26" t="str">
        <f t="shared" si="112"/>
        <v>N/A</v>
      </c>
      <c r="H1373" s="27" t="str">
        <f t="shared" si="113"/>
        <v>HS822212IO_FB0.Mode</v>
      </c>
      <c r="I1373" s="23" t="str">
        <f t="shared" si="114"/>
        <v>N/A</v>
      </c>
    </row>
    <row r="1374" spans="2:9" hidden="1" x14ac:dyDescent="0.25">
      <c r="B1374" s="25" t="s">
        <v>3834</v>
      </c>
      <c r="C1374" s="25" t="s">
        <v>4511</v>
      </c>
      <c r="D1374" s="25">
        <v>0</v>
      </c>
      <c r="E1374" s="25" t="s">
        <v>4512</v>
      </c>
      <c r="F1374" s="26" t="str">
        <f t="shared" si="109"/>
        <v>A_ABV822213</v>
      </c>
      <c r="G1374" s="26" t="str">
        <f t="shared" si="112"/>
        <v>N/A</v>
      </c>
      <c r="H1374" s="27" t="str">
        <f t="shared" si="113"/>
        <v>HS822213IO_FB0.Mode</v>
      </c>
      <c r="I1374" s="23" t="str">
        <f t="shared" si="114"/>
        <v>N/A</v>
      </c>
    </row>
    <row r="1375" spans="2:9" hidden="1" x14ac:dyDescent="0.25">
      <c r="B1375" s="25" t="s">
        <v>3834</v>
      </c>
      <c r="C1375" s="25" t="s">
        <v>4513</v>
      </c>
      <c r="D1375" s="25">
        <v>0</v>
      </c>
      <c r="E1375" s="25" t="s">
        <v>4514</v>
      </c>
      <c r="F1375" s="26" t="str">
        <f t="shared" si="109"/>
        <v>A_ABV822214</v>
      </c>
      <c r="G1375" s="26" t="str">
        <f t="shared" si="112"/>
        <v>N/A</v>
      </c>
      <c r="H1375" s="27" t="str">
        <f t="shared" si="113"/>
        <v>HS822214IO_FB0.Mode</v>
      </c>
      <c r="I1375" s="23" t="str">
        <f t="shared" si="114"/>
        <v>N/A</v>
      </c>
    </row>
    <row r="1376" spans="2:9" hidden="1" x14ac:dyDescent="0.25">
      <c r="B1376" s="25" t="s">
        <v>3834</v>
      </c>
      <c r="C1376" s="25" t="s">
        <v>4515</v>
      </c>
      <c r="D1376" s="25">
        <v>0</v>
      </c>
      <c r="E1376" s="25" t="s">
        <v>4516</v>
      </c>
      <c r="F1376" s="26" t="str">
        <f t="shared" si="109"/>
        <v>A_ABV822215</v>
      </c>
      <c r="G1376" s="26" t="str">
        <f t="shared" si="112"/>
        <v>N/A</v>
      </c>
      <c r="H1376" s="27" t="str">
        <f t="shared" si="113"/>
        <v>HS822215IO_FB0.Mode</v>
      </c>
      <c r="I1376" s="23" t="str">
        <f t="shared" si="114"/>
        <v>N/A</v>
      </c>
    </row>
    <row r="1377" spans="2:9" hidden="1" x14ac:dyDescent="0.25">
      <c r="B1377" s="25" t="s">
        <v>3834</v>
      </c>
      <c r="C1377" s="25" t="s">
        <v>4517</v>
      </c>
      <c r="D1377" s="25">
        <v>0</v>
      </c>
      <c r="E1377" s="25" t="s">
        <v>4518</v>
      </c>
      <c r="F1377" s="26" t="str">
        <f t="shared" si="109"/>
        <v>A_ABV822261</v>
      </c>
      <c r="G1377" s="26" t="str">
        <f t="shared" si="112"/>
        <v>N/A</v>
      </c>
      <c r="H1377" s="27" t="str">
        <f t="shared" si="113"/>
        <v>HS822261IO_FB0.Mode</v>
      </c>
      <c r="I1377" s="23" t="str">
        <f t="shared" si="114"/>
        <v>N/A</v>
      </c>
    </row>
    <row r="1378" spans="2:9" hidden="1" x14ac:dyDescent="0.25">
      <c r="B1378" s="25" t="s">
        <v>3834</v>
      </c>
      <c r="C1378" s="25" t="s">
        <v>4519</v>
      </c>
      <c r="D1378" s="25">
        <v>0</v>
      </c>
      <c r="E1378" s="25" t="s">
        <v>4520</v>
      </c>
      <c r="F1378" s="26" t="str">
        <f t="shared" si="109"/>
        <v>A_ABV822307</v>
      </c>
      <c r="G1378" s="26" t="str">
        <f t="shared" si="112"/>
        <v>N/A</v>
      </c>
      <c r="H1378" s="27" t="str">
        <f t="shared" si="113"/>
        <v>HS822307IO_FB0.Mode</v>
      </c>
      <c r="I1378" s="23" t="str">
        <f t="shared" si="114"/>
        <v>N/A</v>
      </c>
    </row>
    <row r="1379" spans="2:9" hidden="1" x14ac:dyDescent="0.25">
      <c r="B1379" s="25" t="s">
        <v>3834</v>
      </c>
      <c r="C1379" s="25" t="s">
        <v>4521</v>
      </c>
      <c r="D1379" s="25">
        <v>0</v>
      </c>
      <c r="E1379" s="25" t="s">
        <v>4522</v>
      </c>
      <c r="F1379" s="26" t="str">
        <f t="shared" si="109"/>
        <v>A_ABV822309</v>
      </c>
      <c r="G1379" s="26" t="str">
        <f t="shared" si="112"/>
        <v>N/A</v>
      </c>
      <c r="H1379" s="27" t="str">
        <f t="shared" si="113"/>
        <v>HS822309IO_FB0.Mode</v>
      </c>
      <c r="I1379" s="23" t="str">
        <f t="shared" si="114"/>
        <v>N/A</v>
      </c>
    </row>
    <row r="1380" spans="2:9" hidden="1" x14ac:dyDescent="0.25">
      <c r="B1380" s="25" t="s">
        <v>3834</v>
      </c>
      <c r="C1380" s="25" t="s">
        <v>4523</v>
      </c>
      <c r="D1380" s="25">
        <v>0</v>
      </c>
      <c r="E1380" s="25" t="s">
        <v>4524</v>
      </c>
      <c r="F1380" s="26" t="str">
        <f t="shared" si="109"/>
        <v>A_ABV822313</v>
      </c>
      <c r="G1380" s="26" t="str">
        <f t="shared" si="112"/>
        <v>N/A</v>
      </c>
      <c r="H1380" s="27" t="str">
        <f t="shared" si="113"/>
        <v>HS822313IO_FB0.Mode</v>
      </c>
      <c r="I1380" s="23" t="str">
        <f t="shared" si="114"/>
        <v>N/A</v>
      </c>
    </row>
    <row r="1381" spans="2:9" hidden="1" x14ac:dyDescent="0.25">
      <c r="B1381" s="25" t="s">
        <v>3834</v>
      </c>
      <c r="C1381" s="25" t="s">
        <v>4525</v>
      </c>
      <c r="D1381" s="25">
        <v>0</v>
      </c>
      <c r="E1381" s="25" t="s">
        <v>4526</v>
      </c>
      <c r="F1381" s="26" t="str">
        <f t="shared" ref="F1381:F1444" si="115">+LEFT(E1381,FIND(".",E1381,1)-1)</f>
        <v>A_ABV822313</v>
      </c>
      <c r="G1381" s="26" t="str">
        <f t="shared" si="112"/>
        <v>N/A</v>
      </c>
      <c r="H1381" s="27" t="str">
        <f>+CONCATENATE(C1381,".MA")</f>
        <v>HS822313IO_FB1.MA</v>
      </c>
      <c r="I1381" s="23" t="str">
        <f t="shared" ref="I1381:I1386" si="116">+G1381</f>
        <v>N/A</v>
      </c>
    </row>
    <row r="1382" spans="2:9" hidden="1" x14ac:dyDescent="0.25">
      <c r="B1382" s="25" t="s">
        <v>3834</v>
      </c>
      <c r="C1382" s="25" t="s">
        <v>4527</v>
      </c>
      <c r="D1382" s="25">
        <v>0</v>
      </c>
      <c r="E1382" s="25" t="s">
        <v>4528</v>
      </c>
      <c r="F1382" s="26" t="str">
        <f t="shared" si="115"/>
        <v>A_ABV822314</v>
      </c>
      <c r="G1382" s="26" t="str">
        <f t="shared" si="112"/>
        <v>N/A</v>
      </c>
      <c r="H1382" s="27" t="str">
        <f>+CONCATENATE(C1382,".Mode")</f>
        <v>HS822314IO_FB0.Mode</v>
      </c>
      <c r="I1382" s="23" t="str">
        <f t="shared" si="116"/>
        <v>N/A</v>
      </c>
    </row>
    <row r="1383" spans="2:9" hidden="1" x14ac:dyDescent="0.25">
      <c r="B1383" s="25" t="s">
        <v>3834</v>
      </c>
      <c r="C1383" s="25" t="s">
        <v>4529</v>
      </c>
      <c r="D1383" s="25">
        <v>0</v>
      </c>
      <c r="E1383" s="25" t="s">
        <v>4530</v>
      </c>
      <c r="F1383" s="26" t="str">
        <f t="shared" si="115"/>
        <v>A_ABV822318</v>
      </c>
      <c r="G1383" s="26" t="str">
        <f t="shared" si="112"/>
        <v>N/A</v>
      </c>
      <c r="H1383" s="27" t="str">
        <f>+CONCATENATE(C1383,".MA")</f>
        <v>HS822318IO_FB0.MA</v>
      </c>
      <c r="I1383" s="23" t="str">
        <f t="shared" si="116"/>
        <v>N/A</v>
      </c>
    </row>
    <row r="1384" spans="2:9" hidden="1" x14ac:dyDescent="0.25">
      <c r="B1384" s="25" t="s">
        <v>3834</v>
      </c>
      <c r="C1384" s="25" t="s">
        <v>4531</v>
      </c>
      <c r="D1384" s="25">
        <v>0</v>
      </c>
      <c r="E1384" s="25" t="s">
        <v>4532</v>
      </c>
      <c r="F1384" s="26" t="str">
        <f t="shared" si="115"/>
        <v>A_ABV822322</v>
      </c>
      <c r="G1384" s="26" t="str">
        <f t="shared" si="112"/>
        <v>N/A</v>
      </c>
      <c r="H1384" s="27" t="str">
        <f>+CONCATENATE(C1384,".MA")</f>
        <v>HS822322IO_FB0.MA</v>
      </c>
      <c r="I1384" s="23" t="str">
        <f t="shared" si="116"/>
        <v>N/A</v>
      </c>
    </row>
    <row r="1385" spans="2:9" hidden="1" x14ac:dyDescent="0.25">
      <c r="B1385" s="25" t="s">
        <v>3834</v>
      </c>
      <c r="C1385" s="25" t="s">
        <v>4533</v>
      </c>
      <c r="D1385" s="25">
        <v>0</v>
      </c>
      <c r="E1385" s="25" t="s">
        <v>4534</v>
      </c>
      <c r="F1385" s="26" t="str">
        <f t="shared" si="115"/>
        <v>A_ABV822407</v>
      </c>
      <c r="G1385" s="26" t="str">
        <f t="shared" si="112"/>
        <v>N/A</v>
      </c>
      <c r="H1385" s="27" t="str">
        <f>+CONCATENATE(C1385,".MA")</f>
        <v>HS822407IO_FB0.MA</v>
      </c>
      <c r="I1385" s="23" t="str">
        <f t="shared" si="116"/>
        <v>N/A</v>
      </c>
    </row>
    <row r="1386" spans="2:9" hidden="1" x14ac:dyDescent="0.25">
      <c r="B1386" s="25" t="s">
        <v>3834</v>
      </c>
      <c r="C1386" s="25" t="s">
        <v>4535</v>
      </c>
      <c r="D1386" s="25">
        <v>0</v>
      </c>
      <c r="E1386" s="25" t="s">
        <v>4536</v>
      </c>
      <c r="F1386" s="26" t="str">
        <f t="shared" si="115"/>
        <v>A_ABV822409</v>
      </c>
      <c r="G1386" s="26" t="str">
        <f t="shared" si="112"/>
        <v>N/A</v>
      </c>
      <c r="H1386" s="27" t="str">
        <f>+CONCATENATE(C1386,".MA")</f>
        <v>HS822409IO_FB0.MA</v>
      </c>
      <c r="I1386" s="23" t="str">
        <f t="shared" si="116"/>
        <v>N/A</v>
      </c>
    </row>
    <row r="1387" spans="2:9" hidden="1" x14ac:dyDescent="0.25">
      <c r="B1387" s="25" t="s">
        <v>3834</v>
      </c>
      <c r="C1387" s="25" t="s">
        <v>4537</v>
      </c>
      <c r="D1387" s="25">
        <v>0</v>
      </c>
      <c r="E1387" s="25" t="s">
        <v>4538</v>
      </c>
      <c r="F1387" s="26" t="str">
        <f t="shared" si="115"/>
        <v>A_ABV822413</v>
      </c>
      <c r="G1387" s="26" t="str">
        <f t="shared" si="112"/>
        <v>N/A</v>
      </c>
      <c r="H1387" s="27" t="str">
        <f t="shared" ref="H1387:H1388" si="117">+CONCATENATE(C1387,".Mode")</f>
        <v>HS822413IO_FB0.Mode</v>
      </c>
      <c r="I1387" s="23" t="str">
        <f t="shared" ref="I1387:I1388" si="118">+G1387</f>
        <v>N/A</v>
      </c>
    </row>
    <row r="1388" spans="2:9" hidden="1" x14ac:dyDescent="0.25">
      <c r="B1388" s="25" t="s">
        <v>3834</v>
      </c>
      <c r="C1388" s="25" t="s">
        <v>4539</v>
      </c>
      <c r="D1388" s="25">
        <v>0</v>
      </c>
      <c r="E1388" s="25" t="s">
        <v>4540</v>
      </c>
      <c r="F1388" s="26" t="str">
        <f t="shared" si="115"/>
        <v>A_ABV822413</v>
      </c>
      <c r="G1388" s="26" t="str">
        <f t="shared" si="112"/>
        <v>N/A</v>
      </c>
      <c r="H1388" s="27" t="str">
        <f t="shared" si="117"/>
        <v>HS822413IO_FB1.Mode</v>
      </c>
      <c r="I1388" s="23" t="str">
        <f t="shared" si="118"/>
        <v>N/A</v>
      </c>
    </row>
    <row r="1389" spans="2:9" hidden="1" x14ac:dyDescent="0.25">
      <c r="B1389" s="25" t="s">
        <v>3834</v>
      </c>
      <c r="C1389" s="25" t="s">
        <v>4541</v>
      </c>
      <c r="D1389" s="25">
        <v>0</v>
      </c>
      <c r="E1389" s="25" t="s">
        <v>4542</v>
      </c>
      <c r="F1389" s="26" t="str">
        <f t="shared" si="115"/>
        <v>A_ABV822414</v>
      </c>
      <c r="G1389" s="26" t="str">
        <f t="shared" si="112"/>
        <v>N/A</v>
      </c>
      <c r="H1389" s="27" t="str">
        <f>+CONCATENATE(C1389,".MA")</f>
        <v>HS822414IO_FB0.MA</v>
      </c>
      <c r="I1389" s="23" t="str">
        <f>+G1389</f>
        <v>N/A</v>
      </c>
    </row>
    <row r="1390" spans="2:9" hidden="1" x14ac:dyDescent="0.25">
      <c r="B1390" s="25" t="s">
        <v>3834</v>
      </c>
      <c r="C1390" s="25" t="s">
        <v>4543</v>
      </c>
      <c r="D1390" s="25">
        <v>0</v>
      </c>
      <c r="E1390" s="25" t="s">
        <v>4544</v>
      </c>
      <c r="F1390" s="26" t="str">
        <f t="shared" si="115"/>
        <v>A_ABV822418</v>
      </c>
      <c r="G1390" s="26" t="str">
        <f t="shared" si="112"/>
        <v>N/A</v>
      </c>
      <c r="H1390" s="27" t="str">
        <f>+CONCATENATE(C1390,".MA")</f>
        <v>HS822418IO_FB0.MA</v>
      </c>
      <c r="I1390" s="23" t="str">
        <f>+G1390</f>
        <v>N/A</v>
      </c>
    </row>
    <row r="1391" spans="2:9" hidden="1" x14ac:dyDescent="0.25">
      <c r="B1391" s="25" t="s">
        <v>3834</v>
      </c>
      <c r="C1391" s="25" t="s">
        <v>4545</v>
      </c>
      <c r="D1391" s="25">
        <v>0</v>
      </c>
      <c r="E1391" s="25" t="s">
        <v>4546</v>
      </c>
      <c r="F1391" s="26" t="str">
        <f t="shared" si="115"/>
        <v>A_ABV822424</v>
      </c>
      <c r="G1391" s="26" t="str">
        <f t="shared" si="112"/>
        <v>N/A</v>
      </c>
      <c r="H1391" s="27" t="str">
        <f>+CONCATENATE(C1391,".MA")</f>
        <v>HS822424IO_FB0.MA</v>
      </c>
      <c r="I1391" s="23" t="str">
        <f>+G1391</f>
        <v>N/A</v>
      </c>
    </row>
    <row r="1392" spans="2:9" hidden="1" x14ac:dyDescent="0.25">
      <c r="B1392" s="25" t="s">
        <v>3834</v>
      </c>
      <c r="C1392" s="25" t="s">
        <v>4547</v>
      </c>
      <c r="D1392" s="25">
        <v>0</v>
      </c>
      <c r="E1392" s="25" t="s">
        <v>4548</v>
      </c>
      <c r="F1392" s="26" t="str">
        <f t="shared" si="115"/>
        <v>A_ABV822905</v>
      </c>
      <c r="G1392" s="26" t="str">
        <f t="shared" si="112"/>
        <v>N/A</v>
      </c>
      <c r="H1392" s="27" t="str">
        <f t="shared" ref="H1392:H1423" si="119">+CONCATENATE(C1392,".Mode")</f>
        <v>HS822905IO_FB0.Mode</v>
      </c>
      <c r="I1392" s="23" t="str">
        <f t="shared" ref="I1392:I1423" si="120">+G1392</f>
        <v>N/A</v>
      </c>
    </row>
    <row r="1393" spans="2:9" hidden="1" x14ac:dyDescent="0.25">
      <c r="B1393" s="25" t="s">
        <v>3834</v>
      </c>
      <c r="C1393" s="25" t="s">
        <v>4549</v>
      </c>
      <c r="D1393" s="25">
        <v>0</v>
      </c>
      <c r="E1393" s="25" t="s">
        <v>4550</v>
      </c>
      <c r="F1393" s="26" t="str">
        <f t="shared" si="115"/>
        <v>A_ABV822913</v>
      </c>
      <c r="G1393" s="26" t="str">
        <f t="shared" si="112"/>
        <v>N/A</v>
      </c>
      <c r="H1393" s="27" t="str">
        <f t="shared" si="119"/>
        <v>HS822913IO_FB0.Mode</v>
      </c>
      <c r="I1393" s="23" t="str">
        <f t="shared" si="120"/>
        <v>N/A</v>
      </c>
    </row>
    <row r="1394" spans="2:9" hidden="1" x14ac:dyDescent="0.25">
      <c r="B1394" s="25" t="s">
        <v>3834</v>
      </c>
      <c r="C1394" s="25" t="s">
        <v>4551</v>
      </c>
      <c r="D1394" s="25">
        <v>0</v>
      </c>
      <c r="E1394" s="25" t="s">
        <v>4552</v>
      </c>
      <c r="F1394" s="26" t="str">
        <f t="shared" si="115"/>
        <v>A_ABV822913</v>
      </c>
      <c r="G1394" s="26" t="str">
        <f t="shared" si="112"/>
        <v>N/A</v>
      </c>
      <c r="H1394" s="27" t="str">
        <f t="shared" si="119"/>
        <v>HS822913IO_FB1.Mode</v>
      </c>
      <c r="I1394" s="23" t="str">
        <f t="shared" si="120"/>
        <v>N/A</v>
      </c>
    </row>
    <row r="1395" spans="2:9" hidden="1" x14ac:dyDescent="0.25">
      <c r="B1395" s="25" t="s">
        <v>3834</v>
      </c>
      <c r="C1395" s="25" t="s">
        <v>4553</v>
      </c>
      <c r="D1395" s="25">
        <v>0</v>
      </c>
      <c r="E1395" s="25" t="s">
        <v>4554</v>
      </c>
      <c r="F1395" s="26" t="str">
        <f t="shared" si="115"/>
        <v>A_ABV823011</v>
      </c>
      <c r="G1395" s="26" t="str">
        <f t="shared" si="112"/>
        <v>N/A</v>
      </c>
      <c r="H1395" s="27" t="str">
        <f t="shared" si="119"/>
        <v>HS823011IO_FB0.Mode</v>
      </c>
      <c r="I1395" s="23" t="str">
        <f t="shared" si="120"/>
        <v>N/A</v>
      </c>
    </row>
    <row r="1396" spans="2:9" hidden="1" x14ac:dyDescent="0.25">
      <c r="B1396" s="25" t="s">
        <v>3834</v>
      </c>
      <c r="C1396" s="25" t="s">
        <v>4555</v>
      </c>
      <c r="D1396" s="25">
        <v>0</v>
      </c>
      <c r="E1396" s="25" t="s">
        <v>4556</v>
      </c>
      <c r="F1396" s="26" t="str">
        <f t="shared" si="115"/>
        <v>A_ABV823013</v>
      </c>
      <c r="G1396" s="26" t="str">
        <f t="shared" si="112"/>
        <v>N/A</v>
      </c>
      <c r="H1396" s="27" t="str">
        <f t="shared" si="119"/>
        <v>HS823013IO_FB0.Mode</v>
      </c>
      <c r="I1396" s="23" t="str">
        <f t="shared" si="120"/>
        <v>N/A</v>
      </c>
    </row>
    <row r="1397" spans="2:9" hidden="1" x14ac:dyDescent="0.25">
      <c r="B1397" s="25" t="s">
        <v>3834</v>
      </c>
      <c r="C1397" s="25" t="s">
        <v>4557</v>
      </c>
      <c r="D1397" s="25">
        <v>0</v>
      </c>
      <c r="E1397" s="25" t="s">
        <v>4558</v>
      </c>
      <c r="F1397" s="26" t="str">
        <f t="shared" si="115"/>
        <v>A_ABV823014</v>
      </c>
      <c r="G1397" s="26" t="str">
        <f t="shared" si="112"/>
        <v>N/A</v>
      </c>
      <c r="H1397" s="27" t="str">
        <f t="shared" si="119"/>
        <v>HS823014IO_FB0.Mode</v>
      </c>
      <c r="I1397" s="23" t="str">
        <f t="shared" si="120"/>
        <v>N/A</v>
      </c>
    </row>
    <row r="1398" spans="2:9" hidden="1" x14ac:dyDescent="0.25">
      <c r="B1398" s="25" t="s">
        <v>3834</v>
      </c>
      <c r="C1398" s="25" t="s">
        <v>4559</v>
      </c>
      <c r="D1398" s="25">
        <v>0</v>
      </c>
      <c r="E1398" s="25" t="s">
        <v>4560</v>
      </c>
      <c r="F1398" s="26" t="str">
        <f t="shared" si="115"/>
        <v>A_ABV823106</v>
      </c>
      <c r="G1398" s="26" t="str">
        <f t="shared" si="112"/>
        <v>N/A</v>
      </c>
      <c r="H1398" s="27" t="str">
        <f t="shared" si="119"/>
        <v>HS823106IO_FB0.Mode</v>
      </c>
      <c r="I1398" s="23" t="str">
        <f t="shared" si="120"/>
        <v>N/A</v>
      </c>
    </row>
    <row r="1399" spans="2:9" hidden="1" x14ac:dyDescent="0.25">
      <c r="B1399" s="25" t="s">
        <v>3834</v>
      </c>
      <c r="C1399" s="25" t="s">
        <v>4561</v>
      </c>
      <c r="D1399" s="25">
        <v>0</v>
      </c>
      <c r="E1399" s="25" t="s">
        <v>4562</v>
      </c>
      <c r="F1399" s="26" t="str">
        <f t="shared" si="115"/>
        <v>A_ABV823106</v>
      </c>
      <c r="G1399" s="26" t="str">
        <f t="shared" si="112"/>
        <v>N/A</v>
      </c>
      <c r="H1399" s="27" t="str">
        <f t="shared" si="119"/>
        <v>HS823106IO_FB1.Mode</v>
      </c>
      <c r="I1399" s="23" t="str">
        <f t="shared" si="120"/>
        <v>N/A</v>
      </c>
    </row>
    <row r="1400" spans="2:9" hidden="1" x14ac:dyDescent="0.25">
      <c r="B1400" s="25" t="s">
        <v>3834</v>
      </c>
      <c r="C1400" s="25" t="s">
        <v>4563</v>
      </c>
      <c r="D1400" s="25">
        <v>0</v>
      </c>
      <c r="E1400" s="25" t="s">
        <v>4564</v>
      </c>
      <c r="F1400" s="26" t="str">
        <f t="shared" si="115"/>
        <v>A_ABV823202</v>
      </c>
      <c r="G1400" s="26" t="str">
        <f t="shared" si="112"/>
        <v>N/A</v>
      </c>
      <c r="H1400" s="27" t="str">
        <f t="shared" si="119"/>
        <v>HS823202IO_FB0.Mode</v>
      </c>
      <c r="I1400" s="23" t="str">
        <f t="shared" si="120"/>
        <v>N/A</v>
      </c>
    </row>
    <row r="1401" spans="2:9" hidden="1" x14ac:dyDescent="0.25">
      <c r="B1401" s="25" t="s">
        <v>3834</v>
      </c>
      <c r="C1401" s="25" t="s">
        <v>4565</v>
      </c>
      <c r="D1401" s="25">
        <v>0</v>
      </c>
      <c r="E1401" s="25" t="s">
        <v>4566</v>
      </c>
      <c r="F1401" s="26" t="str">
        <f t="shared" si="115"/>
        <v>A_ABV823214</v>
      </c>
      <c r="G1401" s="26" t="str">
        <f t="shared" si="112"/>
        <v>N/A</v>
      </c>
      <c r="H1401" s="27" t="str">
        <f t="shared" si="119"/>
        <v>HS823214IO_FB0.Mode</v>
      </c>
      <c r="I1401" s="23" t="str">
        <f t="shared" si="120"/>
        <v>N/A</v>
      </c>
    </row>
    <row r="1402" spans="2:9" hidden="1" x14ac:dyDescent="0.25">
      <c r="B1402" s="25" t="s">
        <v>3834</v>
      </c>
      <c r="C1402" s="25" t="s">
        <v>4567</v>
      </c>
      <c r="D1402" s="25">
        <v>0</v>
      </c>
      <c r="E1402" s="25" t="s">
        <v>4568</v>
      </c>
      <c r="F1402" s="26" t="str">
        <f t="shared" si="115"/>
        <v>A_HS823235</v>
      </c>
      <c r="G1402" s="26" t="str">
        <f t="shared" si="112"/>
        <v>N/A</v>
      </c>
      <c r="H1402" s="27" t="str">
        <f t="shared" si="119"/>
        <v>HS823235IO_FB0.Mode</v>
      </c>
      <c r="I1402" s="23" t="str">
        <f t="shared" si="120"/>
        <v>N/A</v>
      </c>
    </row>
    <row r="1403" spans="2:9" hidden="1" x14ac:dyDescent="0.25">
      <c r="B1403" s="25" t="s">
        <v>3834</v>
      </c>
      <c r="C1403" s="25" t="s">
        <v>4569</v>
      </c>
      <c r="D1403" s="25">
        <v>0</v>
      </c>
      <c r="E1403" s="25" t="s">
        <v>4570</v>
      </c>
      <c r="F1403" s="26" t="str">
        <f t="shared" si="115"/>
        <v>A_HS823235</v>
      </c>
      <c r="G1403" s="26" t="str">
        <f t="shared" si="112"/>
        <v>N/A</v>
      </c>
      <c r="H1403" s="27" t="str">
        <f t="shared" si="119"/>
        <v>HS823235IO_FB1.Mode</v>
      </c>
      <c r="I1403" s="23" t="str">
        <f t="shared" si="120"/>
        <v>N/A</v>
      </c>
    </row>
    <row r="1404" spans="2:9" hidden="1" x14ac:dyDescent="0.25">
      <c r="B1404" s="25" t="s">
        <v>3834</v>
      </c>
      <c r="C1404" s="25" t="s">
        <v>4571</v>
      </c>
      <c r="D1404" s="25">
        <v>0</v>
      </c>
      <c r="E1404" s="25" t="s">
        <v>4572</v>
      </c>
      <c r="F1404" s="26" t="str">
        <f t="shared" si="115"/>
        <v>A_ABV823255</v>
      </c>
      <c r="G1404" s="26" t="str">
        <f t="shared" si="112"/>
        <v>N/A</v>
      </c>
      <c r="H1404" s="27" t="str">
        <f t="shared" si="119"/>
        <v>HS823255IO_FB0.Mode</v>
      </c>
      <c r="I1404" s="23" t="str">
        <f t="shared" si="120"/>
        <v>N/A</v>
      </c>
    </row>
    <row r="1405" spans="2:9" hidden="1" x14ac:dyDescent="0.25">
      <c r="B1405" s="25" t="s">
        <v>3834</v>
      </c>
      <c r="C1405" s="25" t="s">
        <v>4573</v>
      </c>
      <c r="D1405" s="25">
        <v>0</v>
      </c>
      <c r="E1405" s="25" t="s">
        <v>4574</v>
      </c>
      <c r="F1405" s="26" t="str">
        <f t="shared" si="115"/>
        <v>A_ABV823255</v>
      </c>
      <c r="G1405" s="26" t="str">
        <f t="shared" si="112"/>
        <v>N/A</v>
      </c>
      <c r="H1405" s="27" t="str">
        <f t="shared" si="119"/>
        <v>HS823255IO_FB1.Mode</v>
      </c>
      <c r="I1405" s="23" t="str">
        <f t="shared" si="120"/>
        <v>N/A</v>
      </c>
    </row>
    <row r="1406" spans="2:9" hidden="1" x14ac:dyDescent="0.25">
      <c r="B1406" s="25" t="s">
        <v>3834</v>
      </c>
      <c r="C1406" s="25" t="s">
        <v>4575</v>
      </c>
      <c r="D1406" s="25">
        <v>0</v>
      </c>
      <c r="E1406" s="25" t="s">
        <v>4576</v>
      </c>
      <c r="F1406" s="26" t="str">
        <f t="shared" si="115"/>
        <v>A_ABV823301</v>
      </c>
      <c r="G1406" s="26" t="str">
        <f t="shared" si="112"/>
        <v>N/A</v>
      </c>
      <c r="H1406" s="27" t="str">
        <f t="shared" si="119"/>
        <v>HS823301IO_FB0.Mode</v>
      </c>
      <c r="I1406" s="23" t="str">
        <f t="shared" si="120"/>
        <v>N/A</v>
      </c>
    </row>
    <row r="1407" spans="2:9" hidden="1" x14ac:dyDescent="0.25">
      <c r="B1407" s="25" t="s">
        <v>3834</v>
      </c>
      <c r="C1407" s="25" t="s">
        <v>4577</v>
      </c>
      <c r="D1407" s="25">
        <v>0</v>
      </c>
      <c r="E1407" s="25" t="s">
        <v>4578</v>
      </c>
      <c r="F1407" s="26" t="str">
        <f t="shared" si="115"/>
        <v>A_ABV823301</v>
      </c>
      <c r="G1407" s="26" t="str">
        <f t="shared" si="112"/>
        <v>N/A</v>
      </c>
      <c r="H1407" s="27" t="str">
        <f t="shared" si="119"/>
        <v>HS823301IO_FB1.Mode</v>
      </c>
      <c r="I1407" s="23" t="str">
        <f t="shared" si="120"/>
        <v>N/A</v>
      </c>
    </row>
    <row r="1408" spans="2:9" hidden="1" x14ac:dyDescent="0.25">
      <c r="B1408" s="25" t="s">
        <v>3834</v>
      </c>
      <c r="C1408" s="25" t="s">
        <v>4579</v>
      </c>
      <c r="D1408" s="25">
        <v>0</v>
      </c>
      <c r="E1408" s="25" t="s">
        <v>4580</v>
      </c>
      <c r="F1408" s="26" t="str">
        <f t="shared" si="115"/>
        <v>A_ABV823305</v>
      </c>
      <c r="G1408" s="26" t="str">
        <f t="shared" si="112"/>
        <v>N/A</v>
      </c>
      <c r="H1408" s="27" t="str">
        <f t="shared" si="119"/>
        <v>HS823305IO_FB0.Mode</v>
      </c>
      <c r="I1408" s="23" t="str">
        <f t="shared" si="120"/>
        <v>N/A</v>
      </c>
    </row>
    <row r="1409" spans="2:9" hidden="1" x14ac:dyDescent="0.25">
      <c r="B1409" s="25" t="s">
        <v>3834</v>
      </c>
      <c r="C1409" s="25" t="s">
        <v>4581</v>
      </c>
      <c r="D1409" s="25">
        <v>0</v>
      </c>
      <c r="E1409" s="25" t="s">
        <v>4582</v>
      </c>
      <c r="F1409" s="26" t="str">
        <f t="shared" si="115"/>
        <v>A_ABV823305</v>
      </c>
      <c r="G1409" s="26" t="str">
        <f t="shared" si="112"/>
        <v>N/A</v>
      </c>
      <c r="H1409" s="27" t="str">
        <f t="shared" si="119"/>
        <v>HS823305IO_FB1.Mode</v>
      </c>
      <c r="I1409" s="23" t="str">
        <f t="shared" si="120"/>
        <v>N/A</v>
      </c>
    </row>
    <row r="1410" spans="2:9" hidden="1" x14ac:dyDescent="0.25">
      <c r="B1410" s="25" t="s">
        <v>3834</v>
      </c>
      <c r="C1410" s="25" t="s">
        <v>4583</v>
      </c>
      <c r="D1410" s="25">
        <v>0</v>
      </c>
      <c r="E1410" s="25" t="s">
        <v>4584</v>
      </c>
      <c r="F1410" s="26" t="str">
        <f t="shared" si="115"/>
        <v>A_ABV823306</v>
      </c>
      <c r="G1410" s="26" t="str">
        <f t="shared" ref="G1410:G1473" si="121">+IFERROR(IF(VLOOKUP(F1410,DI,2,FALSE)="IO",2,0),"N/A")</f>
        <v>N/A</v>
      </c>
      <c r="H1410" s="27" t="str">
        <f t="shared" si="119"/>
        <v>HS823306IO_FB0.Mode</v>
      </c>
      <c r="I1410" s="23" t="str">
        <f t="shared" si="120"/>
        <v>N/A</v>
      </c>
    </row>
    <row r="1411" spans="2:9" hidden="1" x14ac:dyDescent="0.25">
      <c r="B1411" s="25" t="s">
        <v>3834</v>
      </c>
      <c r="C1411" s="25" t="s">
        <v>4585</v>
      </c>
      <c r="D1411" s="25">
        <v>0</v>
      </c>
      <c r="E1411" s="25" t="s">
        <v>4586</v>
      </c>
      <c r="F1411" s="26" t="str">
        <f t="shared" si="115"/>
        <v>A_ABV823306</v>
      </c>
      <c r="G1411" s="26" t="str">
        <f t="shared" si="121"/>
        <v>N/A</v>
      </c>
      <c r="H1411" s="27" t="str">
        <f t="shared" si="119"/>
        <v>HS823306IO_FB1.Mode</v>
      </c>
      <c r="I1411" s="23" t="str">
        <f t="shared" si="120"/>
        <v>N/A</v>
      </c>
    </row>
    <row r="1412" spans="2:9" hidden="1" x14ac:dyDescent="0.25">
      <c r="B1412" s="25" t="s">
        <v>3834</v>
      </c>
      <c r="C1412" s="25" t="s">
        <v>4587</v>
      </c>
      <c r="D1412" s="25">
        <v>0</v>
      </c>
      <c r="E1412" s="25" t="s">
        <v>4588</v>
      </c>
      <c r="F1412" s="26" t="str">
        <f t="shared" si="115"/>
        <v>A_ABV823310</v>
      </c>
      <c r="G1412" s="26" t="str">
        <f t="shared" si="121"/>
        <v>N/A</v>
      </c>
      <c r="H1412" s="27" t="str">
        <f t="shared" si="119"/>
        <v>HS823310IO_FB0.Mode</v>
      </c>
      <c r="I1412" s="23" t="str">
        <f t="shared" si="120"/>
        <v>N/A</v>
      </c>
    </row>
    <row r="1413" spans="2:9" hidden="1" x14ac:dyDescent="0.25">
      <c r="B1413" s="25" t="s">
        <v>3834</v>
      </c>
      <c r="C1413" s="25" t="s">
        <v>4589</v>
      </c>
      <c r="D1413" s="25">
        <v>0</v>
      </c>
      <c r="E1413" s="25" t="s">
        <v>4590</v>
      </c>
      <c r="F1413" s="26" t="str">
        <f t="shared" si="115"/>
        <v>A_ABV823310</v>
      </c>
      <c r="G1413" s="26" t="str">
        <f t="shared" si="121"/>
        <v>N/A</v>
      </c>
      <c r="H1413" s="27" t="str">
        <f t="shared" si="119"/>
        <v>HS823310IO_FB1.Mode</v>
      </c>
      <c r="I1413" s="23" t="str">
        <f t="shared" si="120"/>
        <v>N/A</v>
      </c>
    </row>
    <row r="1414" spans="2:9" hidden="1" x14ac:dyDescent="0.25">
      <c r="B1414" s="25" t="s">
        <v>3834</v>
      </c>
      <c r="C1414" s="25" t="s">
        <v>4591</v>
      </c>
      <c r="D1414" s="25">
        <v>0</v>
      </c>
      <c r="E1414" s="25" t="s">
        <v>4592</v>
      </c>
      <c r="F1414" s="26" t="str">
        <f t="shared" si="115"/>
        <v>A_ABV823328</v>
      </c>
      <c r="G1414" s="26" t="str">
        <f t="shared" si="121"/>
        <v>N/A</v>
      </c>
      <c r="H1414" s="27" t="str">
        <f t="shared" si="119"/>
        <v>HS823328IO_FB0.Mode</v>
      </c>
      <c r="I1414" s="23" t="str">
        <f t="shared" si="120"/>
        <v>N/A</v>
      </c>
    </row>
    <row r="1415" spans="2:9" hidden="1" x14ac:dyDescent="0.25">
      <c r="B1415" s="25" t="s">
        <v>3834</v>
      </c>
      <c r="C1415" s="25" t="s">
        <v>4593</v>
      </c>
      <c r="D1415" s="25">
        <v>0</v>
      </c>
      <c r="E1415" s="25" t="s">
        <v>4594</v>
      </c>
      <c r="F1415" s="26" t="str">
        <f t="shared" si="115"/>
        <v>A_ABV823328</v>
      </c>
      <c r="G1415" s="26" t="str">
        <f t="shared" si="121"/>
        <v>N/A</v>
      </c>
      <c r="H1415" s="27" t="str">
        <f t="shared" si="119"/>
        <v>HS823328IO_FB1.Mode</v>
      </c>
      <c r="I1415" s="23" t="str">
        <f t="shared" si="120"/>
        <v>N/A</v>
      </c>
    </row>
    <row r="1416" spans="2:9" hidden="1" x14ac:dyDescent="0.25">
      <c r="B1416" s="25" t="s">
        <v>3834</v>
      </c>
      <c r="C1416" s="25" t="s">
        <v>4595</v>
      </c>
      <c r="D1416" s="25">
        <v>0</v>
      </c>
      <c r="E1416" s="25" t="s">
        <v>4596</v>
      </c>
      <c r="F1416" s="26" t="str">
        <f t="shared" si="115"/>
        <v>A_ABV823329</v>
      </c>
      <c r="G1416" s="26" t="str">
        <f t="shared" si="121"/>
        <v>N/A</v>
      </c>
      <c r="H1416" s="27" t="str">
        <f t="shared" si="119"/>
        <v>HS823329IO_FB0.Mode</v>
      </c>
      <c r="I1416" s="23" t="str">
        <f t="shared" si="120"/>
        <v>N/A</v>
      </c>
    </row>
    <row r="1417" spans="2:9" hidden="1" x14ac:dyDescent="0.25">
      <c r="B1417" s="25" t="s">
        <v>3834</v>
      </c>
      <c r="C1417" s="25" t="s">
        <v>4597</v>
      </c>
      <c r="D1417" s="25">
        <v>0</v>
      </c>
      <c r="E1417" s="25" t="s">
        <v>4598</v>
      </c>
      <c r="F1417" s="26" t="str">
        <f t="shared" si="115"/>
        <v>A_ABV823329</v>
      </c>
      <c r="G1417" s="26" t="str">
        <f t="shared" si="121"/>
        <v>N/A</v>
      </c>
      <c r="H1417" s="27" t="str">
        <f t="shared" si="119"/>
        <v>HS823329IO_FB1.Mode</v>
      </c>
      <c r="I1417" s="23" t="str">
        <f t="shared" si="120"/>
        <v>N/A</v>
      </c>
    </row>
    <row r="1418" spans="2:9" hidden="1" x14ac:dyDescent="0.25">
      <c r="B1418" s="25" t="s">
        <v>3834</v>
      </c>
      <c r="C1418" s="25" t="s">
        <v>4599</v>
      </c>
      <c r="D1418" s="25">
        <v>0</v>
      </c>
      <c r="E1418" s="25" t="s">
        <v>4600</v>
      </c>
      <c r="F1418" s="26" t="str">
        <f t="shared" si="115"/>
        <v>A_ABV823333</v>
      </c>
      <c r="G1418" s="26" t="str">
        <f t="shared" si="121"/>
        <v>N/A</v>
      </c>
      <c r="H1418" s="27" t="str">
        <f t="shared" si="119"/>
        <v>HS823333IO_FB0.Mode</v>
      </c>
      <c r="I1418" s="23" t="str">
        <f t="shared" si="120"/>
        <v>N/A</v>
      </c>
    </row>
    <row r="1419" spans="2:9" hidden="1" x14ac:dyDescent="0.25">
      <c r="B1419" s="25" t="s">
        <v>3834</v>
      </c>
      <c r="C1419" s="25" t="s">
        <v>4601</v>
      </c>
      <c r="D1419" s="25">
        <v>0</v>
      </c>
      <c r="E1419" s="25" t="s">
        <v>4602</v>
      </c>
      <c r="F1419" s="26" t="str">
        <f t="shared" si="115"/>
        <v>A_ABV823333</v>
      </c>
      <c r="G1419" s="26" t="str">
        <f t="shared" si="121"/>
        <v>N/A</v>
      </c>
      <c r="H1419" s="27" t="str">
        <f t="shared" si="119"/>
        <v>HS823333IO_FB1.Mode</v>
      </c>
      <c r="I1419" s="23" t="str">
        <f t="shared" si="120"/>
        <v>N/A</v>
      </c>
    </row>
    <row r="1420" spans="2:9" hidden="1" x14ac:dyDescent="0.25">
      <c r="B1420" s="25" t="s">
        <v>3834</v>
      </c>
      <c r="C1420" s="25" t="s">
        <v>4603</v>
      </c>
      <c r="D1420" s="25">
        <v>0</v>
      </c>
      <c r="E1420" s="25" t="s">
        <v>4604</v>
      </c>
      <c r="F1420" s="26" t="str">
        <f t="shared" si="115"/>
        <v>A_ABV823334</v>
      </c>
      <c r="G1420" s="26" t="str">
        <f t="shared" si="121"/>
        <v>N/A</v>
      </c>
      <c r="H1420" s="27" t="str">
        <f t="shared" si="119"/>
        <v>HS823334IO_FB0.Mode</v>
      </c>
      <c r="I1420" s="23" t="str">
        <f t="shared" si="120"/>
        <v>N/A</v>
      </c>
    </row>
    <row r="1421" spans="2:9" hidden="1" x14ac:dyDescent="0.25">
      <c r="B1421" s="25" t="s">
        <v>3834</v>
      </c>
      <c r="C1421" s="25" t="s">
        <v>4605</v>
      </c>
      <c r="D1421" s="25">
        <v>0</v>
      </c>
      <c r="E1421" s="25" t="s">
        <v>4606</v>
      </c>
      <c r="F1421" s="26" t="str">
        <f t="shared" si="115"/>
        <v>A_ABV823334</v>
      </c>
      <c r="G1421" s="26" t="str">
        <f t="shared" si="121"/>
        <v>N/A</v>
      </c>
      <c r="H1421" s="27" t="str">
        <f t="shared" si="119"/>
        <v>HS823334IO_FB1.Mode</v>
      </c>
      <c r="I1421" s="23" t="str">
        <f t="shared" si="120"/>
        <v>N/A</v>
      </c>
    </row>
    <row r="1422" spans="2:9" hidden="1" x14ac:dyDescent="0.25">
      <c r="B1422" s="25" t="s">
        <v>3834</v>
      </c>
      <c r="C1422" s="25" t="s">
        <v>4607</v>
      </c>
      <c r="D1422" s="25">
        <v>0</v>
      </c>
      <c r="E1422" s="25" t="s">
        <v>4608</v>
      </c>
      <c r="F1422" s="26" t="str">
        <f t="shared" si="115"/>
        <v>A_ABV823338</v>
      </c>
      <c r="G1422" s="26" t="str">
        <f t="shared" si="121"/>
        <v>N/A</v>
      </c>
      <c r="H1422" s="27" t="str">
        <f t="shared" si="119"/>
        <v>HS823338IO_FB0.Mode</v>
      </c>
      <c r="I1422" s="23" t="str">
        <f t="shared" si="120"/>
        <v>N/A</v>
      </c>
    </row>
    <row r="1423" spans="2:9" hidden="1" x14ac:dyDescent="0.25">
      <c r="B1423" s="25" t="s">
        <v>3834</v>
      </c>
      <c r="C1423" s="25" t="s">
        <v>4609</v>
      </c>
      <c r="D1423" s="25">
        <v>0</v>
      </c>
      <c r="E1423" s="25" t="s">
        <v>4610</v>
      </c>
      <c r="F1423" s="26" t="str">
        <f t="shared" si="115"/>
        <v>A_ABV823338</v>
      </c>
      <c r="G1423" s="26" t="str">
        <f t="shared" si="121"/>
        <v>N/A</v>
      </c>
      <c r="H1423" s="27" t="str">
        <f t="shared" si="119"/>
        <v>HS823338IO_FB1.Mode</v>
      </c>
      <c r="I1423" s="23" t="str">
        <f t="shared" si="120"/>
        <v>N/A</v>
      </c>
    </row>
    <row r="1424" spans="2:9" hidden="1" x14ac:dyDescent="0.25">
      <c r="B1424" s="25" t="s">
        <v>3834</v>
      </c>
      <c r="C1424" s="25" t="s">
        <v>4611</v>
      </c>
      <c r="D1424" s="25">
        <v>0</v>
      </c>
      <c r="E1424" s="25" t="s">
        <v>4612</v>
      </c>
      <c r="F1424" s="26" t="str">
        <f t="shared" si="115"/>
        <v>A_EBV825001</v>
      </c>
      <c r="G1424" s="26" t="str">
        <f t="shared" si="121"/>
        <v>N/A</v>
      </c>
      <c r="H1424" s="27" t="str">
        <f t="shared" ref="H1424:H1455" si="122">+CONCATENATE(C1424,".Mode")</f>
        <v>HS825001IO_FB0.Mode</v>
      </c>
      <c r="I1424" s="23" t="str">
        <f t="shared" ref="I1424:I1455" si="123">+G1424</f>
        <v>N/A</v>
      </c>
    </row>
    <row r="1425" spans="2:9" hidden="1" x14ac:dyDescent="0.25">
      <c r="B1425" s="25" t="s">
        <v>3834</v>
      </c>
      <c r="C1425" s="25" t="s">
        <v>4613</v>
      </c>
      <c r="D1425" s="25">
        <v>0</v>
      </c>
      <c r="E1425" s="25" t="s">
        <v>4614</v>
      </c>
      <c r="F1425" s="26" t="str">
        <f t="shared" si="115"/>
        <v>A_ABV825003</v>
      </c>
      <c r="G1425" s="26" t="str">
        <f t="shared" si="121"/>
        <v>N/A</v>
      </c>
      <c r="H1425" s="27" t="str">
        <f t="shared" si="122"/>
        <v>HS825003IO_FB0.Mode</v>
      </c>
      <c r="I1425" s="23" t="str">
        <f t="shared" si="123"/>
        <v>N/A</v>
      </c>
    </row>
    <row r="1426" spans="2:9" hidden="1" x14ac:dyDescent="0.25">
      <c r="B1426" s="25" t="s">
        <v>3834</v>
      </c>
      <c r="C1426" s="25" t="s">
        <v>4615</v>
      </c>
      <c r="D1426" s="25">
        <v>0</v>
      </c>
      <c r="E1426" s="25" t="s">
        <v>4616</v>
      </c>
      <c r="F1426" s="26" t="str">
        <f t="shared" si="115"/>
        <v>A_ABV825005</v>
      </c>
      <c r="G1426" s="26" t="str">
        <f t="shared" si="121"/>
        <v>N/A</v>
      </c>
      <c r="H1426" s="27" t="str">
        <f t="shared" si="122"/>
        <v>HS825005IO_FB0.Mode</v>
      </c>
      <c r="I1426" s="23" t="str">
        <f t="shared" si="123"/>
        <v>N/A</v>
      </c>
    </row>
    <row r="1427" spans="2:9" hidden="1" x14ac:dyDescent="0.25">
      <c r="B1427" s="25" t="s">
        <v>3834</v>
      </c>
      <c r="C1427" s="25" t="s">
        <v>4617</v>
      </c>
      <c r="D1427" s="25">
        <v>0</v>
      </c>
      <c r="E1427" s="25" t="s">
        <v>4618</v>
      </c>
      <c r="F1427" s="26" t="str">
        <f t="shared" si="115"/>
        <v>A_ABV825005</v>
      </c>
      <c r="G1427" s="26" t="str">
        <f t="shared" si="121"/>
        <v>N/A</v>
      </c>
      <c r="H1427" s="27" t="str">
        <f t="shared" si="122"/>
        <v>HS825005IO_FB1.Mode</v>
      </c>
      <c r="I1427" s="23" t="str">
        <f t="shared" si="123"/>
        <v>N/A</v>
      </c>
    </row>
    <row r="1428" spans="2:9" hidden="1" x14ac:dyDescent="0.25">
      <c r="B1428" s="25" t="s">
        <v>3834</v>
      </c>
      <c r="C1428" s="25" t="s">
        <v>4619</v>
      </c>
      <c r="D1428" s="25">
        <v>0</v>
      </c>
      <c r="E1428" s="25" t="s">
        <v>4620</v>
      </c>
      <c r="F1428" s="26" t="str">
        <f t="shared" si="115"/>
        <v>A_ABV825006</v>
      </c>
      <c r="G1428" s="26" t="str">
        <f t="shared" si="121"/>
        <v>N/A</v>
      </c>
      <c r="H1428" s="27" t="str">
        <f t="shared" si="122"/>
        <v>HS825006IO_FB0.Mode</v>
      </c>
      <c r="I1428" s="23" t="str">
        <f t="shared" si="123"/>
        <v>N/A</v>
      </c>
    </row>
    <row r="1429" spans="2:9" hidden="1" x14ac:dyDescent="0.25">
      <c r="B1429" s="25" t="s">
        <v>3834</v>
      </c>
      <c r="C1429" s="25" t="s">
        <v>4621</v>
      </c>
      <c r="D1429" s="25">
        <v>0</v>
      </c>
      <c r="E1429" s="25" t="s">
        <v>4622</v>
      </c>
      <c r="F1429" s="26" t="str">
        <f t="shared" si="115"/>
        <v>A_ABV825010</v>
      </c>
      <c r="G1429" s="26" t="str">
        <f t="shared" si="121"/>
        <v>N/A</v>
      </c>
      <c r="H1429" s="27" t="str">
        <f t="shared" si="122"/>
        <v>HS825010IO_FB0.Mode</v>
      </c>
      <c r="I1429" s="23" t="str">
        <f t="shared" si="123"/>
        <v>N/A</v>
      </c>
    </row>
    <row r="1430" spans="2:9" hidden="1" x14ac:dyDescent="0.25">
      <c r="B1430" s="25" t="s">
        <v>3834</v>
      </c>
      <c r="C1430" s="25" t="s">
        <v>4623</v>
      </c>
      <c r="D1430" s="25">
        <v>0</v>
      </c>
      <c r="E1430" s="25" t="s">
        <v>4624</v>
      </c>
      <c r="F1430" s="26" t="str">
        <f t="shared" si="115"/>
        <v>A_ABV830106</v>
      </c>
      <c r="G1430" s="26" t="str">
        <f t="shared" si="121"/>
        <v>N/A</v>
      </c>
      <c r="H1430" s="27" t="str">
        <f t="shared" si="122"/>
        <v>HS830106IO_FB0.Mode</v>
      </c>
      <c r="I1430" s="23" t="str">
        <f t="shared" si="123"/>
        <v>N/A</v>
      </c>
    </row>
    <row r="1431" spans="2:9" hidden="1" x14ac:dyDescent="0.25">
      <c r="B1431" s="25" t="s">
        <v>3834</v>
      </c>
      <c r="C1431" s="25" t="s">
        <v>4625</v>
      </c>
      <c r="D1431" s="25">
        <v>0</v>
      </c>
      <c r="E1431" s="25" t="s">
        <v>4626</v>
      </c>
      <c r="F1431" s="26" t="str">
        <f t="shared" si="115"/>
        <v>A_ABV830107</v>
      </c>
      <c r="G1431" s="26" t="str">
        <f t="shared" si="121"/>
        <v>N/A</v>
      </c>
      <c r="H1431" s="27" t="str">
        <f t="shared" si="122"/>
        <v>HS830107IO_FB0.Mode</v>
      </c>
      <c r="I1431" s="23" t="str">
        <f t="shared" si="123"/>
        <v>N/A</v>
      </c>
    </row>
    <row r="1432" spans="2:9" hidden="1" x14ac:dyDescent="0.25">
      <c r="B1432" s="25" t="s">
        <v>3834</v>
      </c>
      <c r="C1432" s="25" t="s">
        <v>4627</v>
      </c>
      <c r="D1432" s="25">
        <v>0</v>
      </c>
      <c r="E1432" s="25" t="s">
        <v>4628</v>
      </c>
      <c r="F1432" s="26" t="str">
        <f t="shared" si="115"/>
        <v>A_ABV830108</v>
      </c>
      <c r="G1432" s="26" t="str">
        <f t="shared" si="121"/>
        <v>N/A</v>
      </c>
      <c r="H1432" s="27" t="str">
        <f t="shared" si="122"/>
        <v>HS830108IO_FB0.Mode</v>
      </c>
      <c r="I1432" s="23" t="str">
        <f t="shared" si="123"/>
        <v>N/A</v>
      </c>
    </row>
    <row r="1433" spans="2:9" hidden="1" x14ac:dyDescent="0.25">
      <c r="B1433" s="25" t="s">
        <v>3834</v>
      </c>
      <c r="C1433" s="25" t="s">
        <v>4629</v>
      </c>
      <c r="D1433" s="25">
        <v>0</v>
      </c>
      <c r="E1433" s="25" t="s">
        <v>4630</v>
      </c>
      <c r="F1433" s="26" t="str">
        <f t="shared" si="115"/>
        <v>A_ABV830109</v>
      </c>
      <c r="G1433" s="26" t="str">
        <f t="shared" si="121"/>
        <v>N/A</v>
      </c>
      <c r="H1433" s="27" t="str">
        <f t="shared" si="122"/>
        <v>HS830109IO_FB0.Mode</v>
      </c>
      <c r="I1433" s="23" t="str">
        <f t="shared" si="123"/>
        <v>N/A</v>
      </c>
    </row>
    <row r="1434" spans="2:9" hidden="1" x14ac:dyDescent="0.25">
      <c r="B1434" s="25" t="s">
        <v>3834</v>
      </c>
      <c r="C1434" s="25" t="s">
        <v>4631</v>
      </c>
      <c r="D1434" s="25">
        <v>0</v>
      </c>
      <c r="E1434" s="25" t="s">
        <v>4632</v>
      </c>
      <c r="F1434" s="26" t="str">
        <f t="shared" si="115"/>
        <v>A_ABV830110</v>
      </c>
      <c r="G1434" s="26" t="str">
        <f t="shared" si="121"/>
        <v>N/A</v>
      </c>
      <c r="H1434" s="27" t="str">
        <f t="shared" si="122"/>
        <v>HS830110IO_FB0.Mode</v>
      </c>
      <c r="I1434" s="23" t="str">
        <f t="shared" si="123"/>
        <v>N/A</v>
      </c>
    </row>
    <row r="1435" spans="2:9" hidden="1" x14ac:dyDescent="0.25">
      <c r="B1435" s="25" t="s">
        <v>3834</v>
      </c>
      <c r="C1435" s="25" t="s">
        <v>4633</v>
      </c>
      <c r="D1435" s="25">
        <v>0</v>
      </c>
      <c r="E1435" s="25" t="s">
        <v>4634</v>
      </c>
      <c r="F1435" s="26" t="str">
        <f t="shared" si="115"/>
        <v>A_ABV830111</v>
      </c>
      <c r="G1435" s="26" t="str">
        <f t="shared" si="121"/>
        <v>N/A</v>
      </c>
      <c r="H1435" s="27" t="str">
        <f t="shared" si="122"/>
        <v>HS830111IO_FB0.Mode</v>
      </c>
      <c r="I1435" s="23" t="str">
        <f t="shared" si="123"/>
        <v>N/A</v>
      </c>
    </row>
    <row r="1436" spans="2:9" hidden="1" x14ac:dyDescent="0.25">
      <c r="B1436" s="25" t="s">
        <v>3834</v>
      </c>
      <c r="C1436" s="25" t="s">
        <v>4635</v>
      </c>
      <c r="D1436" s="25">
        <v>0</v>
      </c>
      <c r="E1436" s="25" t="s">
        <v>4636</v>
      </c>
      <c r="F1436" s="26" t="str">
        <f t="shared" si="115"/>
        <v>A_ABV830212</v>
      </c>
      <c r="G1436" s="26" t="str">
        <f t="shared" si="121"/>
        <v>N/A</v>
      </c>
      <c r="H1436" s="27" t="str">
        <f t="shared" si="122"/>
        <v>HS830212IO_FB0.Mode</v>
      </c>
      <c r="I1436" s="23" t="str">
        <f t="shared" si="123"/>
        <v>N/A</v>
      </c>
    </row>
    <row r="1437" spans="2:9" hidden="1" x14ac:dyDescent="0.25">
      <c r="B1437" s="25" t="s">
        <v>3834</v>
      </c>
      <c r="C1437" s="25" t="s">
        <v>4637</v>
      </c>
      <c r="D1437" s="25">
        <v>0</v>
      </c>
      <c r="E1437" s="25" t="s">
        <v>4638</v>
      </c>
      <c r="F1437" s="26" t="str">
        <f t="shared" si="115"/>
        <v>A_ABV830212</v>
      </c>
      <c r="G1437" s="26" t="str">
        <f t="shared" si="121"/>
        <v>N/A</v>
      </c>
      <c r="H1437" s="27" t="str">
        <f t="shared" si="122"/>
        <v>HS830212IO_FB1.Mode</v>
      </c>
      <c r="I1437" s="23" t="str">
        <f t="shared" si="123"/>
        <v>N/A</v>
      </c>
    </row>
    <row r="1438" spans="2:9" hidden="1" x14ac:dyDescent="0.25">
      <c r="B1438" s="25" t="s">
        <v>3834</v>
      </c>
      <c r="C1438" s="25" t="s">
        <v>4639</v>
      </c>
      <c r="D1438" s="25">
        <v>0</v>
      </c>
      <c r="E1438" s="25" t="s">
        <v>4640</v>
      </c>
      <c r="F1438" s="26" t="str">
        <f t="shared" si="115"/>
        <v>A_EBV830306</v>
      </c>
      <c r="G1438" s="26" t="str">
        <f t="shared" si="121"/>
        <v>N/A</v>
      </c>
      <c r="H1438" s="27" t="str">
        <f t="shared" si="122"/>
        <v>HS830306FBCIO.Mode</v>
      </c>
      <c r="I1438" s="23" t="str">
        <f t="shared" si="123"/>
        <v>N/A</v>
      </c>
    </row>
    <row r="1439" spans="2:9" hidden="1" x14ac:dyDescent="0.25">
      <c r="B1439" s="25" t="s">
        <v>3834</v>
      </c>
      <c r="C1439" s="25" t="s">
        <v>4641</v>
      </c>
      <c r="D1439" s="25">
        <v>0</v>
      </c>
      <c r="E1439" s="25" t="s">
        <v>4642</v>
      </c>
      <c r="F1439" s="26" t="str">
        <f t="shared" si="115"/>
        <v>A_ABV830308</v>
      </c>
      <c r="G1439" s="26" t="str">
        <f t="shared" si="121"/>
        <v>N/A</v>
      </c>
      <c r="H1439" s="27" t="str">
        <f t="shared" si="122"/>
        <v>HS830308FBCIO.Mode</v>
      </c>
      <c r="I1439" s="23" t="str">
        <f t="shared" si="123"/>
        <v>N/A</v>
      </c>
    </row>
    <row r="1440" spans="2:9" hidden="1" x14ac:dyDescent="0.25">
      <c r="B1440" s="25" t="s">
        <v>3834</v>
      </c>
      <c r="C1440" s="25" t="s">
        <v>4643</v>
      </c>
      <c r="D1440" s="25">
        <v>0</v>
      </c>
      <c r="E1440" s="25" t="s">
        <v>4644</v>
      </c>
      <c r="F1440" s="26" t="str">
        <f t="shared" si="115"/>
        <v>A_ABV830309</v>
      </c>
      <c r="G1440" s="26" t="str">
        <f t="shared" si="121"/>
        <v>N/A</v>
      </c>
      <c r="H1440" s="27" t="str">
        <f t="shared" si="122"/>
        <v>HS830309IO_XGH.Mode</v>
      </c>
      <c r="I1440" s="23" t="str">
        <f t="shared" si="123"/>
        <v>N/A</v>
      </c>
    </row>
    <row r="1441" spans="2:9" hidden="1" x14ac:dyDescent="0.25">
      <c r="B1441" s="25" t="s">
        <v>3834</v>
      </c>
      <c r="C1441" s="25" t="s">
        <v>4645</v>
      </c>
      <c r="D1441" s="25">
        <v>0</v>
      </c>
      <c r="E1441" s="25" t="s">
        <v>4646</v>
      </c>
      <c r="F1441" s="26" t="str">
        <f t="shared" si="115"/>
        <v>A_ABV830309</v>
      </c>
      <c r="G1441" s="26" t="str">
        <f t="shared" si="121"/>
        <v>N/A</v>
      </c>
      <c r="H1441" s="27" t="str">
        <f t="shared" si="122"/>
        <v>HS830309IO_XGL.Mode</v>
      </c>
      <c r="I1441" s="23" t="str">
        <f t="shared" si="123"/>
        <v>N/A</v>
      </c>
    </row>
    <row r="1442" spans="2:9" hidden="1" x14ac:dyDescent="0.25">
      <c r="B1442" s="25" t="s">
        <v>3834</v>
      </c>
      <c r="C1442" s="25" t="s">
        <v>4647</v>
      </c>
      <c r="D1442" s="25">
        <v>0</v>
      </c>
      <c r="E1442" s="25" t="s">
        <v>4648</v>
      </c>
      <c r="F1442" s="26" t="str">
        <f t="shared" si="115"/>
        <v>A_EBV830317</v>
      </c>
      <c r="G1442" s="26" t="str">
        <f t="shared" si="121"/>
        <v>N/A</v>
      </c>
      <c r="H1442" s="27" t="str">
        <f t="shared" si="122"/>
        <v>HS830317FBCIO.Mode</v>
      </c>
      <c r="I1442" s="23" t="str">
        <f t="shared" si="123"/>
        <v>N/A</v>
      </c>
    </row>
    <row r="1443" spans="2:9" hidden="1" x14ac:dyDescent="0.25">
      <c r="B1443" s="25" t="s">
        <v>3834</v>
      </c>
      <c r="C1443" s="25" t="s">
        <v>4649</v>
      </c>
      <c r="D1443" s="25">
        <v>0</v>
      </c>
      <c r="E1443" s="25" t="s">
        <v>4650</v>
      </c>
      <c r="F1443" s="26" t="str">
        <f t="shared" si="115"/>
        <v>A_ABV830319</v>
      </c>
      <c r="G1443" s="26" t="str">
        <f t="shared" si="121"/>
        <v>N/A</v>
      </c>
      <c r="H1443" s="27" t="str">
        <f t="shared" si="122"/>
        <v>HS830319FBCIO.Mode</v>
      </c>
      <c r="I1443" s="23" t="str">
        <f t="shared" si="123"/>
        <v>N/A</v>
      </c>
    </row>
    <row r="1444" spans="2:9" hidden="1" x14ac:dyDescent="0.25">
      <c r="B1444" s="25" t="s">
        <v>3834</v>
      </c>
      <c r="C1444" s="25" t="s">
        <v>4651</v>
      </c>
      <c r="D1444" s="25">
        <v>0</v>
      </c>
      <c r="E1444" s="25" t="s">
        <v>4652</v>
      </c>
      <c r="F1444" s="26" t="str">
        <f t="shared" si="115"/>
        <v>A_ABV830320</v>
      </c>
      <c r="G1444" s="26" t="str">
        <f t="shared" si="121"/>
        <v>N/A</v>
      </c>
      <c r="H1444" s="27" t="str">
        <f t="shared" si="122"/>
        <v>HS830320IO_XGH.Mode</v>
      </c>
      <c r="I1444" s="23" t="str">
        <f t="shared" si="123"/>
        <v>N/A</v>
      </c>
    </row>
    <row r="1445" spans="2:9" hidden="1" x14ac:dyDescent="0.25">
      <c r="B1445" s="25" t="s">
        <v>3834</v>
      </c>
      <c r="C1445" s="25" t="s">
        <v>4653</v>
      </c>
      <c r="D1445" s="25">
        <v>0</v>
      </c>
      <c r="E1445" s="25" t="s">
        <v>4654</v>
      </c>
      <c r="F1445" s="26" t="str">
        <f t="shared" ref="F1445:F1508" si="124">+LEFT(E1445,FIND(".",E1445,1)-1)</f>
        <v>A_ABV830320</v>
      </c>
      <c r="G1445" s="26" t="str">
        <f t="shared" si="121"/>
        <v>N/A</v>
      </c>
      <c r="H1445" s="27" t="str">
        <f t="shared" si="122"/>
        <v>HS830320IO_XGL.Mode</v>
      </c>
      <c r="I1445" s="23" t="str">
        <f t="shared" si="123"/>
        <v>N/A</v>
      </c>
    </row>
    <row r="1446" spans="2:9" hidden="1" x14ac:dyDescent="0.25">
      <c r="B1446" s="25" t="s">
        <v>3834</v>
      </c>
      <c r="C1446" s="25" t="s">
        <v>4655</v>
      </c>
      <c r="D1446" s="25">
        <v>0</v>
      </c>
      <c r="E1446" s="25" t="s">
        <v>4656</v>
      </c>
      <c r="F1446" s="26" t="str">
        <f t="shared" si="124"/>
        <v>A_ABV830325</v>
      </c>
      <c r="G1446" s="26" t="str">
        <f t="shared" si="121"/>
        <v>N/A</v>
      </c>
      <c r="H1446" s="27" t="str">
        <f t="shared" si="122"/>
        <v>HS830325IO_FB0.Mode</v>
      </c>
      <c r="I1446" s="23" t="str">
        <f t="shared" si="123"/>
        <v>N/A</v>
      </c>
    </row>
    <row r="1447" spans="2:9" hidden="1" x14ac:dyDescent="0.25">
      <c r="B1447" s="25" t="s">
        <v>3834</v>
      </c>
      <c r="C1447" s="25" t="s">
        <v>4657</v>
      </c>
      <c r="D1447" s="25">
        <v>0</v>
      </c>
      <c r="E1447" s="25" t="s">
        <v>4658</v>
      </c>
      <c r="F1447" s="26" t="str">
        <f t="shared" si="124"/>
        <v>A_ABV830404</v>
      </c>
      <c r="G1447" s="26" t="str">
        <f t="shared" si="121"/>
        <v>N/A</v>
      </c>
      <c r="H1447" s="27" t="str">
        <f t="shared" si="122"/>
        <v>HS830404IO_FB0.Mode</v>
      </c>
      <c r="I1447" s="23" t="str">
        <f t="shared" si="123"/>
        <v>N/A</v>
      </c>
    </row>
    <row r="1448" spans="2:9" hidden="1" x14ac:dyDescent="0.25">
      <c r="B1448" s="25" t="s">
        <v>3834</v>
      </c>
      <c r="C1448" s="25" t="s">
        <v>4659</v>
      </c>
      <c r="D1448" s="25">
        <v>0</v>
      </c>
      <c r="E1448" s="25" t="s">
        <v>4660</v>
      </c>
      <c r="F1448" s="26" t="str">
        <f t="shared" si="124"/>
        <v>A_ABV830408</v>
      </c>
      <c r="G1448" s="26" t="str">
        <f t="shared" si="121"/>
        <v>N/A</v>
      </c>
      <c r="H1448" s="27" t="str">
        <f t="shared" si="122"/>
        <v>HS830408IO_FB0.Mode</v>
      </c>
      <c r="I1448" s="23" t="str">
        <f t="shared" si="123"/>
        <v>N/A</v>
      </c>
    </row>
    <row r="1449" spans="2:9" hidden="1" x14ac:dyDescent="0.25">
      <c r="B1449" s="25" t="s">
        <v>3834</v>
      </c>
      <c r="C1449" s="25" t="s">
        <v>4661</v>
      </c>
      <c r="D1449" s="25">
        <v>0</v>
      </c>
      <c r="E1449" s="25" t="s">
        <v>4662</v>
      </c>
      <c r="F1449" s="26" t="str">
        <f t="shared" si="124"/>
        <v>A_ABV830410</v>
      </c>
      <c r="G1449" s="26" t="str">
        <f t="shared" si="121"/>
        <v>N/A</v>
      </c>
      <c r="H1449" s="27" t="str">
        <f t="shared" si="122"/>
        <v>HS830410IO_FB0.Mode</v>
      </c>
      <c r="I1449" s="23" t="str">
        <f t="shared" si="123"/>
        <v>N/A</v>
      </c>
    </row>
    <row r="1450" spans="2:9" hidden="1" x14ac:dyDescent="0.25">
      <c r="B1450" s="25" t="s">
        <v>3834</v>
      </c>
      <c r="C1450" s="25" t="s">
        <v>4663</v>
      </c>
      <c r="D1450" s="25">
        <v>0</v>
      </c>
      <c r="E1450" s="25" t="s">
        <v>4664</v>
      </c>
      <c r="F1450" s="26" t="str">
        <f t="shared" si="124"/>
        <v>A_ABV830412</v>
      </c>
      <c r="G1450" s="26" t="str">
        <f t="shared" si="121"/>
        <v>N/A</v>
      </c>
      <c r="H1450" s="27" t="str">
        <f t="shared" si="122"/>
        <v>HS830412IO_FB0.Mode</v>
      </c>
      <c r="I1450" s="23" t="str">
        <f t="shared" si="123"/>
        <v>N/A</v>
      </c>
    </row>
    <row r="1451" spans="2:9" hidden="1" x14ac:dyDescent="0.25">
      <c r="B1451" s="25" t="s">
        <v>3834</v>
      </c>
      <c r="C1451" s="25" t="s">
        <v>4665</v>
      </c>
      <c r="D1451" s="25">
        <v>0</v>
      </c>
      <c r="E1451" s="25" t="s">
        <v>4666</v>
      </c>
      <c r="F1451" s="26" t="str">
        <f t="shared" si="124"/>
        <v>A_ABV830413</v>
      </c>
      <c r="G1451" s="26" t="str">
        <f t="shared" si="121"/>
        <v>N/A</v>
      </c>
      <c r="H1451" s="27" t="str">
        <f t="shared" si="122"/>
        <v>HS830413IO_FB0.Mode</v>
      </c>
      <c r="I1451" s="23" t="str">
        <f t="shared" si="123"/>
        <v>N/A</v>
      </c>
    </row>
    <row r="1452" spans="2:9" hidden="1" x14ac:dyDescent="0.25">
      <c r="B1452" s="25" t="s">
        <v>3834</v>
      </c>
      <c r="C1452" s="25" t="s">
        <v>4667</v>
      </c>
      <c r="D1452" s="25">
        <v>0</v>
      </c>
      <c r="E1452" s="25" t="s">
        <v>4668</v>
      </c>
      <c r="F1452" s="26" t="str">
        <f t="shared" si="124"/>
        <v>A_ABV830419</v>
      </c>
      <c r="G1452" s="26" t="str">
        <f t="shared" si="121"/>
        <v>N/A</v>
      </c>
      <c r="H1452" s="27" t="str">
        <f t="shared" si="122"/>
        <v>HS830419IO_FB0.Mode</v>
      </c>
      <c r="I1452" s="23" t="str">
        <f t="shared" si="123"/>
        <v>N/A</v>
      </c>
    </row>
    <row r="1453" spans="2:9" hidden="1" x14ac:dyDescent="0.25">
      <c r="B1453" s="25" t="s">
        <v>3834</v>
      </c>
      <c r="C1453" s="25" t="s">
        <v>4669</v>
      </c>
      <c r="D1453" s="25">
        <v>0</v>
      </c>
      <c r="E1453" s="25" t="s">
        <v>4670</v>
      </c>
      <c r="F1453" s="26" t="str">
        <f t="shared" si="124"/>
        <v>A_ABV830420</v>
      </c>
      <c r="G1453" s="26" t="str">
        <f t="shared" si="121"/>
        <v>N/A</v>
      </c>
      <c r="H1453" s="27" t="str">
        <f t="shared" si="122"/>
        <v>HS830420IO_FB0.Mode</v>
      </c>
      <c r="I1453" s="23" t="str">
        <f t="shared" si="123"/>
        <v>N/A</v>
      </c>
    </row>
    <row r="1454" spans="2:9" hidden="1" x14ac:dyDescent="0.25">
      <c r="B1454" s="25" t="s">
        <v>3834</v>
      </c>
      <c r="C1454" s="25" t="s">
        <v>4671</v>
      </c>
      <c r="D1454" s="25">
        <v>0</v>
      </c>
      <c r="E1454" s="25" t="s">
        <v>4672</v>
      </c>
      <c r="F1454" s="26" t="str">
        <f t="shared" si="124"/>
        <v>A_ABV830516</v>
      </c>
      <c r="G1454" s="26" t="str">
        <f t="shared" si="121"/>
        <v>N/A</v>
      </c>
      <c r="H1454" s="27" t="str">
        <f t="shared" si="122"/>
        <v>HS830516IO_FB0.Mode</v>
      </c>
      <c r="I1454" s="23" t="str">
        <f t="shared" si="123"/>
        <v>N/A</v>
      </c>
    </row>
    <row r="1455" spans="2:9" hidden="1" x14ac:dyDescent="0.25">
      <c r="B1455" s="25" t="s">
        <v>3834</v>
      </c>
      <c r="C1455" s="25" t="s">
        <v>4673</v>
      </c>
      <c r="D1455" s="25">
        <v>0</v>
      </c>
      <c r="E1455" s="25" t="s">
        <v>4674</v>
      </c>
      <c r="F1455" s="26" t="str">
        <f t="shared" si="124"/>
        <v>A_ABV830519</v>
      </c>
      <c r="G1455" s="26" t="str">
        <f t="shared" si="121"/>
        <v>N/A</v>
      </c>
      <c r="H1455" s="27" t="str">
        <f t="shared" si="122"/>
        <v>HS830519IO_FB0.Mode</v>
      </c>
      <c r="I1455" s="23" t="str">
        <f t="shared" si="123"/>
        <v>N/A</v>
      </c>
    </row>
    <row r="1456" spans="2:9" hidden="1" x14ac:dyDescent="0.25">
      <c r="B1456" s="25" t="s">
        <v>3834</v>
      </c>
      <c r="C1456" s="25" t="s">
        <v>4675</v>
      </c>
      <c r="D1456" s="25">
        <v>0</v>
      </c>
      <c r="E1456" s="25" t="s">
        <v>4676</v>
      </c>
      <c r="F1456" s="26" t="str">
        <f t="shared" si="124"/>
        <v>A_ABV830523</v>
      </c>
      <c r="G1456" s="26" t="str">
        <f t="shared" si="121"/>
        <v>N/A</v>
      </c>
      <c r="H1456" s="27" t="str">
        <f t="shared" ref="H1456:H1487" si="125">+CONCATENATE(C1456,".Mode")</f>
        <v>HS830523IO_XGL.Mode</v>
      </c>
      <c r="I1456" s="23" t="str">
        <f t="shared" ref="I1456:I1487" si="126">+G1456</f>
        <v>N/A</v>
      </c>
    </row>
    <row r="1457" spans="2:9" hidden="1" x14ac:dyDescent="0.25">
      <c r="B1457" s="25" t="s">
        <v>3834</v>
      </c>
      <c r="C1457" s="25" t="s">
        <v>4677</v>
      </c>
      <c r="D1457" s="25">
        <v>0</v>
      </c>
      <c r="E1457" s="25" t="s">
        <v>4678</v>
      </c>
      <c r="F1457" s="26" t="str">
        <f t="shared" si="124"/>
        <v>A_ABV830530</v>
      </c>
      <c r="G1457" s="26" t="str">
        <f t="shared" si="121"/>
        <v>N/A</v>
      </c>
      <c r="H1457" s="27" t="str">
        <f t="shared" si="125"/>
        <v>HS830530IO_XGL.Mode</v>
      </c>
      <c r="I1457" s="23" t="str">
        <f t="shared" si="126"/>
        <v>N/A</v>
      </c>
    </row>
    <row r="1458" spans="2:9" hidden="1" x14ac:dyDescent="0.25">
      <c r="B1458" s="25" t="s">
        <v>3834</v>
      </c>
      <c r="C1458" s="25" t="s">
        <v>4679</v>
      </c>
      <c r="D1458" s="25">
        <v>0</v>
      </c>
      <c r="E1458" s="25" t="s">
        <v>4680</v>
      </c>
      <c r="F1458" s="26" t="str">
        <f t="shared" si="124"/>
        <v>A_EBV830601</v>
      </c>
      <c r="G1458" s="26" t="str">
        <f t="shared" si="121"/>
        <v>N/A</v>
      </c>
      <c r="H1458" s="27" t="str">
        <f t="shared" si="125"/>
        <v>HS830601IO_FB0.Mode</v>
      </c>
      <c r="I1458" s="23" t="str">
        <f t="shared" si="126"/>
        <v>N/A</v>
      </c>
    </row>
    <row r="1459" spans="2:9" hidden="1" x14ac:dyDescent="0.25">
      <c r="B1459" s="25" t="s">
        <v>3834</v>
      </c>
      <c r="C1459" s="25" t="s">
        <v>4681</v>
      </c>
      <c r="D1459" s="25">
        <v>0</v>
      </c>
      <c r="E1459" s="25" t="s">
        <v>4682</v>
      </c>
      <c r="F1459" s="26" t="str">
        <f t="shared" si="124"/>
        <v>A_EBV830601</v>
      </c>
      <c r="G1459" s="26" t="str">
        <f t="shared" si="121"/>
        <v>N/A</v>
      </c>
      <c r="H1459" s="27" t="str">
        <f t="shared" si="125"/>
        <v>HS830601IO_FB1.Mode</v>
      </c>
      <c r="I1459" s="23" t="str">
        <f t="shared" si="126"/>
        <v>N/A</v>
      </c>
    </row>
    <row r="1460" spans="2:9" hidden="1" x14ac:dyDescent="0.25">
      <c r="B1460" s="25" t="s">
        <v>3834</v>
      </c>
      <c r="C1460" s="25" t="s">
        <v>4683</v>
      </c>
      <c r="D1460" s="25">
        <v>0</v>
      </c>
      <c r="E1460" s="25" t="s">
        <v>4684</v>
      </c>
      <c r="F1460" s="26" t="str">
        <f t="shared" si="124"/>
        <v>A_ABV830602</v>
      </c>
      <c r="G1460" s="26" t="str">
        <f t="shared" si="121"/>
        <v>N/A</v>
      </c>
      <c r="H1460" s="27" t="str">
        <f t="shared" si="125"/>
        <v>HS830602IO_FB0.Mode</v>
      </c>
      <c r="I1460" s="23" t="str">
        <f t="shared" si="126"/>
        <v>N/A</v>
      </c>
    </row>
    <row r="1461" spans="2:9" hidden="1" x14ac:dyDescent="0.25">
      <c r="B1461" s="25" t="s">
        <v>3834</v>
      </c>
      <c r="C1461" s="25" t="s">
        <v>4685</v>
      </c>
      <c r="D1461" s="25">
        <v>0</v>
      </c>
      <c r="E1461" s="25" t="s">
        <v>4686</v>
      </c>
      <c r="F1461" s="26" t="str">
        <f t="shared" si="124"/>
        <v>A_ABV830603</v>
      </c>
      <c r="G1461" s="26" t="str">
        <f t="shared" si="121"/>
        <v>N/A</v>
      </c>
      <c r="H1461" s="27" t="str">
        <f t="shared" si="125"/>
        <v>HS830603IO_FB0.Mode</v>
      </c>
      <c r="I1461" s="23" t="str">
        <f t="shared" si="126"/>
        <v>N/A</v>
      </c>
    </row>
    <row r="1462" spans="2:9" hidden="1" x14ac:dyDescent="0.25">
      <c r="B1462" s="25" t="s">
        <v>3834</v>
      </c>
      <c r="C1462" s="25" t="s">
        <v>4687</v>
      </c>
      <c r="D1462" s="25">
        <v>0</v>
      </c>
      <c r="E1462" s="25" t="s">
        <v>4688</v>
      </c>
      <c r="F1462" s="26" t="str">
        <f t="shared" si="124"/>
        <v>A_ABV830603</v>
      </c>
      <c r="G1462" s="26" t="str">
        <f t="shared" si="121"/>
        <v>N/A</v>
      </c>
      <c r="H1462" s="27" t="str">
        <f t="shared" si="125"/>
        <v>HS830603IO_FB1.Mode</v>
      </c>
      <c r="I1462" s="23" t="str">
        <f t="shared" si="126"/>
        <v>N/A</v>
      </c>
    </row>
    <row r="1463" spans="2:9" hidden="1" x14ac:dyDescent="0.25">
      <c r="B1463" s="25" t="s">
        <v>3834</v>
      </c>
      <c r="C1463" s="25" t="s">
        <v>4689</v>
      </c>
      <c r="D1463" s="25">
        <v>0</v>
      </c>
      <c r="E1463" s="25" t="s">
        <v>4690</v>
      </c>
      <c r="F1463" s="26" t="str">
        <f t="shared" si="124"/>
        <v>A_ABV830605</v>
      </c>
      <c r="G1463" s="26" t="str">
        <f t="shared" si="121"/>
        <v>N/A</v>
      </c>
      <c r="H1463" s="27" t="str">
        <f t="shared" si="125"/>
        <v>HS830605IO_FB0.Mode</v>
      </c>
      <c r="I1463" s="23" t="str">
        <f t="shared" si="126"/>
        <v>N/A</v>
      </c>
    </row>
    <row r="1464" spans="2:9" hidden="1" x14ac:dyDescent="0.25">
      <c r="B1464" s="25" t="s">
        <v>3834</v>
      </c>
      <c r="C1464" s="25" t="s">
        <v>4691</v>
      </c>
      <c r="D1464" s="25">
        <v>0</v>
      </c>
      <c r="E1464" s="25" t="s">
        <v>4692</v>
      </c>
      <c r="F1464" s="26" t="str">
        <f t="shared" si="124"/>
        <v>A_ABV830606</v>
      </c>
      <c r="G1464" s="26" t="str">
        <f t="shared" si="121"/>
        <v>N/A</v>
      </c>
      <c r="H1464" s="27" t="str">
        <f t="shared" si="125"/>
        <v>HS830606IO_FB0.Mode</v>
      </c>
      <c r="I1464" s="23" t="str">
        <f t="shared" si="126"/>
        <v>N/A</v>
      </c>
    </row>
    <row r="1465" spans="2:9" hidden="1" x14ac:dyDescent="0.25">
      <c r="B1465" s="25" t="s">
        <v>3834</v>
      </c>
      <c r="C1465" s="25" t="s">
        <v>4693</v>
      </c>
      <c r="D1465" s="25">
        <v>0</v>
      </c>
      <c r="E1465" s="25" t="s">
        <v>4694</v>
      </c>
      <c r="F1465" s="26" t="str">
        <f t="shared" si="124"/>
        <v>A_ABV830802</v>
      </c>
      <c r="G1465" s="26" t="str">
        <f t="shared" si="121"/>
        <v>N/A</v>
      </c>
      <c r="H1465" s="27" t="str">
        <f t="shared" si="125"/>
        <v>HS830802IO_FB0.Mode</v>
      </c>
      <c r="I1465" s="23" t="str">
        <f t="shared" si="126"/>
        <v>N/A</v>
      </c>
    </row>
    <row r="1466" spans="2:9" hidden="1" x14ac:dyDescent="0.25">
      <c r="B1466" s="25" t="s">
        <v>3834</v>
      </c>
      <c r="C1466" s="25" t="s">
        <v>4695</v>
      </c>
      <c r="D1466" s="25">
        <v>0</v>
      </c>
      <c r="E1466" s="25" t="s">
        <v>4696</v>
      </c>
      <c r="F1466" s="26" t="str">
        <f t="shared" si="124"/>
        <v>A_ABV830802</v>
      </c>
      <c r="G1466" s="26" t="str">
        <f t="shared" si="121"/>
        <v>N/A</v>
      </c>
      <c r="H1466" s="27" t="str">
        <f t="shared" si="125"/>
        <v>HS830802IO_FB1.Mode</v>
      </c>
      <c r="I1466" s="23" t="str">
        <f t="shared" si="126"/>
        <v>N/A</v>
      </c>
    </row>
    <row r="1467" spans="2:9" hidden="1" x14ac:dyDescent="0.25">
      <c r="B1467" s="25" t="s">
        <v>3834</v>
      </c>
      <c r="C1467" s="25" t="s">
        <v>4697</v>
      </c>
      <c r="D1467" s="25">
        <v>0</v>
      </c>
      <c r="E1467" s="25" t="s">
        <v>4698</v>
      </c>
      <c r="F1467" s="26" t="str">
        <f t="shared" si="124"/>
        <v>A_ABV830811</v>
      </c>
      <c r="G1467" s="26" t="str">
        <f t="shared" si="121"/>
        <v>N/A</v>
      </c>
      <c r="H1467" s="27" t="str">
        <f t="shared" si="125"/>
        <v>HS830811IO_FB0.Mode</v>
      </c>
      <c r="I1467" s="23" t="str">
        <f t="shared" si="126"/>
        <v>N/A</v>
      </c>
    </row>
    <row r="1468" spans="2:9" hidden="1" x14ac:dyDescent="0.25">
      <c r="B1468" s="25" t="s">
        <v>3834</v>
      </c>
      <c r="C1468" s="25" t="s">
        <v>4699</v>
      </c>
      <c r="D1468" s="25">
        <v>0</v>
      </c>
      <c r="E1468" s="25" t="s">
        <v>4700</v>
      </c>
      <c r="F1468" s="26" t="str">
        <f t="shared" si="124"/>
        <v>A_ABV830841</v>
      </c>
      <c r="G1468" s="26" t="str">
        <f t="shared" si="121"/>
        <v>N/A</v>
      </c>
      <c r="H1468" s="27" t="str">
        <f t="shared" si="125"/>
        <v>HS830841IO_FB0.Mode</v>
      </c>
      <c r="I1468" s="23" t="str">
        <f t="shared" si="126"/>
        <v>N/A</v>
      </c>
    </row>
    <row r="1469" spans="2:9" hidden="1" x14ac:dyDescent="0.25">
      <c r="B1469" s="25" t="s">
        <v>3834</v>
      </c>
      <c r="C1469" s="25" t="s">
        <v>4701</v>
      </c>
      <c r="D1469" s="25">
        <v>0</v>
      </c>
      <c r="E1469" s="25" t="s">
        <v>4702</v>
      </c>
      <c r="F1469" s="26" t="str">
        <f t="shared" si="124"/>
        <v>A_ABV830855</v>
      </c>
      <c r="G1469" s="26" t="str">
        <f t="shared" si="121"/>
        <v>N/A</v>
      </c>
      <c r="H1469" s="27" t="str">
        <f t="shared" si="125"/>
        <v>HS830855IO_FB0.Mode</v>
      </c>
      <c r="I1469" s="23" t="str">
        <f t="shared" si="126"/>
        <v>N/A</v>
      </c>
    </row>
    <row r="1470" spans="2:9" hidden="1" x14ac:dyDescent="0.25">
      <c r="B1470" s="25" t="s">
        <v>3834</v>
      </c>
      <c r="C1470" s="25" t="s">
        <v>4703</v>
      </c>
      <c r="D1470" s="25">
        <v>0</v>
      </c>
      <c r="E1470" s="25" t="s">
        <v>4704</v>
      </c>
      <c r="F1470" s="26" t="str">
        <f t="shared" si="124"/>
        <v>A_ABV830903</v>
      </c>
      <c r="G1470" s="26" t="str">
        <f t="shared" si="121"/>
        <v>N/A</v>
      </c>
      <c r="H1470" s="27" t="str">
        <f t="shared" si="125"/>
        <v>HS830903IO_XGL.Mode</v>
      </c>
      <c r="I1470" s="23" t="str">
        <f t="shared" si="126"/>
        <v>N/A</v>
      </c>
    </row>
    <row r="1471" spans="2:9" hidden="1" x14ac:dyDescent="0.25">
      <c r="B1471" s="25" t="s">
        <v>3834</v>
      </c>
      <c r="C1471" s="25" t="s">
        <v>4705</v>
      </c>
      <c r="D1471" s="25">
        <v>0</v>
      </c>
      <c r="E1471" s="25" t="s">
        <v>4706</v>
      </c>
      <c r="F1471" s="26" t="str">
        <f t="shared" si="124"/>
        <v>A_ABV830906</v>
      </c>
      <c r="G1471" s="26" t="str">
        <f t="shared" si="121"/>
        <v>N/A</v>
      </c>
      <c r="H1471" s="27" t="str">
        <f t="shared" si="125"/>
        <v>HS830906IO_FB0.Mode</v>
      </c>
      <c r="I1471" s="23" t="str">
        <f t="shared" si="126"/>
        <v>N/A</v>
      </c>
    </row>
    <row r="1472" spans="2:9" hidden="1" x14ac:dyDescent="0.25">
      <c r="B1472" s="25" t="s">
        <v>3834</v>
      </c>
      <c r="C1472" s="25" t="s">
        <v>4707</v>
      </c>
      <c r="D1472" s="25">
        <v>0</v>
      </c>
      <c r="E1472" s="25" t="s">
        <v>4708</v>
      </c>
      <c r="F1472" s="26" t="str">
        <f t="shared" si="124"/>
        <v>A_ABV830910</v>
      </c>
      <c r="G1472" s="26" t="str">
        <f t="shared" si="121"/>
        <v>N/A</v>
      </c>
      <c r="H1472" s="27" t="str">
        <f t="shared" si="125"/>
        <v>HS830910IO_FB0.Mode</v>
      </c>
      <c r="I1472" s="23" t="str">
        <f t="shared" si="126"/>
        <v>N/A</v>
      </c>
    </row>
    <row r="1473" spans="2:9" hidden="1" x14ac:dyDescent="0.25">
      <c r="B1473" s="25" t="s">
        <v>3834</v>
      </c>
      <c r="C1473" s="25" t="s">
        <v>4709</v>
      </c>
      <c r="D1473" s="25">
        <v>0</v>
      </c>
      <c r="E1473" s="25" t="s">
        <v>4710</v>
      </c>
      <c r="F1473" s="26" t="str">
        <f t="shared" si="124"/>
        <v>A_ABV830913</v>
      </c>
      <c r="G1473" s="26" t="str">
        <f t="shared" si="121"/>
        <v>N/A</v>
      </c>
      <c r="H1473" s="27" t="str">
        <f t="shared" si="125"/>
        <v>HS830913IO_FB0.Mode</v>
      </c>
      <c r="I1473" s="23" t="str">
        <f t="shared" si="126"/>
        <v>N/A</v>
      </c>
    </row>
    <row r="1474" spans="2:9" hidden="1" x14ac:dyDescent="0.25">
      <c r="B1474" s="25" t="s">
        <v>3834</v>
      </c>
      <c r="C1474" s="25" t="s">
        <v>4711</v>
      </c>
      <c r="D1474" s="25">
        <v>0</v>
      </c>
      <c r="E1474" s="25" t="s">
        <v>4712</v>
      </c>
      <c r="F1474" s="26" t="str">
        <f t="shared" si="124"/>
        <v>A_ABV830928</v>
      </c>
      <c r="G1474" s="26" t="str">
        <f t="shared" ref="G1474:G1537" si="127">+IFERROR(IF(VLOOKUP(F1474,DI,2,FALSE)="IO",2,0),"N/A")</f>
        <v>N/A</v>
      </c>
      <c r="H1474" s="27" t="str">
        <f t="shared" si="125"/>
        <v>HS830928IO_FB0.Mode</v>
      </c>
      <c r="I1474" s="23" t="str">
        <f t="shared" si="126"/>
        <v>N/A</v>
      </c>
    </row>
    <row r="1475" spans="2:9" hidden="1" x14ac:dyDescent="0.25">
      <c r="B1475" s="25" t="s">
        <v>3834</v>
      </c>
      <c r="C1475" s="25" t="s">
        <v>4713</v>
      </c>
      <c r="D1475" s="25">
        <v>0</v>
      </c>
      <c r="E1475" s="25" t="s">
        <v>4714</v>
      </c>
      <c r="F1475" s="26" t="str">
        <f t="shared" si="124"/>
        <v>A_ABV830929</v>
      </c>
      <c r="G1475" s="26" t="str">
        <f t="shared" si="127"/>
        <v>N/A</v>
      </c>
      <c r="H1475" s="27" t="str">
        <f t="shared" si="125"/>
        <v>HS830929IO_FB0.Mode</v>
      </c>
      <c r="I1475" s="23" t="str">
        <f t="shared" si="126"/>
        <v>N/A</v>
      </c>
    </row>
    <row r="1476" spans="2:9" hidden="1" x14ac:dyDescent="0.25">
      <c r="B1476" s="25" t="s">
        <v>3834</v>
      </c>
      <c r="C1476" s="25" t="s">
        <v>4715</v>
      </c>
      <c r="D1476" s="25">
        <v>0</v>
      </c>
      <c r="E1476" s="25" t="s">
        <v>4716</v>
      </c>
      <c r="F1476" s="26" t="str">
        <f t="shared" si="124"/>
        <v>A_ABV830935</v>
      </c>
      <c r="G1476" s="26" t="str">
        <f t="shared" si="127"/>
        <v>N/A</v>
      </c>
      <c r="H1476" s="27" t="str">
        <f t="shared" si="125"/>
        <v>HS830935IO_FB0.Mode</v>
      </c>
      <c r="I1476" s="23" t="str">
        <f t="shared" si="126"/>
        <v>N/A</v>
      </c>
    </row>
    <row r="1477" spans="2:9" hidden="1" x14ac:dyDescent="0.25">
      <c r="B1477" s="25" t="s">
        <v>3834</v>
      </c>
      <c r="C1477" s="25" t="s">
        <v>4717</v>
      </c>
      <c r="D1477" s="25">
        <v>0</v>
      </c>
      <c r="E1477" s="25" t="s">
        <v>4718</v>
      </c>
      <c r="F1477" s="26" t="str">
        <f t="shared" si="124"/>
        <v>A_ABV830936</v>
      </c>
      <c r="G1477" s="26" t="str">
        <f t="shared" si="127"/>
        <v>N/A</v>
      </c>
      <c r="H1477" s="27" t="str">
        <f t="shared" si="125"/>
        <v>HS830936IO_FB0.Mode</v>
      </c>
      <c r="I1477" s="23" t="str">
        <f t="shared" si="126"/>
        <v>N/A</v>
      </c>
    </row>
    <row r="1478" spans="2:9" hidden="1" x14ac:dyDescent="0.25">
      <c r="B1478" s="25" t="s">
        <v>3834</v>
      </c>
      <c r="C1478" s="25" t="s">
        <v>4719</v>
      </c>
      <c r="D1478" s="25">
        <v>0</v>
      </c>
      <c r="E1478" s="25" t="s">
        <v>4720</v>
      </c>
      <c r="F1478" s="26" t="str">
        <f t="shared" si="124"/>
        <v>A_ABV830945</v>
      </c>
      <c r="G1478" s="26" t="str">
        <f t="shared" si="127"/>
        <v>N/A</v>
      </c>
      <c r="H1478" s="27" t="str">
        <f t="shared" si="125"/>
        <v>HS830945IO_FB0.Mode</v>
      </c>
      <c r="I1478" s="23" t="str">
        <f t="shared" si="126"/>
        <v>N/A</v>
      </c>
    </row>
    <row r="1479" spans="2:9" hidden="1" x14ac:dyDescent="0.25">
      <c r="B1479" s="25" t="s">
        <v>3834</v>
      </c>
      <c r="C1479" s="25" t="s">
        <v>4721</v>
      </c>
      <c r="D1479" s="25">
        <v>0</v>
      </c>
      <c r="E1479" s="25" t="s">
        <v>4722</v>
      </c>
      <c r="F1479" s="26" t="str">
        <f t="shared" si="124"/>
        <v>A_ABV831001</v>
      </c>
      <c r="G1479" s="26" t="str">
        <f t="shared" si="127"/>
        <v>N/A</v>
      </c>
      <c r="H1479" s="27" t="str">
        <f t="shared" si="125"/>
        <v>HS831001IO_FB0.Mode</v>
      </c>
      <c r="I1479" s="23" t="str">
        <f t="shared" si="126"/>
        <v>N/A</v>
      </c>
    </row>
    <row r="1480" spans="2:9" hidden="1" x14ac:dyDescent="0.25">
      <c r="B1480" s="25" t="s">
        <v>3834</v>
      </c>
      <c r="C1480" s="25" t="s">
        <v>4723</v>
      </c>
      <c r="D1480" s="25">
        <v>0</v>
      </c>
      <c r="E1480" s="25" t="s">
        <v>4724</v>
      </c>
      <c r="F1480" s="26" t="str">
        <f t="shared" si="124"/>
        <v>A_ABV831002</v>
      </c>
      <c r="G1480" s="26" t="str">
        <f t="shared" si="127"/>
        <v>N/A</v>
      </c>
      <c r="H1480" s="27" t="str">
        <f t="shared" si="125"/>
        <v>HS831002IO_FB0.Mode</v>
      </c>
      <c r="I1480" s="23" t="str">
        <f t="shared" si="126"/>
        <v>N/A</v>
      </c>
    </row>
    <row r="1481" spans="2:9" hidden="1" x14ac:dyDescent="0.25">
      <c r="B1481" s="25" t="s">
        <v>3834</v>
      </c>
      <c r="C1481" s="25" t="s">
        <v>4725</v>
      </c>
      <c r="D1481" s="25">
        <v>0</v>
      </c>
      <c r="E1481" s="25" t="s">
        <v>4726</v>
      </c>
      <c r="F1481" s="26" t="str">
        <f t="shared" si="124"/>
        <v>A_ABV831003</v>
      </c>
      <c r="G1481" s="26" t="str">
        <f t="shared" si="127"/>
        <v>N/A</v>
      </c>
      <c r="H1481" s="27" t="str">
        <f t="shared" si="125"/>
        <v>HS831003IO_FB0.Mode</v>
      </c>
      <c r="I1481" s="23" t="str">
        <f t="shared" si="126"/>
        <v>N/A</v>
      </c>
    </row>
    <row r="1482" spans="2:9" hidden="1" x14ac:dyDescent="0.25">
      <c r="B1482" s="25" t="s">
        <v>3834</v>
      </c>
      <c r="C1482" s="25" t="s">
        <v>4727</v>
      </c>
      <c r="D1482" s="25">
        <v>0</v>
      </c>
      <c r="E1482" s="25" t="s">
        <v>4728</v>
      </c>
      <c r="F1482" s="26" t="str">
        <f t="shared" si="124"/>
        <v>A_ABV831005</v>
      </c>
      <c r="G1482" s="26" t="str">
        <f t="shared" si="127"/>
        <v>N/A</v>
      </c>
      <c r="H1482" s="27" t="str">
        <f t="shared" si="125"/>
        <v>HS831005IO_FB0.Mode</v>
      </c>
      <c r="I1482" s="23" t="str">
        <f t="shared" si="126"/>
        <v>N/A</v>
      </c>
    </row>
    <row r="1483" spans="2:9" hidden="1" x14ac:dyDescent="0.25">
      <c r="B1483" s="25" t="s">
        <v>3834</v>
      </c>
      <c r="C1483" s="25" t="s">
        <v>4729</v>
      </c>
      <c r="D1483" s="25">
        <v>0</v>
      </c>
      <c r="E1483" s="25" t="s">
        <v>4730</v>
      </c>
      <c r="F1483" s="26" t="str">
        <f t="shared" si="124"/>
        <v>A_ABV831010</v>
      </c>
      <c r="G1483" s="26" t="str">
        <f t="shared" si="127"/>
        <v>N/A</v>
      </c>
      <c r="H1483" s="27" t="str">
        <f t="shared" si="125"/>
        <v>HS831010IO_FB0.Mode</v>
      </c>
      <c r="I1483" s="23" t="str">
        <f t="shared" si="126"/>
        <v>N/A</v>
      </c>
    </row>
    <row r="1484" spans="2:9" hidden="1" x14ac:dyDescent="0.25">
      <c r="B1484" s="25" t="s">
        <v>3834</v>
      </c>
      <c r="C1484" s="25" t="s">
        <v>4731</v>
      </c>
      <c r="D1484" s="25">
        <v>0</v>
      </c>
      <c r="E1484" s="25" t="s">
        <v>4732</v>
      </c>
      <c r="F1484" s="26" t="str">
        <f t="shared" si="124"/>
        <v>A_ABV831012</v>
      </c>
      <c r="G1484" s="26" t="str">
        <f t="shared" si="127"/>
        <v>N/A</v>
      </c>
      <c r="H1484" s="27" t="str">
        <f t="shared" si="125"/>
        <v>HS831012IO_FB0.Mode</v>
      </c>
      <c r="I1484" s="23" t="str">
        <f t="shared" si="126"/>
        <v>N/A</v>
      </c>
    </row>
    <row r="1485" spans="2:9" hidden="1" x14ac:dyDescent="0.25">
      <c r="B1485" s="25" t="s">
        <v>3834</v>
      </c>
      <c r="C1485" s="25" t="s">
        <v>4733</v>
      </c>
      <c r="D1485" s="25">
        <v>0</v>
      </c>
      <c r="E1485" s="25" t="s">
        <v>4734</v>
      </c>
      <c r="F1485" s="26" t="str">
        <f t="shared" si="124"/>
        <v>A_ABV831013</v>
      </c>
      <c r="G1485" s="26" t="str">
        <f t="shared" si="127"/>
        <v>N/A</v>
      </c>
      <c r="H1485" s="27" t="str">
        <f t="shared" si="125"/>
        <v>HS831013IO_FB0.Mode</v>
      </c>
      <c r="I1485" s="23" t="str">
        <f t="shared" si="126"/>
        <v>N/A</v>
      </c>
    </row>
    <row r="1486" spans="2:9" hidden="1" x14ac:dyDescent="0.25">
      <c r="B1486" s="25" t="s">
        <v>3834</v>
      </c>
      <c r="C1486" s="25" t="s">
        <v>4735</v>
      </c>
      <c r="D1486" s="25">
        <v>0</v>
      </c>
      <c r="E1486" s="25" t="s">
        <v>4736</v>
      </c>
      <c r="F1486" s="26" t="str">
        <f t="shared" si="124"/>
        <v>A_ABV831014</v>
      </c>
      <c r="G1486" s="26" t="str">
        <f t="shared" si="127"/>
        <v>N/A</v>
      </c>
      <c r="H1486" s="27" t="str">
        <f t="shared" si="125"/>
        <v>HS831014IO_FB0.Mode</v>
      </c>
      <c r="I1486" s="23" t="str">
        <f t="shared" si="126"/>
        <v>N/A</v>
      </c>
    </row>
    <row r="1487" spans="2:9" hidden="1" x14ac:dyDescent="0.25">
      <c r="B1487" s="25" t="s">
        <v>3834</v>
      </c>
      <c r="C1487" s="25" t="s">
        <v>4737</v>
      </c>
      <c r="D1487" s="25">
        <v>2</v>
      </c>
      <c r="E1487" s="25" t="s">
        <v>4738</v>
      </c>
      <c r="F1487" s="26" t="str">
        <f t="shared" si="124"/>
        <v>A_ABV831015</v>
      </c>
      <c r="G1487" s="26" t="str">
        <f t="shared" si="127"/>
        <v>N/A</v>
      </c>
      <c r="H1487" s="27" t="str">
        <f t="shared" si="125"/>
        <v>HS831015IO_FB0.Mode</v>
      </c>
      <c r="I1487" s="23" t="str">
        <f t="shared" si="126"/>
        <v>N/A</v>
      </c>
    </row>
    <row r="1488" spans="2:9" hidden="1" x14ac:dyDescent="0.25">
      <c r="B1488" s="25" t="s">
        <v>3834</v>
      </c>
      <c r="C1488" s="25" t="s">
        <v>4739</v>
      </c>
      <c r="D1488" s="25">
        <v>0</v>
      </c>
      <c r="E1488" s="25" t="s">
        <v>4740</v>
      </c>
      <c r="F1488" s="26" t="str">
        <f t="shared" si="124"/>
        <v>A_ABV831105</v>
      </c>
      <c r="G1488" s="26" t="str">
        <f t="shared" si="127"/>
        <v>N/A</v>
      </c>
      <c r="H1488" s="27" t="str">
        <f t="shared" ref="H1488:H1500" si="128">+CONCATENATE(C1488,".Mode")</f>
        <v>HS831105IO_FB0.Mode</v>
      </c>
      <c r="I1488" s="23" t="str">
        <f t="shared" ref="I1488:I1500" si="129">+G1488</f>
        <v>N/A</v>
      </c>
    </row>
    <row r="1489" spans="2:9" hidden="1" x14ac:dyDescent="0.25">
      <c r="B1489" s="25" t="s">
        <v>3834</v>
      </c>
      <c r="C1489" s="25" t="s">
        <v>4741</v>
      </c>
      <c r="D1489" s="25">
        <v>0</v>
      </c>
      <c r="E1489" s="25" t="s">
        <v>4742</v>
      </c>
      <c r="F1489" s="26" t="str">
        <f t="shared" si="124"/>
        <v>A_ABV831111</v>
      </c>
      <c r="G1489" s="26" t="str">
        <f t="shared" si="127"/>
        <v>N/A</v>
      </c>
      <c r="H1489" s="27" t="str">
        <f t="shared" si="128"/>
        <v>HS831111IO_FB0.Mode</v>
      </c>
      <c r="I1489" s="23" t="str">
        <f t="shared" si="129"/>
        <v>N/A</v>
      </c>
    </row>
    <row r="1490" spans="2:9" hidden="1" x14ac:dyDescent="0.25">
      <c r="B1490" s="25" t="s">
        <v>3834</v>
      </c>
      <c r="C1490" s="25" t="s">
        <v>4743</v>
      </c>
      <c r="D1490" s="25">
        <v>0</v>
      </c>
      <c r="E1490" s="25" t="s">
        <v>4744</v>
      </c>
      <c r="F1490" s="26" t="str">
        <f t="shared" si="124"/>
        <v>A_ABV831115</v>
      </c>
      <c r="G1490" s="26" t="str">
        <f t="shared" si="127"/>
        <v>N/A</v>
      </c>
      <c r="H1490" s="27" t="str">
        <f t="shared" si="128"/>
        <v>HS831115IO_FB0.Mode</v>
      </c>
      <c r="I1490" s="23" t="str">
        <f t="shared" si="129"/>
        <v>N/A</v>
      </c>
    </row>
    <row r="1491" spans="2:9" hidden="1" x14ac:dyDescent="0.25">
      <c r="B1491" s="25" t="s">
        <v>3834</v>
      </c>
      <c r="C1491" s="25" t="s">
        <v>4745</v>
      </c>
      <c r="D1491" s="25">
        <v>0</v>
      </c>
      <c r="E1491" s="25" t="s">
        <v>4746</v>
      </c>
      <c r="F1491" s="26" t="str">
        <f t="shared" si="124"/>
        <v>A_ABV831116</v>
      </c>
      <c r="G1491" s="26" t="str">
        <f t="shared" si="127"/>
        <v>N/A</v>
      </c>
      <c r="H1491" s="27" t="str">
        <f t="shared" si="128"/>
        <v>HS831116IO_FB0.Mode</v>
      </c>
      <c r="I1491" s="23" t="str">
        <f t="shared" si="129"/>
        <v>N/A</v>
      </c>
    </row>
    <row r="1492" spans="2:9" hidden="1" x14ac:dyDescent="0.25">
      <c r="B1492" s="25" t="s">
        <v>3834</v>
      </c>
      <c r="C1492" s="25" t="s">
        <v>4747</v>
      </c>
      <c r="D1492" s="25">
        <v>0</v>
      </c>
      <c r="E1492" s="25" t="s">
        <v>4748</v>
      </c>
      <c r="F1492" s="26" t="str">
        <f t="shared" si="124"/>
        <v>A_ABV831116</v>
      </c>
      <c r="G1492" s="26" t="str">
        <f t="shared" si="127"/>
        <v>N/A</v>
      </c>
      <c r="H1492" s="27" t="str">
        <f t="shared" si="128"/>
        <v>HS831116IO_FB1.Mode</v>
      </c>
      <c r="I1492" s="23" t="str">
        <f t="shared" si="129"/>
        <v>N/A</v>
      </c>
    </row>
    <row r="1493" spans="2:9" hidden="1" x14ac:dyDescent="0.25">
      <c r="B1493" s="25" t="s">
        <v>3834</v>
      </c>
      <c r="C1493" s="25" t="s">
        <v>4749</v>
      </c>
      <c r="D1493" s="25">
        <v>0</v>
      </c>
      <c r="E1493" s="25" t="s">
        <v>4750</v>
      </c>
      <c r="F1493" s="26" t="str">
        <f t="shared" si="124"/>
        <v>A_ABV831117</v>
      </c>
      <c r="G1493" s="26" t="str">
        <f t="shared" si="127"/>
        <v>N/A</v>
      </c>
      <c r="H1493" s="27" t="str">
        <f t="shared" si="128"/>
        <v>HS831117IO_FB0.Mode</v>
      </c>
      <c r="I1493" s="23" t="str">
        <f t="shared" si="129"/>
        <v>N/A</v>
      </c>
    </row>
    <row r="1494" spans="2:9" hidden="1" x14ac:dyDescent="0.25">
      <c r="B1494" s="25" t="s">
        <v>3834</v>
      </c>
      <c r="C1494" s="25" t="s">
        <v>4751</v>
      </c>
      <c r="D1494" s="25">
        <v>0</v>
      </c>
      <c r="E1494" s="25" t="s">
        <v>4752</v>
      </c>
      <c r="F1494" s="26" t="str">
        <f t="shared" si="124"/>
        <v>A_ABV831127</v>
      </c>
      <c r="G1494" s="26" t="str">
        <f t="shared" si="127"/>
        <v>N/A</v>
      </c>
      <c r="H1494" s="27" t="str">
        <f t="shared" si="128"/>
        <v>HS831127IO_FB0.Mode</v>
      </c>
      <c r="I1494" s="23" t="str">
        <f t="shared" si="129"/>
        <v>N/A</v>
      </c>
    </row>
    <row r="1495" spans="2:9" hidden="1" x14ac:dyDescent="0.25">
      <c r="B1495" s="25" t="s">
        <v>3834</v>
      </c>
      <c r="C1495" s="25" t="s">
        <v>4753</v>
      </c>
      <c r="D1495" s="25">
        <v>0</v>
      </c>
      <c r="E1495" s="25" t="s">
        <v>4754</v>
      </c>
      <c r="F1495" s="26" t="str">
        <f t="shared" si="124"/>
        <v>A_ABV831205</v>
      </c>
      <c r="G1495" s="26" t="str">
        <f t="shared" si="127"/>
        <v>N/A</v>
      </c>
      <c r="H1495" s="27" t="str">
        <f t="shared" si="128"/>
        <v>HS831205IO_FB0.Mode</v>
      </c>
      <c r="I1495" s="23" t="str">
        <f t="shared" si="129"/>
        <v>N/A</v>
      </c>
    </row>
    <row r="1496" spans="2:9" hidden="1" x14ac:dyDescent="0.25">
      <c r="B1496" s="25" t="s">
        <v>3834</v>
      </c>
      <c r="C1496" s="25" t="s">
        <v>4755</v>
      </c>
      <c r="D1496" s="25">
        <v>0</v>
      </c>
      <c r="E1496" s="25" t="s">
        <v>4756</v>
      </c>
      <c r="F1496" s="26" t="str">
        <f t="shared" si="124"/>
        <v>A_ABV831211</v>
      </c>
      <c r="G1496" s="26" t="str">
        <f t="shared" si="127"/>
        <v>N/A</v>
      </c>
      <c r="H1496" s="27" t="str">
        <f t="shared" si="128"/>
        <v>HS831211IO_FB0.Mode</v>
      </c>
      <c r="I1496" s="23" t="str">
        <f t="shared" si="129"/>
        <v>N/A</v>
      </c>
    </row>
    <row r="1497" spans="2:9" hidden="1" x14ac:dyDescent="0.25">
      <c r="B1497" s="25" t="s">
        <v>3834</v>
      </c>
      <c r="C1497" s="25" t="s">
        <v>4757</v>
      </c>
      <c r="D1497" s="25">
        <v>0</v>
      </c>
      <c r="E1497" s="25" t="s">
        <v>4758</v>
      </c>
      <c r="F1497" s="26" t="str">
        <f t="shared" si="124"/>
        <v>A_ABV831215</v>
      </c>
      <c r="G1497" s="26" t="str">
        <f t="shared" si="127"/>
        <v>N/A</v>
      </c>
      <c r="H1497" s="27" t="str">
        <f t="shared" si="128"/>
        <v>HS831215IO_FB0.Mode</v>
      </c>
      <c r="I1497" s="23" t="str">
        <f t="shared" si="129"/>
        <v>N/A</v>
      </c>
    </row>
    <row r="1498" spans="2:9" hidden="1" x14ac:dyDescent="0.25">
      <c r="B1498" s="25" t="s">
        <v>3834</v>
      </c>
      <c r="C1498" s="25" t="s">
        <v>4759</v>
      </c>
      <c r="D1498" s="25">
        <v>0</v>
      </c>
      <c r="E1498" s="25" t="s">
        <v>4760</v>
      </c>
      <c r="F1498" s="26" t="str">
        <f t="shared" si="124"/>
        <v>A_ABV831217</v>
      </c>
      <c r="G1498" s="26" t="str">
        <f t="shared" si="127"/>
        <v>N/A</v>
      </c>
      <c r="H1498" s="27" t="str">
        <f t="shared" si="128"/>
        <v>HS831217IO_FB0.Mode</v>
      </c>
      <c r="I1498" s="23" t="str">
        <f t="shared" si="129"/>
        <v>N/A</v>
      </c>
    </row>
    <row r="1499" spans="2:9" hidden="1" x14ac:dyDescent="0.25">
      <c r="B1499" s="25" t="s">
        <v>3834</v>
      </c>
      <c r="C1499" s="25" t="s">
        <v>4761</v>
      </c>
      <c r="D1499" s="25">
        <v>0</v>
      </c>
      <c r="E1499" s="25" t="s">
        <v>4762</v>
      </c>
      <c r="F1499" s="26" t="str">
        <f t="shared" si="124"/>
        <v>A_ABV831218</v>
      </c>
      <c r="G1499" s="26" t="str">
        <f t="shared" si="127"/>
        <v>N/A</v>
      </c>
      <c r="H1499" s="27" t="str">
        <f t="shared" si="128"/>
        <v>HS831218IO_FB0.Mode</v>
      </c>
      <c r="I1499" s="23" t="str">
        <f t="shared" si="129"/>
        <v>N/A</v>
      </c>
    </row>
    <row r="1500" spans="2:9" hidden="1" x14ac:dyDescent="0.25">
      <c r="B1500" s="25" t="s">
        <v>3834</v>
      </c>
      <c r="C1500" s="25" t="s">
        <v>4763</v>
      </c>
      <c r="D1500" s="25">
        <v>0</v>
      </c>
      <c r="E1500" s="25" t="s">
        <v>4764</v>
      </c>
      <c r="F1500" s="26" t="str">
        <f t="shared" si="124"/>
        <v>A_ABV831218</v>
      </c>
      <c r="G1500" s="26" t="str">
        <f t="shared" si="127"/>
        <v>N/A</v>
      </c>
      <c r="H1500" s="27" t="str">
        <f t="shared" si="128"/>
        <v>HS831218IO_FB1.Mode</v>
      </c>
      <c r="I1500" s="23" t="str">
        <f t="shared" si="129"/>
        <v>N/A</v>
      </c>
    </row>
    <row r="1501" spans="2:9" hidden="1" x14ac:dyDescent="0.25">
      <c r="B1501" s="25" t="s">
        <v>3834</v>
      </c>
      <c r="C1501" s="25" t="s">
        <v>4765</v>
      </c>
      <c r="D1501" s="25">
        <v>0</v>
      </c>
      <c r="E1501" s="25" t="s">
        <v>4766</v>
      </c>
      <c r="F1501" s="26" t="str">
        <f t="shared" si="124"/>
        <v>A_ABV831224</v>
      </c>
      <c r="G1501" s="26" t="str">
        <f t="shared" si="127"/>
        <v>N/A</v>
      </c>
      <c r="H1501" s="27" t="str">
        <f>+CONCATENATE(C1501,".MA")</f>
        <v>HS831224IO_FB0.MA</v>
      </c>
      <c r="I1501" s="23" t="str">
        <f>+G1501</f>
        <v>N/A</v>
      </c>
    </row>
    <row r="1502" spans="2:9" hidden="1" x14ac:dyDescent="0.25">
      <c r="B1502" s="25" t="s">
        <v>3834</v>
      </c>
      <c r="C1502" s="25" t="s">
        <v>4767</v>
      </c>
      <c r="D1502" s="25">
        <v>0</v>
      </c>
      <c r="E1502" s="25" t="s">
        <v>4768</v>
      </c>
      <c r="F1502" s="26" t="str">
        <f t="shared" si="124"/>
        <v>A_ABV831401</v>
      </c>
      <c r="G1502" s="26" t="str">
        <f t="shared" si="127"/>
        <v>N/A</v>
      </c>
      <c r="H1502" s="27" t="str">
        <f>+CONCATENATE(C1502,".MA")</f>
        <v>HS831401IO_FB0.MA</v>
      </c>
      <c r="I1502" s="23" t="str">
        <f>+G1502</f>
        <v>N/A</v>
      </c>
    </row>
    <row r="1503" spans="2:9" hidden="1" x14ac:dyDescent="0.25">
      <c r="B1503" s="25" t="s">
        <v>3834</v>
      </c>
      <c r="C1503" s="25" t="s">
        <v>4769</v>
      </c>
      <c r="D1503" s="25">
        <v>0</v>
      </c>
      <c r="E1503" s="25" t="s">
        <v>4770</v>
      </c>
      <c r="F1503" s="26" t="str">
        <f t="shared" si="124"/>
        <v>A_ABV831406</v>
      </c>
      <c r="G1503" s="26" t="str">
        <f t="shared" si="127"/>
        <v>N/A</v>
      </c>
      <c r="H1503" s="27" t="str">
        <f>+CONCATENATE(C1503,".MA")</f>
        <v>HS831406IO_FB0.MA</v>
      </c>
      <c r="I1503" s="23" t="str">
        <f>+G1503</f>
        <v>N/A</v>
      </c>
    </row>
    <row r="1504" spans="2:9" hidden="1" x14ac:dyDescent="0.25">
      <c r="B1504" s="25" t="s">
        <v>3834</v>
      </c>
      <c r="C1504" s="25" t="s">
        <v>4771</v>
      </c>
      <c r="D1504" s="25">
        <v>0</v>
      </c>
      <c r="E1504" s="25" t="s">
        <v>4772</v>
      </c>
      <c r="F1504" s="26" t="str">
        <f t="shared" si="124"/>
        <v>A_ABV831407</v>
      </c>
      <c r="G1504" s="26" t="str">
        <f t="shared" si="127"/>
        <v>N/A</v>
      </c>
      <c r="H1504" s="27" t="str">
        <f>+CONCATENATE(C1504,".MA")</f>
        <v>HS831407IO_FB0.MA</v>
      </c>
      <c r="I1504" s="23" t="str">
        <f>+G1504</f>
        <v>N/A</v>
      </c>
    </row>
    <row r="1505" spans="2:9" hidden="1" x14ac:dyDescent="0.25">
      <c r="B1505" s="25" t="s">
        <v>3834</v>
      </c>
      <c r="C1505" s="25" t="s">
        <v>4773</v>
      </c>
      <c r="D1505" s="25">
        <v>0</v>
      </c>
      <c r="E1505" s="25" t="s">
        <v>4774</v>
      </c>
      <c r="F1505" s="26" t="str">
        <f t="shared" si="124"/>
        <v>A_ABV832111</v>
      </c>
      <c r="G1505" s="26" t="str">
        <f t="shared" si="127"/>
        <v>N/A</v>
      </c>
      <c r="H1505" s="27" t="str">
        <f t="shared" ref="H1505:H1506" si="130">+CONCATENATE(C1505,".Mode")</f>
        <v>HS832111IO_FB0.Mode</v>
      </c>
      <c r="I1505" s="23" t="str">
        <f t="shared" ref="I1505:I1506" si="131">+G1505</f>
        <v>N/A</v>
      </c>
    </row>
    <row r="1506" spans="2:9" hidden="1" x14ac:dyDescent="0.25">
      <c r="B1506" s="25" t="s">
        <v>3834</v>
      </c>
      <c r="C1506" s="25" t="s">
        <v>4775</v>
      </c>
      <c r="D1506" s="25">
        <v>0</v>
      </c>
      <c r="E1506" s="25" t="s">
        <v>4776</v>
      </c>
      <c r="F1506" s="26" t="str">
        <f t="shared" si="124"/>
        <v>A_ABV832112</v>
      </c>
      <c r="G1506" s="26" t="str">
        <f t="shared" si="127"/>
        <v>N/A</v>
      </c>
      <c r="H1506" s="27" t="str">
        <f t="shared" si="130"/>
        <v>HS832112IO_FB0.Mode</v>
      </c>
      <c r="I1506" s="23" t="str">
        <f t="shared" si="131"/>
        <v>N/A</v>
      </c>
    </row>
    <row r="1507" spans="2:9" hidden="1" x14ac:dyDescent="0.25">
      <c r="B1507" s="25" t="s">
        <v>3834</v>
      </c>
      <c r="C1507" s="25" t="s">
        <v>4777</v>
      </c>
      <c r="D1507" s="25">
        <v>0</v>
      </c>
      <c r="E1507" s="25" t="s">
        <v>4778</v>
      </c>
      <c r="F1507" s="26" t="str">
        <f t="shared" si="124"/>
        <v>A_HS832208</v>
      </c>
      <c r="G1507" s="26" t="str">
        <f t="shared" si="127"/>
        <v>N/A</v>
      </c>
      <c r="H1507" s="27" t="str">
        <f>+CONCATENATE(C1507,".MA")</f>
        <v>HS832208IO_FB0.MA</v>
      </c>
      <c r="I1507" s="23" t="str">
        <f>+G1507</f>
        <v>N/A</v>
      </c>
    </row>
    <row r="1508" spans="2:9" hidden="1" x14ac:dyDescent="0.25">
      <c r="B1508" s="25" t="s">
        <v>3834</v>
      </c>
      <c r="C1508" s="25" t="s">
        <v>4779</v>
      </c>
      <c r="D1508" s="25">
        <v>0</v>
      </c>
      <c r="E1508" s="25" t="s">
        <v>4780</v>
      </c>
      <c r="F1508" s="26" t="str">
        <f t="shared" si="124"/>
        <v>A_HS832208</v>
      </c>
      <c r="G1508" s="26" t="str">
        <f t="shared" si="127"/>
        <v>N/A</v>
      </c>
      <c r="H1508" s="27" t="str">
        <f>+CONCATENATE(C1508,".MA")</f>
        <v>HS832208IO_FB1.MA</v>
      </c>
      <c r="I1508" s="23" t="str">
        <f>+G1508</f>
        <v>N/A</v>
      </c>
    </row>
    <row r="1509" spans="2:9" hidden="1" x14ac:dyDescent="0.25">
      <c r="B1509" s="25" t="s">
        <v>3834</v>
      </c>
      <c r="C1509" s="25" t="s">
        <v>4781</v>
      </c>
      <c r="D1509" s="25">
        <v>0</v>
      </c>
      <c r="E1509" s="25" t="s">
        <v>4782</v>
      </c>
      <c r="F1509" s="26" t="str">
        <f t="shared" ref="F1509:F1572" si="132">+LEFT(E1509,FIND(".",E1509,1)-1)</f>
        <v>A_ABV832209</v>
      </c>
      <c r="G1509" s="26" t="str">
        <f t="shared" si="127"/>
        <v>N/A</v>
      </c>
      <c r="H1509" s="27" t="str">
        <f>+CONCATENATE(C1509,".MA")</f>
        <v>HS832209IO_FB0.MA</v>
      </c>
      <c r="I1509" s="23" t="str">
        <f>+G1509</f>
        <v>N/A</v>
      </c>
    </row>
    <row r="1510" spans="2:9" hidden="1" x14ac:dyDescent="0.25">
      <c r="B1510" s="25" t="s">
        <v>3834</v>
      </c>
      <c r="C1510" s="25" t="s">
        <v>4783</v>
      </c>
      <c r="D1510" s="25">
        <v>0</v>
      </c>
      <c r="E1510" s="25" t="s">
        <v>4784</v>
      </c>
      <c r="F1510" s="26" t="str">
        <f t="shared" si="132"/>
        <v>A_ABV832209</v>
      </c>
      <c r="G1510" s="26" t="str">
        <f t="shared" si="127"/>
        <v>N/A</v>
      </c>
      <c r="H1510" s="27" t="str">
        <f t="shared" ref="H1510:H1521" si="133">+CONCATENATE(C1510,".Mode")</f>
        <v>HS832209IO_FB1.Mode</v>
      </c>
      <c r="I1510" s="23" t="str">
        <f t="shared" ref="I1510:I1521" si="134">+G1510</f>
        <v>N/A</v>
      </c>
    </row>
    <row r="1511" spans="2:9" hidden="1" x14ac:dyDescent="0.25">
      <c r="B1511" s="25" t="s">
        <v>3834</v>
      </c>
      <c r="C1511" s="25" t="s">
        <v>4785</v>
      </c>
      <c r="D1511" s="25">
        <v>0</v>
      </c>
      <c r="E1511" s="25" t="s">
        <v>4786</v>
      </c>
      <c r="F1511" s="26" t="str">
        <f t="shared" si="132"/>
        <v>A_ABV832213</v>
      </c>
      <c r="G1511" s="26" t="str">
        <f t="shared" si="127"/>
        <v>N/A</v>
      </c>
      <c r="H1511" s="27" t="str">
        <f t="shared" si="133"/>
        <v>HS832213IO_FB0.Mode</v>
      </c>
      <c r="I1511" s="23" t="str">
        <f t="shared" si="134"/>
        <v>N/A</v>
      </c>
    </row>
    <row r="1512" spans="2:9" hidden="1" x14ac:dyDescent="0.25">
      <c r="B1512" s="25" t="s">
        <v>3834</v>
      </c>
      <c r="C1512" s="25" t="s">
        <v>4787</v>
      </c>
      <c r="D1512" s="25">
        <v>0</v>
      </c>
      <c r="E1512" s="25" t="s">
        <v>4788</v>
      </c>
      <c r="F1512" s="26" t="str">
        <f t="shared" si="132"/>
        <v>A_ABV832213</v>
      </c>
      <c r="G1512" s="26" t="str">
        <f t="shared" si="127"/>
        <v>N/A</v>
      </c>
      <c r="H1512" s="27" t="str">
        <f t="shared" si="133"/>
        <v>HS832213IO_FB1.Mode</v>
      </c>
      <c r="I1512" s="23" t="str">
        <f t="shared" si="134"/>
        <v>N/A</v>
      </c>
    </row>
    <row r="1513" spans="2:9" hidden="1" x14ac:dyDescent="0.25">
      <c r="B1513" s="25" t="s">
        <v>3834</v>
      </c>
      <c r="C1513" s="25" t="s">
        <v>4789</v>
      </c>
      <c r="D1513" s="25">
        <v>0</v>
      </c>
      <c r="E1513" s="25" t="s">
        <v>4790</v>
      </c>
      <c r="F1513" s="26" t="str">
        <f t="shared" si="132"/>
        <v>A_ABV832314</v>
      </c>
      <c r="G1513" s="26" t="str">
        <f t="shared" si="127"/>
        <v>N/A</v>
      </c>
      <c r="H1513" s="27" t="str">
        <f t="shared" si="133"/>
        <v>HS832314IO_FB0.Mode</v>
      </c>
      <c r="I1513" s="23" t="str">
        <f t="shared" si="134"/>
        <v>N/A</v>
      </c>
    </row>
    <row r="1514" spans="2:9" hidden="1" x14ac:dyDescent="0.25">
      <c r="B1514" s="25" t="s">
        <v>3834</v>
      </c>
      <c r="C1514" s="25" t="s">
        <v>4791</v>
      </c>
      <c r="D1514" s="25">
        <v>0</v>
      </c>
      <c r="E1514" s="25" t="s">
        <v>4792</v>
      </c>
      <c r="F1514" s="26" t="str">
        <f t="shared" si="132"/>
        <v>A_HS832329</v>
      </c>
      <c r="G1514" s="26" t="str">
        <f t="shared" si="127"/>
        <v>N/A</v>
      </c>
      <c r="H1514" s="27" t="str">
        <f t="shared" si="133"/>
        <v>HS832329IO_FB0.Mode</v>
      </c>
      <c r="I1514" s="23" t="str">
        <f t="shared" si="134"/>
        <v>N/A</v>
      </c>
    </row>
    <row r="1515" spans="2:9" hidden="1" x14ac:dyDescent="0.25">
      <c r="B1515" s="25" t="s">
        <v>3834</v>
      </c>
      <c r="C1515" s="25" t="s">
        <v>4793</v>
      </c>
      <c r="D1515" s="25">
        <v>0</v>
      </c>
      <c r="E1515" s="25" t="s">
        <v>4794</v>
      </c>
      <c r="F1515" s="26" t="str">
        <f t="shared" si="132"/>
        <v>A_HS832329</v>
      </c>
      <c r="G1515" s="26" t="str">
        <f t="shared" si="127"/>
        <v>N/A</v>
      </c>
      <c r="H1515" s="27" t="str">
        <f t="shared" si="133"/>
        <v>HS832329IO_FB1.Mode</v>
      </c>
      <c r="I1515" s="23" t="str">
        <f t="shared" si="134"/>
        <v>N/A</v>
      </c>
    </row>
    <row r="1516" spans="2:9" hidden="1" x14ac:dyDescent="0.25">
      <c r="B1516" s="25" t="s">
        <v>3834</v>
      </c>
      <c r="C1516" s="25" t="s">
        <v>4795</v>
      </c>
      <c r="D1516" s="25">
        <v>0</v>
      </c>
      <c r="E1516" s="25" t="s">
        <v>4796</v>
      </c>
      <c r="F1516" s="26" t="str">
        <f t="shared" si="132"/>
        <v>A_HS832339</v>
      </c>
      <c r="G1516" s="26" t="str">
        <f t="shared" si="127"/>
        <v>N/A</v>
      </c>
      <c r="H1516" s="27" t="str">
        <f t="shared" si="133"/>
        <v>HS832339IO_FB0.Mode</v>
      </c>
      <c r="I1516" s="23" t="str">
        <f t="shared" si="134"/>
        <v>N/A</v>
      </c>
    </row>
    <row r="1517" spans="2:9" hidden="1" x14ac:dyDescent="0.25">
      <c r="B1517" s="25" t="s">
        <v>3834</v>
      </c>
      <c r="C1517" s="25" t="s">
        <v>4797</v>
      </c>
      <c r="D1517" s="25">
        <v>0</v>
      </c>
      <c r="E1517" s="25" t="s">
        <v>4798</v>
      </c>
      <c r="F1517" s="26" t="str">
        <f t="shared" si="132"/>
        <v>A_HS832339</v>
      </c>
      <c r="G1517" s="26" t="str">
        <f t="shared" si="127"/>
        <v>N/A</v>
      </c>
      <c r="H1517" s="27" t="str">
        <f t="shared" si="133"/>
        <v>HS832339IO_FB1.Mode</v>
      </c>
      <c r="I1517" s="23" t="str">
        <f t="shared" si="134"/>
        <v>N/A</v>
      </c>
    </row>
    <row r="1518" spans="2:9" hidden="1" x14ac:dyDescent="0.25">
      <c r="B1518" s="25" t="s">
        <v>3834</v>
      </c>
      <c r="C1518" s="25" t="s">
        <v>4799</v>
      </c>
      <c r="D1518" s="25">
        <v>0</v>
      </c>
      <c r="E1518" s="25" t="s">
        <v>4800</v>
      </c>
      <c r="F1518" s="26" t="str">
        <f t="shared" si="132"/>
        <v>A_ABV832401</v>
      </c>
      <c r="G1518" s="26" t="str">
        <f t="shared" si="127"/>
        <v>N/A</v>
      </c>
      <c r="H1518" s="27" t="str">
        <f t="shared" si="133"/>
        <v>HS832401IO_FB0.Mode</v>
      </c>
      <c r="I1518" s="23" t="str">
        <f t="shared" si="134"/>
        <v>N/A</v>
      </c>
    </row>
    <row r="1519" spans="2:9" hidden="1" x14ac:dyDescent="0.25">
      <c r="B1519" s="25" t="s">
        <v>3834</v>
      </c>
      <c r="C1519" s="25" t="s">
        <v>4801</v>
      </c>
      <c r="D1519" s="25">
        <v>0</v>
      </c>
      <c r="E1519" s="25" t="s">
        <v>4802</v>
      </c>
      <c r="F1519" s="26" t="str">
        <f t="shared" si="132"/>
        <v>A_ABV832401</v>
      </c>
      <c r="G1519" s="26" t="str">
        <f t="shared" si="127"/>
        <v>N/A</v>
      </c>
      <c r="H1519" s="27" t="str">
        <f t="shared" si="133"/>
        <v>HS832401IO_FB1.Mode</v>
      </c>
      <c r="I1519" s="23" t="str">
        <f t="shared" si="134"/>
        <v>N/A</v>
      </c>
    </row>
    <row r="1520" spans="2:9" hidden="1" x14ac:dyDescent="0.25">
      <c r="B1520" s="25" t="s">
        <v>3834</v>
      </c>
      <c r="C1520" s="25" t="s">
        <v>4803</v>
      </c>
      <c r="D1520" s="25">
        <v>0</v>
      </c>
      <c r="E1520" s="25" t="s">
        <v>4804</v>
      </c>
      <c r="F1520" s="26" t="str">
        <f t="shared" si="132"/>
        <v>A_ABV832406</v>
      </c>
      <c r="G1520" s="26" t="str">
        <f t="shared" si="127"/>
        <v>N/A</v>
      </c>
      <c r="H1520" s="27" t="str">
        <f t="shared" si="133"/>
        <v>HS832406IO_FB0.Mode</v>
      </c>
      <c r="I1520" s="23" t="str">
        <f t="shared" si="134"/>
        <v>N/A</v>
      </c>
    </row>
    <row r="1521" spans="2:9" hidden="1" x14ac:dyDescent="0.25">
      <c r="B1521" s="25" t="s">
        <v>3834</v>
      </c>
      <c r="C1521" s="25" t="s">
        <v>4805</v>
      </c>
      <c r="D1521" s="25">
        <v>0</v>
      </c>
      <c r="E1521" s="25" t="s">
        <v>4806</v>
      </c>
      <c r="F1521" s="26" t="str">
        <f t="shared" si="132"/>
        <v>A_ABV832406</v>
      </c>
      <c r="G1521" s="26" t="str">
        <f t="shared" si="127"/>
        <v>N/A</v>
      </c>
      <c r="H1521" s="27" t="str">
        <f t="shared" si="133"/>
        <v>HS832406IO_FB1.Mode</v>
      </c>
      <c r="I1521" s="23" t="str">
        <f t="shared" si="134"/>
        <v>N/A</v>
      </c>
    </row>
    <row r="1522" spans="2:9" hidden="1" x14ac:dyDescent="0.25">
      <c r="B1522" s="25" t="s">
        <v>3834</v>
      </c>
      <c r="C1522" s="25" t="s">
        <v>4807</v>
      </c>
      <c r="D1522" s="25">
        <v>0</v>
      </c>
      <c r="E1522" s="25" t="s">
        <v>4808</v>
      </c>
      <c r="F1522" s="26" t="str">
        <f t="shared" si="132"/>
        <v>A_ABV832410</v>
      </c>
      <c r="G1522" s="26" t="str">
        <f t="shared" si="127"/>
        <v>N/A</v>
      </c>
      <c r="H1522" s="27" t="str">
        <f>+CONCATENATE(C1522,".MA")</f>
        <v>HS832410IO_FB0.MA</v>
      </c>
      <c r="I1522" s="23" t="str">
        <f>+G1522</f>
        <v>N/A</v>
      </c>
    </row>
    <row r="1523" spans="2:9" hidden="1" x14ac:dyDescent="0.25">
      <c r="B1523" s="25" t="s">
        <v>3834</v>
      </c>
      <c r="C1523" s="25" t="s">
        <v>4809</v>
      </c>
      <c r="D1523" s="25">
        <v>0</v>
      </c>
      <c r="E1523" s="25" t="s">
        <v>4810</v>
      </c>
      <c r="F1523" s="26" t="str">
        <f t="shared" si="132"/>
        <v>A_ABV832410</v>
      </c>
      <c r="G1523" s="26" t="str">
        <f t="shared" si="127"/>
        <v>N/A</v>
      </c>
      <c r="H1523" s="27" t="str">
        <f t="shared" ref="H1523:H1532" si="135">+CONCATENATE(C1523,".Mode")</f>
        <v>HS832410IO_FB1.Mode</v>
      </c>
      <c r="I1523" s="23" t="str">
        <f t="shared" ref="I1523:I1532" si="136">+G1523</f>
        <v>N/A</v>
      </c>
    </row>
    <row r="1524" spans="2:9" hidden="1" x14ac:dyDescent="0.25">
      <c r="B1524" s="25" t="s">
        <v>3834</v>
      </c>
      <c r="C1524" s="25" t="s">
        <v>4811</v>
      </c>
      <c r="D1524" s="25">
        <v>0</v>
      </c>
      <c r="E1524" s="25" t="s">
        <v>4812</v>
      </c>
      <c r="F1524" s="26" t="str">
        <f t="shared" si="132"/>
        <v>A_ABV832431</v>
      </c>
      <c r="G1524" s="26" t="str">
        <f t="shared" si="127"/>
        <v>N/A</v>
      </c>
      <c r="H1524" s="27" t="str">
        <f t="shared" si="135"/>
        <v>HS832431IO_FB0.Mode</v>
      </c>
      <c r="I1524" s="23" t="str">
        <f t="shared" si="136"/>
        <v>N/A</v>
      </c>
    </row>
    <row r="1525" spans="2:9" hidden="1" x14ac:dyDescent="0.25">
      <c r="B1525" s="25" t="s">
        <v>3834</v>
      </c>
      <c r="C1525" s="25" t="s">
        <v>4813</v>
      </c>
      <c r="D1525" s="25">
        <v>0</v>
      </c>
      <c r="E1525" s="25" t="s">
        <v>4814</v>
      </c>
      <c r="F1525" s="26" t="str">
        <f t="shared" si="132"/>
        <v>A_ABV832431</v>
      </c>
      <c r="G1525" s="26" t="str">
        <f t="shared" si="127"/>
        <v>N/A</v>
      </c>
      <c r="H1525" s="27" t="str">
        <f t="shared" si="135"/>
        <v>HS832431IO_FB1.Mode</v>
      </c>
      <c r="I1525" s="23" t="str">
        <f t="shared" si="136"/>
        <v>N/A</v>
      </c>
    </row>
    <row r="1526" spans="2:9" hidden="1" x14ac:dyDescent="0.25">
      <c r="B1526" s="25" t="s">
        <v>3834</v>
      </c>
      <c r="C1526" s="25" t="s">
        <v>4815</v>
      </c>
      <c r="D1526" s="25">
        <v>0</v>
      </c>
      <c r="E1526" s="25" t="s">
        <v>4816</v>
      </c>
      <c r="F1526" s="26" t="str">
        <f t="shared" si="132"/>
        <v>A_ABV832501</v>
      </c>
      <c r="G1526" s="26" t="str">
        <f t="shared" si="127"/>
        <v>N/A</v>
      </c>
      <c r="H1526" s="27" t="str">
        <f t="shared" si="135"/>
        <v>HS832501IO_FB0.Mode</v>
      </c>
      <c r="I1526" s="23" t="str">
        <f t="shared" si="136"/>
        <v>N/A</v>
      </c>
    </row>
    <row r="1527" spans="2:9" hidden="1" x14ac:dyDescent="0.25">
      <c r="B1527" s="25" t="s">
        <v>3834</v>
      </c>
      <c r="C1527" s="25" t="s">
        <v>4817</v>
      </c>
      <c r="D1527" s="25">
        <v>0</v>
      </c>
      <c r="E1527" s="25" t="s">
        <v>4818</v>
      </c>
      <c r="F1527" s="26" t="str">
        <f t="shared" si="132"/>
        <v>A_ABV832501</v>
      </c>
      <c r="G1527" s="26" t="str">
        <f t="shared" si="127"/>
        <v>N/A</v>
      </c>
      <c r="H1527" s="27" t="str">
        <f t="shared" si="135"/>
        <v>HS832501IO_FB1.Mode</v>
      </c>
      <c r="I1527" s="23" t="str">
        <f t="shared" si="136"/>
        <v>N/A</v>
      </c>
    </row>
    <row r="1528" spans="2:9" hidden="1" x14ac:dyDescent="0.25">
      <c r="B1528" s="25" t="s">
        <v>3834</v>
      </c>
      <c r="C1528" s="25" t="s">
        <v>4819</v>
      </c>
      <c r="D1528" s="25">
        <v>0</v>
      </c>
      <c r="E1528" s="25" t="s">
        <v>4820</v>
      </c>
      <c r="F1528" s="26" t="str">
        <f t="shared" si="132"/>
        <v>A_ABV832506</v>
      </c>
      <c r="G1528" s="26" t="str">
        <f t="shared" si="127"/>
        <v>N/A</v>
      </c>
      <c r="H1528" s="27" t="str">
        <f t="shared" si="135"/>
        <v>HS832506IO_FB0.Mode</v>
      </c>
      <c r="I1528" s="23" t="str">
        <f t="shared" si="136"/>
        <v>N/A</v>
      </c>
    </row>
    <row r="1529" spans="2:9" hidden="1" x14ac:dyDescent="0.25">
      <c r="B1529" s="25" t="s">
        <v>3834</v>
      </c>
      <c r="C1529" s="25" t="s">
        <v>4821</v>
      </c>
      <c r="D1529" s="25">
        <v>0</v>
      </c>
      <c r="E1529" s="25" t="s">
        <v>4822</v>
      </c>
      <c r="F1529" s="26" t="str">
        <f t="shared" si="132"/>
        <v>A_ABV832506</v>
      </c>
      <c r="G1529" s="26" t="str">
        <f t="shared" si="127"/>
        <v>N/A</v>
      </c>
      <c r="H1529" s="27" t="str">
        <f t="shared" si="135"/>
        <v>HS832506IO_FB1.Mode</v>
      </c>
      <c r="I1529" s="23" t="str">
        <f t="shared" si="136"/>
        <v>N/A</v>
      </c>
    </row>
    <row r="1530" spans="2:9" hidden="1" x14ac:dyDescent="0.25">
      <c r="B1530" s="25" t="s">
        <v>3834</v>
      </c>
      <c r="C1530" s="25" t="s">
        <v>4823</v>
      </c>
      <c r="D1530" s="25">
        <v>0</v>
      </c>
      <c r="E1530" s="25" t="s">
        <v>4824</v>
      </c>
      <c r="F1530" s="26" t="str">
        <f t="shared" si="132"/>
        <v>A_ABV832510</v>
      </c>
      <c r="G1530" s="26" t="str">
        <f t="shared" si="127"/>
        <v>N/A</v>
      </c>
      <c r="H1530" s="27" t="str">
        <f t="shared" si="135"/>
        <v>HS832510IO_FB0.Mode</v>
      </c>
      <c r="I1530" s="23" t="str">
        <f t="shared" si="136"/>
        <v>N/A</v>
      </c>
    </row>
    <row r="1531" spans="2:9" hidden="1" x14ac:dyDescent="0.25">
      <c r="B1531" s="25" t="s">
        <v>3834</v>
      </c>
      <c r="C1531" s="25" t="s">
        <v>4825</v>
      </c>
      <c r="D1531" s="25">
        <v>0</v>
      </c>
      <c r="E1531" s="25" t="s">
        <v>4826</v>
      </c>
      <c r="F1531" s="26" t="str">
        <f t="shared" si="132"/>
        <v>A_ABV832510</v>
      </c>
      <c r="G1531" s="26" t="str">
        <f t="shared" si="127"/>
        <v>N/A</v>
      </c>
      <c r="H1531" s="27" t="str">
        <f t="shared" si="135"/>
        <v>HS832510IO_FB1.Mode</v>
      </c>
      <c r="I1531" s="23" t="str">
        <f t="shared" si="136"/>
        <v>N/A</v>
      </c>
    </row>
    <row r="1532" spans="2:9" hidden="1" x14ac:dyDescent="0.25">
      <c r="B1532" s="25" t="s">
        <v>3834</v>
      </c>
      <c r="C1532" s="25" t="s">
        <v>4827</v>
      </c>
      <c r="D1532" s="25">
        <v>0</v>
      </c>
      <c r="E1532" s="25" t="s">
        <v>4828</v>
      </c>
      <c r="F1532" s="26" t="str">
        <f t="shared" si="132"/>
        <v>A_ABV832531</v>
      </c>
      <c r="G1532" s="26" t="str">
        <f t="shared" si="127"/>
        <v>N/A</v>
      </c>
      <c r="H1532" s="27" t="str">
        <f t="shared" si="135"/>
        <v>HS832531IO_FB0.Mode</v>
      </c>
      <c r="I1532" s="23" t="str">
        <f t="shared" si="136"/>
        <v>N/A</v>
      </c>
    </row>
    <row r="1533" spans="2:9" hidden="1" x14ac:dyDescent="0.25">
      <c r="B1533" s="25" t="s">
        <v>3834</v>
      </c>
      <c r="C1533" s="25" t="s">
        <v>4829</v>
      </c>
      <c r="D1533" s="25">
        <v>0</v>
      </c>
      <c r="E1533" s="25" t="s">
        <v>4830</v>
      </c>
      <c r="F1533" s="26" t="str">
        <f t="shared" si="132"/>
        <v>A_ABV832531</v>
      </c>
      <c r="G1533" s="26" t="str">
        <f t="shared" si="127"/>
        <v>N/A</v>
      </c>
      <c r="H1533" s="27" t="str">
        <f>+CONCATENATE(C1533,".MA")</f>
        <v>HS832531IO_FB1.MA</v>
      </c>
      <c r="I1533" s="23" t="str">
        <f>+G1533</f>
        <v>N/A</v>
      </c>
    </row>
    <row r="1534" spans="2:9" hidden="1" x14ac:dyDescent="0.25">
      <c r="B1534" s="25" t="s">
        <v>3834</v>
      </c>
      <c r="C1534" s="25" t="s">
        <v>4831</v>
      </c>
      <c r="D1534" s="25">
        <v>0</v>
      </c>
      <c r="E1534" s="25" t="s">
        <v>4832</v>
      </c>
      <c r="F1534" s="26" t="str">
        <f t="shared" si="132"/>
        <v>A_EBV835001</v>
      </c>
      <c r="G1534" s="26" t="str">
        <f t="shared" si="127"/>
        <v>N/A</v>
      </c>
      <c r="H1534" s="27" t="str">
        <f>+CONCATENATE(C1534,".MA")</f>
        <v>HS835001IO_FB0.MA</v>
      </c>
      <c r="I1534" s="23" t="str">
        <f>+G1534</f>
        <v>N/A</v>
      </c>
    </row>
    <row r="1535" spans="2:9" hidden="1" x14ac:dyDescent="0.25">
      <c r="B1535" s="25" t="s">
        <v>3834</v>
      </c>
      <c r="C1535" s="25" t="s">
        <v>4833</v>
      </c>
      <c r="D1535" s="25">
        <v>0</v>
      </c>
      <c r="E1535" s="25" t="s">
        <v>4834</v>
      </c>
      <c r="F1535" s="26" t="str">
        <f t="shared" si="132"/>
        <v>A_ABV835003</v>
      </c>
      <c r="G1535" s="26" t="str">
        <f t="shared" si="127"/>
        <v>N/A</v>
      </c>
      <c r="H1535" s="27" t="str">
        <f>+CONCATENATE(C1535,".Mode")</f>
        <v>HS835003IO_FB0.Mode</v>
      </c>
      <c r="I1535" s="23" t="str">
        <f>+G1535</f>
        <v>N/A</v>
      </c>
    </row>
    <row r="1536" spans="2:9" hidden="1" x14ac:dyDescent="0.25">
      <c r="B1536" s="25" t="s">
        <v>3834</v>
      </c>
      <c r="C1536" s="25" t="s">
        <v>4835</v>
      </c>
      <c r="D1536" s="25">
        <v>0</v>
      </c>
      <c r="E1536" s="25" t="s">
        <v>4836</v>
      </c>
      <c r="F1536" s="26" t="str">
        <f t="shared" si="132"/>
        <v>A_ABV835005</v>
      </c>
      <c r="G1536" s="26" t="str">
        <f t="shared" si="127"/>
        <v>N/A</v>
      </c>
      <c r="H1536" s="27" t="str">
        <f>+CONCATENATE(C1536,".MA")</f>
        <v>HS835005IO_FB0.MA</v>
      </c>
      <c r="I1536" s="23" t="str">
        <f>+G1536</f>
        <v>N/A</v>
      </c>
    </row>
    <row r="1537" spans="2:9" hidden="1" x14ac:dyDescent="0.25">
      <c r="B1537" s="25" t="s">
        <v>3834</v>
      </c>
      <c r="C1537" s="25" t="s">
        <v>4837</v>
      </c>
      <c r="D1537" s="25">
        <v>0</v>
      </c>
      <c r="E1537" s="25" t="s">
        <v>4838</v>
      </c>
      <c r="F1537" s="26" t="str">
        <f t="shared" si="132"/>
        <v>A_ABV835005</v>
      </c>
      <c r="G1537" s="26" t="str">
        <f t="shared" si="127"/>
        <v>N/A</v>
      </c>
      <c r="H1537" s="27" t="str">
        <f>+CONCATENATE(C1537,".MA")</f>
        <v>HS835005IO_FB1.MA</v>
      </c>
      <c r="I1537" s="23" t="str">
        <f>+G1537</f>
        <v>N/A</v>
      </c>
    </row>
    <row r="1538" spans="2:9" hidden="1" x14ac:dyDescent="0.25">
      <c r="B1538" s="25" t="s">
        <v>3834</v>
      </c>
      <c r="C1538" s="25" t="s">
        <v>4839</v>
      </c>
      <c r="D1538" s="25">
        <v>0</v>
      </c>
      <c r="E1538" s="25" t="s">
        <v>4840</v>
      </c>
      <c r="F1538" s="26" t="str">
        <f t="shared" si="132"/>
        <v>A_ABV835006</v>
      </c>
      <c r="G1538" s="26" t="str">
        <f t="shared" ref="G1538:G1601" si="137">+IFERROR(IF(VLOOKUP(F1538,DI,2,FALSE)="IO",2,0),"N/A")</f>
        <v>N/A</v>
      </c>
      <c r="H1538" s="27" t="str">
        <f t="shared" ref="H1538:H1540" si="138">+CONCATENATE(C1538,".Mode")</f>
        <v>HS835006IO_FB0.Mode</v>
      </c>
      <c r="I1538" s="23" t="str">
        <f t="shared" ref="I1538:I1540" si="139">+G1538</f>
        <v>N/A</v>
      </c>
    </row>
    <row r="1539" spans="2:9" hidden="1" x14ac:dyDescent="0.25">
      <c r="B1539" s="25" t="s">
        <v>3834</v>
      </c>
      <c r="C1539" s="25" t="s">
        <v>4841</v>
      </c>
      <c r="D1539" s="25">
        <v>0</v>
      </c>
      <c r="E1539" s="25" t="s">
        <v>4842</v>
      </c>
      <c r="F1539" s="26" t="str">
        <f t="shared" si="132"/>
        <v>A_ABV835010</v>
      </c>
      <c r="G1539" s="26" t="str">
        <f t="shared" si="137"/>
        <v>N/A</v>
      </c>
      <c r="H1539" s="27" t="str">
        <f t="shared" si="138"/>
        <v>HS835010IO_FB0.Mode</v>
      </c>
      <c r="I1539" s="23" t="str">
        <f t="shared" si="139"/>
        <v>N/A</v>
      </c>
    </row>
    <row r="1540" spans="2:9" hidden="1" x14ac:dyDescent="0.25">
      <c r="B1540" s="25" t="s">
        <v>3834</v>
      </c>
      <c r="C1540" s="25" t="s">
        <v>4843</v>
      </c>
      <c r="D1540" s="25">
        <v>0</v>
      </c>
      <c r="E1540" s="25" t="s">
        <v>4844</v>
      </c>
      <c r="F1540" s="26" t="str">
        <f t="shared" si="132"/>
        <v>A_ABV841102</v>
      </c>
      <c r="G1540" s="26" t="str">
        <f t="shared" si="137"/>
        <v>N/A</v>
      </c>
      <c r="H1540" s="27" t="str">
        <f t="shared" si="138"/>
        <v>HS841102IO_FB0.Mode</v>
      </c>
      <c r="I1540" s="23" t="str">
        <f t="shared" si="139"/>
        <v>N/A</v>
      </c>
    </row>
    <row r="1541" spans="2:9" hidden="1" x14ac:dyDescent="0.25">
      <c r="B1541" s="25" t="s">
        <v>3834</v>
      </c>
      <c r="C1541" s="25" t="s">
        <v>4845</v>
      </c>
      <c r="D1541" s="25">
        <v>0</v>
      </c>
      <c r="E1541" s="25" t="s">
        <v>4846</v>
      </c>
      <c r="F1541" s="26" t="str">
        <f t="shared" si="132"/>
        <v>A_ABV841403</v>
      </c>
      <c r="G1541" s="26" t="str">
        <f t="shared" si="137"/>
        <v>N/A</v>
      </c>
      <c r="H1541" s="27" t="str">
        <f>+CONCATENATE(C1541,".MA")</f>
        <v>HS841403IO_FB0.MA</v>
      </c>
      <c r="I1541" s="23" t="str">
        <f>+G1541</f>
        <v>N/A</v>
      </c>
    </row>
    <row r="1542" spans="2:9" hidden="1" x14ac:dyDescent="0.25">
      <c r="B1542" s="25" t="s">
        <v>3834</v>
      </c>
      <c r="C1542" s="25" t="s">
        <v>4847</v>
      </c>
      <c r="D1542" s="25">
        <v>0</v>
      </c>
      <c r="E1542" s="25" t="s">
        <v>4848</v>
      </c>
      <c r="F1542" s="26" t="str">
        <f t="shared" si="132"/>
        <v>A_ABV843103</v>
      </c>
      <c r="G1542" s="26" t="str">
        <f t="shared" si="137"/>
        <v>N/A</v>
      </c>
      <c r="H1542" s="27" t="str">
        <f t="shared" ref="H1542:H1584" si="140">+CONCATENATE(C1542,".Mode")</f>
        <v>HS843103IO_FB0.Mode</v>
      </c>
      <c r="I1542" s="23" t="str">
        <f t="shared" ref="I1542:I1584" si="141">+G1542</f>
        <v>N/A</v>
      </c>
    </row>
    <row r="1543" spans="2:9" hidden="1" x14ac:dyDescent="0.25">
      <c r="B1543" s="25" t="s">
        <v>3834</v>
      </c>
      <c r="C1543" s="25" t="s">
        <v>4849</v>
      </c>
      <c r="D1543" s="25">
        <v>0</v>
      </c>
      <c r="E1543" s="25" t="s">
        <v>4850</v>
      </c>
      <c r="F1543" s="26" t="str">
        <f t="shared" si="132"/>
        <v>A_ABV844106</v>
      </c>
      <c r="G1543" s="26" t="str">
        <f t="shared" si="137"/>
        <v>N/A</v>
      </c>
      <c r="H1543" s="27" t="str">
        <f t="shared" si="140"/>
        <v>HS844106IO_FB0.Mode</v>
      </c>
      <c r="I1543" s="23" t="str">
        <f t="shared" si="141"/>
        <v>N/A</v>
      </c>
    </row>
    <row r="1544" spans="2:9" hidden="1" x14ac:dyDescent="0.25">
      <c r="B1544" s="25" t="s">
        <v>3834</v>
      </c>
      <c r="C1544" s="25" t="s">
        <v>4851</v>
      </c>
      <c r="D1544" s="25">
        <v>0</v>
      </c>
      <c r="E1544" s="25" t="s">
        <v>4852</v>
      </c>
      <c r="F1544" s="26" t="str">
        <f t="shared" si="132"/>
        <v>A_ABV844110</v>
      </c>
      <c r="G1544" s="26" t="str">
        <f t="shared" si="137"/>
        <v>N/A</v>
      </c>
      <c r="H1544" s="27" t="str">
        <f t="shared" si="140"/>
        <v>HS844110IO_FB0.Mode</v>
      </c>
      <c r="I1544" s="23" t="str">
        <f t="shared" si="141"/>
        <v>N/A</v>
      </c>
    </row>
    <row r="1545" spans="2:9" hidden="1" x14ac:dyDescent="0.25">
      <c r="B1545" s="25" t="s">
        <v>3834</v>
      </c>
      <c r="C1545" s="25" t="s">
        <v>4853</v>
      </c>
      <c r="D1545" s="25">
        <v>0</v>
      </c>
      <c r="E1545" s="25" t="s">
        <v>4854</v>
      </c>
      <c r="F1545" s="26" t="str">
        <f t="shared" si="132"/>
        <v>A_ABV844111</v>
      </c>
      <c r="G1545" s="26" t="str">
        <f t="shared" si="137"/>
        <v>N/A</v>
      </c>
      <c r="H1545" s="27" t="str">
        <f t="shared" si="140"/>
        <v>HS844111IO_FB0.Mode</v>
      </c>
      <c r="I1545" s="23" t="str">
        <f t="shared" si="141"/>
        <v>N/A</v>
      </c>
    </row>
    <row r="1546" spans="2:9" hidden="1" x14ac:dyDescent="0.25">
      <c r="B1546" s="25" t="s">
        <v>3834</v>
      </c>
      <c r="C1546" s="25" t="s">
        <v>4855</v>
      </c>
      <c r="D1546" s="25">
        <v>0</v>
      </c>
      <c r="E1546" s="25" t="s">
        <v>4856</v>
      </c>
      <c r="F1546" s="26" t="str">
        <f t="shared" si="132"/>
        <v>A_ABV845005</v>
      </c>
      <c r="G1546" s="26" t="str">
        <f t="shared" si="137"/>
        <v>N/A</v>
      </c>
      <c r="H1546" s="27" t="str">
        <f t="shared" si="140"/>
        <v>HS845005IO_FB0.Mode</v>
      </c>
      <c r="I1546" s="23" t="str">
        <f t="shared" si="141"/>
        <v>N/A</v>
      </c>
    </row>
    <row r="1547" spans="2:9" hidden="1" x14ac:dyDescent="0.25">
      <c r="B1547" s="25" t="s">
        <v>3834</v>
      </c>
      <c r="C1547" s="25" t="s">
        <v>4857</v>
      </c>
      <c r="D1547" s="25">
        <v>0</v>
      </c>
      <c r="E1547" s="25" t="s">
        <v>4858</v>
      </c>
      <c r="F1547" s="26" t="str">
        <f t="shared" si="132"/>
        <v>A_ABV850005</v>
      </c>
      <c r="G1547" s="26" t="str">
        <f t="shared" si="137"/>
        <v>N/A</v>
      </c>
      <c r="H1547" s="27" t="str">
        <f t="shared" si="140"/>
        <v>HS850005IO_FB0.Mode</v>
      </c>
      <c r="I1547" s="23" t="str">
        <f t="shared" si="141"/>
        <v>N/A</v>
      </c>
    </row>
    <row r="1548" spans="2:9" hidden="1" x14ac:dyDescent="0.25">
      <c r="B1548" s="25" t="s">
        <v>3834</v>
      </c>
      <c r="C1548" s="25" t="s">
        <v>4859</v>
      </c>
      <c r="D1548" s="25">
        <v>0</v>
      </c>
      <c r="E1548" s="25" t="s">
        <v>4860</v>
      </c>
      <c r="F1548" s="26" t="str">
        <f t="shared" si="132"/>
        <v>A_ABV850010</v>
      </c>
      <c r="G1548" s="26" t="str">
        <f t="shared" si="137"/>
        <v>N/A</v>
      </c>
      <c r="H1548" s="27" t="str">
        <f t="shared" si="140"/>
        <v>HS850010IO_FB0.Mode</v>
      </c>
      <c r="I1548" s="23" t="str">
        <f t="shared" si="141"/>
        <v>N/A</v>
      </c>
    </row>
    <row r="1549" spans="2:9" hidden="1" x14ac:dyDescent="0.25">
      <c r="B1549" s="25" t="s">
        <v>3834</v>
      </c>
      <c r="C1549" s="25" t="s">
        <v>4861</v>
      </c>
      <c r="D1549" s="25">
        <v>0</v>
      </c>
      <c r="E1549" s="25" t="s">
        <v>4862</v>
      </c>
      <c r="F1549" s="26" t="str">
        <f t="shared" si="132"/>
        <v>A_ABV850012</v>
      </c>
      <c r="G1549" s="26" t="str">
        <f t="shared" si="137"/>
        <v>N/A</v>
      </c>
      <c r="H1549" s="27" t="str">
        <f t="shared" si="140"/>
        <v>HS850012IO_FB0.Mode</v>
      </c>
      <c r="I1549" s="23" t="str">
        <f t="shared" si="141"/>
        <v>N/A</v>
      </c>
    </row>
    <row r="1550" spans="2:9" hidden="1" x14ac:dyDescent="0.25">
      <c r="B1550" s="25" t="s">
        <v>3834</v>
      </c>
      <c r="C1550" s="25" t="s">
        <v>4863</v>
      </c>
      <c r="D1550" s="25">
        <v>0</v>
      </c>
      <c r="E1550" s="25" t="s">
        <v>4864</v>
      </c>
      <c r="F1550" s="26" t="str">
        <f t="shared" si="132"/>
        <v>A_ABV850014</v>
      </c>
      <c r="G1550" s="26" t="str">
        <f t="shared" si="137"/>
        <v>N/A</v>
      </c>
      <c r="H1550" s="27" t="str">
        <f t="shared" si="140"/>
        <v>HS850014IO_FB0.Mode</v>
      </c>
      <c r="I1550" s="23" t="str">
        <f t="shared" si="141"/>
        <v>N/A</v>
      </c>
    </row>
    <row r="1551" spans="2:9" hidden="1" x14ac:dyDescent="0.25">
      <c r="B1551" s="25" t="s">
        <v>3834</v>
      </c>
      <c r="C1551" s="25" t="s">
        <v>4865</v>
      </c>
      <c r="D1551" s="25">
        <v>0</v>
      </c>
      <c r="E1551" s="25" t="s">
        <v>4866</v>
      </c>
      <c r="F1551" s="26" t="str">
        <f t="shared" si="132"/>
        <v>A_ABV850016</v>
      </c>
      <c r="G1551" s="26" t="str">
        <f t="shared" si="137"/>
        <v>N/A</v>
      </c>
      <c r="H1551" s="27" t="str">
        <f t="shared" si="140"/>
        <v>HS850016IO_FB0.Mode</v>
      </c>
      <c r="I1551" s="23" t="str">
        <f t="shared" si="141"/>
        <v>N/A</v>
      </c>
    </row>
    <row r="1552" spans="2:9" hidden="1" x14ac:dyDescent="0.25">
      <c r="B1552" s="25" t="s">
        <v>3834</v>
      </c>
      <c r="C1552" s="25" t="s">
        <v>4867</v>
      </c>
      <c r="D1552" s="25">
        <v>0</v>
      </c>
      <c r="E1552" s="25" t="s">
        <v>4868</v>
      </c>
      <c r="F1552" s="26" t="str">
        <f t="shared" si="132"/>
        <v>A_ABV850105</v>
      </c>
      <c r="G1552" s="26" t="str">
        <f t="shared" si="137"/>
        <v>N/A</v>
      </c>
      <c r="H1552" s="27" t="str">
        <f t="shared" si="140"/>
        <v>HS850105IO_FB0.Mode</v>
      </c>
      <c r="I1552" s="23" t="str">
        <f t="shared" si="141"/>
        <v>N/A</v>
      </c>
    </row>
    <row r="1553" spans="2:9" hidden="1" x14ac:dyDescent="0.25">
      <c r="B1553" s="25" t="s">
        <v>3834</v>
      </c>
      <c r="C1553" s="25" t="s">
        <v>4869</v>
      </c>
      <c r="D1553" s="25">
        <v>0</v>
      </c>
      <c r="E1553" s="25" t="s">
        <v>4870</v>
      </c>
      <c r="F1553" s="26" t="str">
        <f t="shared" si="132"/>
        <v>A_ABV850119</v>
      </c>
      <c r="G1553" s="26" t="str">
        <f t="shared" si="137"/>
        <v>N/A</v>
      </c>
      <c r="H1553" s="27" t="str">
        <f t="shared" si="140"/>
        <v>HS850119IO_FB0.Mode</v>
      </c>
      <c r="I1553" s="23" t="str">
        <f t="shared" si="141"/>
        <v>N/A</v>
      </c>
    </row>
    <row r="1554" spans="2:9" hidden="1" x14ac:dyDescent="0.25">
      <c r="B1554" s="25" t="s">
        <v>3834</v>
      </c>
      <c r="C1554" s="25" t="s">
        <v>4871</v>
      </c>
      <c r="D1554" s="25">
        <v>0</v>
      </c>
      <c r="E1554" s="25" t="s">
        <v>4872</v>
      </c>
      <c r="F1554" s="26" t="str">
        <f t="shared" si="132"/>
        <v>A_ABV850122</v>
      </c>
      <c r="G1554" s="26" t="str">
        <f t="shared" si="137"/>
        <v>N/A</v>
      </c>
      <c r="H1554" s="27" t="str">
        <f t="shared" si="140"/>
        <v>HS850122IO_FB0.Mode</v>
      </c>
      <c r="I1554" s="23" t="str">
        <f t="shared" si="141"/>
        <v>N/A</v>
      </c>
    </row>
    <row r="1555" spans="2:9" hidden="1" x14ac:dyDescent="0.25">
      <c r="B1555" s="25" t="s">
        <v>3834</v>
      </c>
      <c r="C1555" s="25" t="s">
        <v>4873</v>
      </c>
      <c r="D1555" s="25">
        <v>0</v>
      </c>
      <c r="E1555" s="25" t="s">
        <v>4874</v>
      </c>
      <c r="F1555" s="26" t="str">
        <f t="shared" si="132"/>
        <v>A_ABV850205</v>
      </c>
      <c r="G1555" s="26" t="str">
        <f t="shared" si="137"/>
        <v>N/A</v>
      </c>
      <c r="H1555" s="27" t="str">
        <f t="shared" si="140"/>
        <v>HS850205IO_FB0.Mode</v>
      </c>
      <c r="I1555" s="23" t="str">
        <f t="shared" si="141"/>
        <v>N/A</v>
      </c>
    </row>
    <row r="1556" spans="2:9" hidden="1" x14ac:dyDescent="0.25">
      <c r="B1556" s="25" t="s">
        <v>3834</v>
      </c>
      <c r="C1556" s="25" t="s">
        <v>4875</v>
      </c>
      <c r="D1556" s="25">
        <v>0</v>
      </c>
      <c r="E1556" s="25" t="s">
        <v>4876</v>
      </c>
      <c r="F1556" s="26" t="str">
        <f t="shared" si="132"/>
        <v>A_ABV850209</v>
      </c>
      <c r="G1556" s="26" t="str">
        <f t="shared" si="137"/>
        <v>N/A</v>
      </c>
      <c r="H1556" s="27" t="str">
        <f t="shared" si="140"/>
        <v>HS850209IO_FB0.Mode</v>
      </c>
      <c r="I1556" s="23" t="str">
        <f t="shared" si="141"/>
        <v>N/A</v>
      </c>
    </row>
    <row r="1557" spans="2:9" hidden="1" x14ac:dyDescent="0.25">
      <c r="B1557" s="25" t="s">
        <v>3834</v>
      </c>
      <c r="C1557" s="25" t="s">
        <v>4877</v>
      </c>
      <c r="D1557" s="25">
        <v>0</v>
      </c>
      <c r="E1557" s="25" t="s">
        <v>4878</v>
      </c>
      <c r="F1557" s="26" t="str">
        <f t="shared" si="132"/>
        <v>A_ABV850211</v>
      </c>
      <c r="G1557" s="26" t="str">
        <f t="shared" si="137"/>
        <v>N/A</v>
      </c>
      <c r="H1557" s="27" t="str">
        <f t="shared" si="140"/>
        <v>HS850211IO_FB0.Mode</v>
      </c>
      <c r="I1557" s="23" t="str">
        <f t="shared" si="141"/>
        <v>N/A</v>
      </c>
    </row>
    <row r="1558" spans="2:9" hidden="1" x14ac:dyDescent="0.25">
      <c r="B1558" s="25" t="s">
        <v>3834</v>
      </c>
      <c r="C1558" s="25" t="s">
        <v>4879</v>
      </c>
      <c r="D1558" s="25">
        <v>0</v>
      </c>
      <c r="E1558" s="25" t="s">
        <v>4880</v>
      </c>
      <c r="F1558" s="26" t="str">
        <f t="shared" si="132"/>
        <v>A_ABV850214</v>
      </c>
      <c r="G1558" s="26" t="str">
        <f t="shared" si="137"/>
        <v>N/A</v>
      </c>
      <c r="H1558" s="27" t="str">
        <f t="shared" si="140"/>
        <v>HS850214IO_FB0.Mode</v>
      </c>
      <c r="I1558" s="23" t="str">
        <f t="shared" si="141"/>
        <v>N/A</v>
      </c>
    </row>
    <row r="1559" spans="2:9" hidden="1" x14ac:dyDescent="0.25">
      <c r="B1559" s="25" t="s">
        <v>3834</v>
      </c>
      <c r="C1559" s="25" t="s">
        <v>4881</v>
      </c>
      <c r="D1559" s="25">
        <v>0</v>
      </c>
      <c r="E1559" s="25" t="s">
        <v>4882</v>
      </c>
      <c r="F1559" s="26" t="str">
        <f t="shared" si="132"/>
        <v>A_ABV852014</v>
      </c>
      <c r="G1559" s="26" t="str">
        <f t="shared" si="137"/>
        <v>N/A</v>
      </c>
      <c r="H1559" s="27" t="str">
        <f t="shared" si="140"/>
        <v>HS852014IO_FB0.Mode</v>
      </c>
      <c r="I1559" s="23" t="str">
        <f t="shared" si="141"/>
        <v>N/A</v>
      </c>
    </row>
    <row r="1560" spans="2:9" hidden="1" x14ac:dyDescent="0.25">
      <c r="B1560" s="25" t="s">
        <v>3834</v>
      </c>
      <c r="C1560" s="25" t="s">
        <v>4883</v>
      </c>
      <c r="D1560" s="25">
        <v>0</v>
      </c>
      <c r="E1560" s="25" t="s">
        <v>4884</v>
      </c>
      <c r="F1560" s="26" t="str">
        <f t="shared" si="132"/>
        <v>A_ABV852015</v>
      </c>
      <c r="G1560" s="26" t="str">
        <f t="shared" si="137"/>
        <v>N/A</v>
      </c>
      <c r="H1560" s="27" t="str">
        <f t="shared" si="140"/>
        <v>HS852015IO_FB0.Mode</v>
      </c>
      <c r="I1560" s="23" t="str">
        <f t="shared" si="141"/>
        <v>N/A</v>
      </c>
    </row>
    <row r="1561" spans="2:9" hidden="1" x14ac:dyDescent="0.25">
      <c r="B1561" s="25" t="s">
        <v>3834</v>
      </c>
      <c r="C1561" s="25" t="s">
        <v>4885</v>
      </c>
      <c r="D1561" s="25">
        <v>0</v>
      </c>
      <c r="E1561" s="25" t="s">
        <v>4886</v>
      </c>
      <c r="F1561" s="26" t="str">
        <f t="shared" si="132"/>
        <v>A_ABV853006</v>
      </c>
      <c r="G1561" s="26" t="str">
        <f t="shared" si="137"/>
        <v>N/A</v>
      </c>
      <c r="H1561" s="27" t="str">
        <f t="shared" si="140"/>
        <v>HS853006IO_FB0.Mode</v>
      </c>
      <c r="I1561" s="23" t="str">
        <f t="shared" si="141"/>
        <v>N/A</v>
      </c>
    </row>
    <row r="1562" spans="2:9" hidden="1" x14ac:dyDescent="0.25">
      <c r="B1562" s="25" t="s">
        <v>3834</v>
      </c>
      <c r="C1562" s="25" t="s">
        <v>4887</v>
      </c>
      <c r="D1562" s="25">
        <v>0</v>
      </c>
      <c r="E1562" s="25" t="s">
        <v>4888</v>
      </c>
      <c r="F1562" s="26" t="str">
        <f t="shared" si="132"/>
        <v>A_ABV856007</v>
      </c>
      <c r="G1562" s="26" t="str">
        <f t="shared" si="137"/>
        <v>N/A</v>
      </c>
      <c r="H1562" s="27" t="str">
        <f t="shared" si="140"/>
        <v>HS856007IO_FB0.Mode</v>
      </c>
      <c r="I1562" s="23" t="str">
        <f t="shared" si="141"/>
        <v>N/A</v>
      </c>
    </row>
    <row r="1563" spans="2:9" hidden="1" x14ac:dyDescent="0.25">
      <c r="B1563" s="25" t="s">
        <v>3834</v>
      </c>
      <c r="C1563" s="25" t="s">
        <v>4889</v>
      </c>
      <c r="D1563" s="25">
        <v>0</v>
      </c>
      <c r="E1563" s="25" t="s">
        <v>4890</v>
      </c>
      <c r="F1563" s="26" t="str">
        <f t="shared" si="132"/>
        <v>A_ABV856011</v>
      </c>
      <c r="G1563" s="26" t="str">
        <f t="shared" si="137"/>
        <v>N/A</v>
      </c>
      <c r="H1563" s="27" t="str">
        <f t="shared" si="140"/>
        <v>HS856011IO_FB0.Mode</v>
      </c>
      <c r="I1563" s="23" t="str">
        <f t="shared" si="141"/>
        <v>N/A</v>
      </c>
    </row>
    <row r="1564" spans="2:9" hidden="1" x14ac:dyDescent="0.25">
      <c r="B1564" s="25" t="s">
        <v>3834</v>
      </c>
      <c r="C1564" s="25" t="s">
        <v>4891</v>
      </c>
      <c r="D1564" s="25">
        <v>0</v>
      </c>
      <c r="E1564" s="25" t="s">
        <v>4892</v>
      </c>
      <c r="F1564" s="26" t="str">
        <f t="shared" si="132"/>
        <v>A_ABV856011</v>
      </c>
      <c r="G1564" s="26" t="str">
        <f t="shared" si="137"/>
        <v>N/A</v>
      </c>
      <c r="H1564" s="27" t="str">
        <f t="shared" si="140"/>
        <v>HS856011IO_FB1.Mode</v>
      </c>
      <c r="I1564" s="23" t="str">
        <f t="shared" si="141"/>
        <v>N/A</v>
      </c>
    </row>
    <row r="1565" spans="2:9" hidden="1" x14ac:dyDescent="0.25">
      <c r="B1565" s="25" t="s">
        <v>3834</v>
      </c>
      <c r="C1565" s="25" t="s">
        <v>4893</v>
      </c>
      <c r="D1565" s="25">
        <v>0</v>
      </c>
      <c r="E1565" s="25" t="s">
        <v>4894</v>
      </c>
      <c r="F1565" s="26" t="str">
        <f t="shared" si="132"/>
        <v>A_ABV856012</v>
      </c>
      <c r="G1565" s="26" t="str">
        <f t="shared" si="137"/>
        <v>N/A</v>
      </c>
      <c r="H1565" s="27" t="str">
        <f t="shared" si="140"/>
        <v>HS856012IO_FB0.Mode</v>
      </c>
      <c r="I1565" s="23" t="str">
        <f t="shared" si="141"/>
        <v>N/A</v>
      </c>
    </row>
    <row r="1566" spans="2:9" hidden="1" x14ac:dyDescent="0.25">
      <c r="B1566" s="25" t="s">
        <v>3834</v>
      </c>
      <c r="C1566" s="25" t="s">
        <v>4895</v>
      </c>
      <c r="D1566" s="25">
        <v>0</v>
      </c>
      <c r="E1566" s="25" t="s">
        <v>4896</v>
      </c>
      <c r="F1566" s="26" t="str">
        <f t="shared" si="132"/>
        <v>A_ABV856012</v>
      </c>
      <c r="G1566" s="26" t="str">
        <f t="shared" si="137"/>
        <v>N/A</v>
      </c>
      <c r="H1566" s="27" t="str">
        <f t="shared" si="140"/>
        <v>HS856012IO_FB1.Mode</v>
      </c>
      <c r="I1566" s="23" t="str">
        <f t="shared" si="141"/>
        <v>N/A</v>
      </c>
    </row>
    <row r="1567" spans="2:9" hidden="1" x14ac:dyDescent="0.25">
      <c r="B1567" s="25" t="s">
        <v>3834</v>
      </c>
      <c r="C1567" s="25" t="s">
        <v>4897</v>
      </c>
      <c r="D1567" s="25">
        <v>0</v>
      </c>
      <c r="E1567" s="25" t="s">
        <v>4898</v>
      </c>
      <c r="F1567" s="26" t="str">
        <f t="shared" si="132"/>
        <v>A_ABV859013</v>
      </c>
      <c r="G1567" s="26" t="str">
        <f t="shared" si="137"/>
        <v>N/A</v>
      </c>
      <c r="H1567" s="27" t="str">
        <f t="shared" si="140"/>
        <v>HS859013IO_FB0.Mode</v>
      </c>
      <c r="I1567" s="23" t="str">
        <f t="shared" si="141"/>
        <v>N/A</v>
      </c>
    </row>
    <row r="1568" spans="2:9" hidden="1" x14ac:dyDescent="0.25">
      <c r="B1568" s="25" t="s">
        <v>3834</v>
      </c>
      <c r="C1568" s="25" t="s">
        <v>4899</v>
      </c>
      <c r="D1568" s="25">
        <v>0</v>
      </c>
      <c r="E1568" s="25" t="s">
        <v>4900</v>
      </c>
      <c r="F1568" s="26" t="str">
        <f t="shared" si="132"/>
        <v>A_ABV859014</v>
      </c>
      <c r="G1568" s="26" t="str">
        <f t="shared" si="137"/>
        <v>N/A</v>
      </c>
      <c r="H1568" s="27" t="str">
        <f t="shared" si="140"/>
        <v>HS859014IO_FB0.Mode</v>
      </c>
      <c r="I1568" s="23" t="str">
        <f t="shared" si="141"/>
        <v>N/A</v>
      </c>
    </row>
    <row r="1569" spans="2:9" hidden="1" x14ac:dyDescent="0.25">
      <c r="B1569" s="25" t="s">
        <v>3834</v>
      </c>
      <c r="C1569" s="25" t="s">
        <v>4901</v>
      </c>
      <c r="D1569" s="25">
        <v>0</v>
      </c>
      <c r="E1569" s="25" t="s">
        <v>4902</v>
      </c>
      <c r="F1569" s="26" t="str">
        <f t="shared" si="132"/>
        <v>A_ABV896006</v>
      </c>
      <c r="G1569" s="26" t="str">
        <f t="shared" si="137"/>
        <v>N/A</v>
      </c>
      <c r="H1569" s="27" t="str">
        <f t="shared" si="140"/>
        <v>HS896006IO_FB0.Mode</v>
      </c>
      <c r="I1569" s="23" t="str">
        <f t="shared" si="141"/>
        <v>N/A</v>
      </c>
    </row>
    <row r="1570" spans="2:9" hidden="1" x14ac:dyDescent="0.25">
      <c r="B1570" s="25" t="s">
        <v>3834</v>
      </c>
      <c r="C1570" s="25" t="s">
        <v>4903</v>
      </c>
      <c r="D1570" s="25">
        <v>0</v>
      </c>
      <c r="E1570" s="25" t="s">
        <v>4904</v>
      </c>
      <c r="F1570" s="26" t="str">
        <f t="shared" si="132"/>
        <v>A_ABV896012</v>
      </c>
      <c r="G1570" s="26" t="str">
        <f t="shared" si="137"/>
        <v>N/A</v>
      </c>
      <c r="H1570" s="27" t="str">
        <f t="shared" si="140"/>
        <v>HS896012IO_FB0.Mode</v>
      </c>
      <c r="I1570" s="23" t="str">
        <f t="shared" si="141"/>
        <v>N/A</v>
      </c>
    </row>
    <row r="1571" spans="2:9" hidden="1" x14ac:dyDescent="0.25">
      <c r="B1571" s="25" t="s">
        <v>3834</v>
      </c>
      <c r="C1571" s="25" t="s">
        <v>4905</v>
      </c>
      <c r="D1571" s="25">
        <v>0</v>
      </c>
      <c r="E1571" s="25" t="s">
        <v>4906</v>
      </c>
      <c r="F1571" s="26" t="str">
        <f t="shared" si="132"/>
        <v>A_ABV896106</v>
      </c>
      <c r="G1571" s="26" t="str">
        <f t="shared" si="137"/>
        <v>N/A</v>
      </c>
      <c r="H1571" s="27" t="str">
        <f t="shared" si="140"/>
        <v>HS896106IO_FB0.Mode</v>
      </c>
      <c r="I1571" s="23" t="str">
        <f t="shared" si="141"/>
        <v>N/A</v>
      </c>
    </row>
    <row r="1572" spans="2:9" hidden="1" x14ac:dyDescent="0.25">
      <c r="B1572" s="25" t="s">
        <v>3834</v>
      </c>
      <c r="C1572" s="25" t="s">
        <v>4907</v>
      </c>
      <c r="D1572" s="25">
        <v>0</v>
      </c>
      <c r="E1572" s="25" t="s">
        <v>4908</v>
      </c>
      <c r="F1572" s="26" t="str">
        <f t="shared" si="132"/>
        <v>A_ABV896110</v>
      </c>
      <c r="G1572" s="26" t="str">
        <f t="shared" si="137"/>
        <v>N/A</v>
      </c>
      <c r="H1572" s="27" t="str">
        <f t="shared" si="140"/>
        <v>HS896110IO_FB0.Mode</v>
      </c>
      <c r="I1572" s="23" t="str">
        <f t="shared" si="141"/>
        <v>N/A</v>
      </c>
    </row>
    <row r="1573" spans="2:9" hidden="1" x14ac:dyDescent="0.25">
      <c r="B1573" s="25" t="s">
        <v>3834</v>
      </c>
      <c r="C1573" s="25" t="s">
        <v>4909</v>
      </c>
      <c r="D1573" s="25">
        <v>0</v>
      </c>
      <c r="E1573" s="25" t="s">
        <v>4910</v>
      </c>
      <c r="F1573" s="26" t="str">
        <f t="shared" ref="F1573:F1636" si="142">+LEFT(E1573,FIND(".",E1573,1)-1)</f>
        <v>A_ABV896111</v>
      </c>
      <c r="G1573" s="26" t="str">
        <f t="shared" si="137"/>
        <v>N/A</v>
      </c>
      <c r="H1573" s="27" t="str">
        <f t="shared" si="140"/>
        <v>HS896111IO_FB0.Mode</v>
      </c>
      <c r="I1573" s="23" t="str">
        <f t="shared" si="141"/>
        <v>N/A</v>
      </c>
    </row>
    <row r="1574" spans="2:9" x14ac:dyDescent="0.25">
      <c r="B1574" s="25" t="s">
        <v>3834</v>
      </c>
      <c r="C1574" s="25" t="s">
        <v>4911</v>
      </c>
      <c r="D1574" s="25">
        <v>0</v>
      </c>
      <c r="E1574" s="25" t="s">
        <v>4912</v>
      </c>
      <c r="F1574" s="26" t="str">
        <f t="shared" si="142"/>
        <v>HS897984A</v>
      </c>
      <c r="G1574" s="26">
        <f t="shared" si="137"/>
        <v>2</v>
      </c>
      <c r="H1574" s="27" t="str">
        <f t="shared" si="140"/>
        <v>HS897984AIO.Mode</v>
      </c>
      <c r="I1574" s="23">
        <f t="shared" si="141"/>
        <v>2</v>
      </c>
    </row>
    <row r="1575" spans="2:9" x14ac:dyDescent="0.25">
      <c r="B1575" s="25" t="s">
        <v>3834</v>
      </c>
      <c r="C1575" s="25" t="s">
        <v>4913</v>
      </c>
      <c r="D1575" s="25">
        <v>0</v>
      </c>
      <c r="E1575" s="25" t="s">
        <v>4912</v>
      </c>
      <c r="F1575" s="26" t="str">
        <f t="shared" si="142"/>
        <v>HS897984A</v>
      </c>
      <c r="G1575" s="26">
        <f t="shared" si="137"/>
        <v>2</v>
      </c>
      <c r="H1575" s="27" t="str">
        <f t="shared" si="140"/>
        <v>HS897984AIO_2oo2_MB1.Mode</v>
      </c>
      <c r="I1575" s="23">
        <f t="shared" si="141"/>
        <v>2</v>
      </c>
    </row>
    <row r="1576" spans="2:9" x14ac:dyDescent="0.25">
      <c r="B1576" s="25" t="s">
        <v>3834</v>
      </c>
      <c r="C1576" s="25" t="s">
        <v>4914</v>
      </c>
      <c r="D1576" s="25">
        <v>0</v>
      </c>
      <c r="E1576" s="25" t="s">
        <v>4915</v>
      </c>
      <c r="F1576" s="26" t="str">
        <f t="shared" si="142"/>
        <v>HS897984B</v>
      </c>
      <c r="G1576" s="26">
        <f t="shared" si="137"/>
        <v>2</v>
      </c>
      <c r="H1576" s="27" t="str">
        <f t="shared" si="140"/>
        <v>HS897984AIO_2oo2_MB2.Mode</v>
      </c>
      <c r="I1576" s="23">
        <f t="shared" si="141"/>
        <v>2</v>
      </c>
    </row>
    <row r="1577" spans="2:9" x14ac:dyDescent="0.25">
      <c r="B1577" s="25" t="s">
        <v>3834</v>
      </c>
      <c r="C1577" s="25" t="s">
        <v>4916</v>
      </c>
      <c r="D1577" s="25">
        <v>0</v>
      </c>
      <c r="E1577" s="25" t="s">
        <v>4915</v>
      </c>
      <c r="F1577" s="26" t="str">
        <f t="shared" si="142"/>
        <v>HS897984B</v>
      </c>
      <c r="G1577" s="26">
        <f t="shared" si="137"/>
        <v>2</v>
      </c>
      <c r="H1577" s="27" t="str">
        <f t="shared" si="140"/>
        <v>HS897984BIO.Mode</v>
      </c>
      <c r="I1577" s="23">
        <f t="shared" si="141"/>
        <v>2</v>
      </c>
    </row>
    <row r="1578" spans="2:9" x14ac:dyDescent="0.25">
      <c r="B1578" s="25" t="s">
        <v>3834</v>
      </c>
      <c r="C1578" s="25" t="s">
        <v>4917</v>
      </c>
      <c r="D1578" s="25">
        <v>0</v>
      </c>
      <c r="E1578" s="25" t="s">
        <v>4918</v>
      </c>
      <c r="F1578" s="26" t="str">
        <f t="shared" si="142"/>
        <v>HS897985</v>
      </c>
      <c r="G1578" s="26">
        <f t="shared" si="137"/>
        <v>2</v>
      </c>
      <c r="H1578" s="27" t="str">
        <f t="shared" si="140"/>
        <v>HS897985IO.Mode</v>
      </c>
      <c r="I1578" s="23">
        <f t="shared" si="141"/>
        <v>2</v>
      </c>
    </row>
    <row r="1579" spans="2:9" hidden="1" x14ac:dyDescent="0.25">
      <c r="B1579" s="25" t="s">
        <v>3834</v>
      </c>
      <c r="C1579" s="25" t="s">
        <v>4919</v>
      </c>
      <c r="D1579" s="25">
        <v>0</v>
      </c>
      <c r="E1579" s="25" t="s">
        <v>4920</v>
      </c>
      <c r="F1579" s="26" t="str">
        <f t="shared" si="142"/>
        <v>A_ABV899001</v>
      </c>
      <c r="G1579" s="26" t="str">
        <f t="shared" si="137"/>
        <v>N/A</v>
      </c>
      <c r="H1579" s="27" t="str">
        <f t="shared" si="140"/>
        <v>HS899001IO_FB1.Mode</v>
      </c>
      <c r="I1579" s="23" t="str">
        <f t="shared" si="141"/>
        <v>N/A</v>
      </c>
    </row>
    <row r="1580" spans="2:9" x14ac:dyDescent="0.25">
      <c r="B1580" s="25" t="s">
        <v>3834</v>
      </c>
      <c r="C1580" s="25" t="s">
        <v>4921</v>
      </c>
      <c r="D1580" s="25">
        <v>0</v>
      </c>
      <c r="E1580" s="25" t="s">
        <v>4922</v>
      </c>
      <c r="F1580" s="26" t="str">
        <f t="shared" si="142"/>
        <v>ZSC899127</v>
      </c>
      <c r="G1580" s="26">
        <f t="shared" si="137"/>
        <v>2</v>
      </c>
      <c r="H1580" s="27" t="str">
        <f t="shared" si="140"/>
        <v>HS899127IO.Mode</v>
      </c>
      <c r="I1580" s="23">
        <f t="shared" si="141"/>
        <v>2</v>
      </c>
    </row>
    <row r="1581" spans="2:9" x14ac:dyDescent="0.25">
      <c r="B1581" s="25" t="s">
        <v>3834</v>
      </c>
      <c r="C1581" s="25" t="s">
        <v>4923</v>
      </c>
      <c r="D1581" s="25">
        <v>0</v>
      </c>
      <c r="E1581" s="25" t="s">
        <v>4922</v>
      </c>
      <c r="F1581" s="26" t="str">
        <f t="shared" si="142"/>
        <v>ZSC899127</v>
      </c>
      <c r="G1581" s="26">
        <f t="shared" si="137"/>
        <v>2</v>
      </c>
      <c r="H1581" s="27" t="str">
        <f t="shared" si="140"/>
        <v>HS899128IO.Mode</v>
      </c>
      <c r="I1581" s="23">
        <f t="shared" si="141"/>
        <v>2</v>
      </c>
    </row>
    <row r="1582" spans="2:9" x14ac:dyDescent="0.25">
      <c r="B1582" s="25" t="s">
        <v>3834</v>
      </c>
      <c r="C1582" s="25" t="s">
        <v>4924</v>
      </c>
      <c r="D1582" s="25">
        <v>0</v>
      </c>
      <c r="E1582" s="25" t="s">
        <v>4925</v>
      </c>
      <c r="F1582" s="26" t="str">
        <f t="shared" si="142"/>
        <v>LAL812025</v>
      </c>
      <c r="G1582" s="26">
        <f t="shared" si="137"/>
        <v>2</v>
      </c>
      <c r="H1582" s="27" t="str">
        <f t="shared" si="140"/>
        <v>LAL812025IO.Mode</v>
      </c>
      <c r="I1582" s="23">
        <f t="shared" si="141"/>
        <v>2</v>
      </c>
    </row>
    <row r="1583" spans="2:9" x14ac:dyDescent="0.25">
      <c r="B1583" s="25" t="s">
        <v>3834</v>
      </c>
      <c r="C1583" s="25" t="s">
        <v>4926</v>
      </c>
      <c r="D1583" s="25">
        <v>0</v>
      </c>
      <c r="E1583" s="25" t="s">
        <v>4927</v>
      </c>
      <c r="F1583" s="26" t="str">
        <f t="shared" si="142"/>
        <v>LAL823118</v>
      </c>
      <c r="G1583" s="26">
        <f t="shared" si="137"/>
        <v>2</v>
      </c>
      <c r="H1583" s="27" t="str">
        <f t="shared" si="140"/>
        <v>LAL823118IO.Mode</v>
      </c>
      <c r="I1583" s="23">
        <f t="shared" si="141"/>
        <v>2</v>
      </c>
    </row>
    <row r="1584" spans="2:9" x14ac:dyDescent="0.25">
      <c r="B1584" s="25" t="s">
        <v>3834</v>
      </c>
      <c r="C1584" s="25" t="s">
        <v>4928</v>
      </c>
      <c r="D1584" s="25">
        <v>0</v>
      </c>
      <c r="E1584" s="25" t="s">
        <v>4929</v>
      </c>
      <c r="F1584" s="26" t="str">
        <f t="shared" si="142"/>
        <v>LAL823234</v>
      </c>
      <c r="G1584" s="26">
        <f t="shared" si="137"/>
        <v>2</v>
      </c>
      <c r="H1584" s="27" t="str">
        <f t="shared" si="140"/>
        <v>LAL823234IO.Mode</v>
      </c>
      <c r="I1584" s="23">
        <f t="shared" si="141"/>
        <v>2</v>
      </c>
    </row>
    <row r="1585" spans="2:9" x14ac:dyDescent="0.25">
      <c r="B1585" s="25" t="s">
        <v>3834</v>
      </c>
      <c r="C1585" s="25" t="s">
        <v>4930</v>
      </c>
      <c r="D1585" s="25">
        <v>0</v>
      </c>
      <c r="E1585" s="25" t="s">
        <v>4931</v>
      </c>
      <c r="F1585" s="26" t="str">
        <f t="shared" si="142"/>
        <v>LAL832236</v>
      </c>
      <c r="G1585" s="26">
        <f t="shared" si="137"/>
        <v>2</v>
      </c>
      <c r="H1585" s="27" t="str">
        <f>+CONCATENATE(C1585,".MA")</f>
        <v>LAL832236IO.MA</v>
      </c>
      <c r="I1585" s="23">
        <f>+G1585</f>
        <v>2</v>
      </c>
    </row>
    <row r="1586" spans="2:9" x14ac:dyDescent="0.25">
      <c r="B1586" s="25" t="s">
        <v>3834</v>
      </c>
      <c r="C1586" s="25" t="s">
        <v>4932</v>
      </c>
      <c r="D1586" s="25">
        <v>0</v>
      </c>
      <c r="E1586" s="25" t="s">
        <v>4933</v>
      </c>
      <c r="F1586" s="26" t="str">
        <f t="shared" si="142"/>
        <v>LAL832356</v>
      </c>
      <c r="G1586" s="26">
        <f t="shared" si="137"/>
        <v>2</v>
      </c>
      <c r="H1586" s="27" t="str">
        <f t="shared" ref="H1586:H1587" si="143">+CONCATENATE(C1586,".Mode")</f>
        <v>LAL832356IO.Mode</v>
      </c>
      <c r="I1586" s="23">
        <f t="shared" ref="I1586:I1587" si="144">+G1586</f>
        <v>2</v>
      </c>
    </row>
    <row r="1587" spans="2:9" x14ac:dyDescent="0.25">
      <c r="B1587" s="25" t="s">
        <v>3834</v>
      </c>
      <c r="C1587" s="25" t="s">
        <v>4934</v>
      </c>
      <c r="D1587" s="25">
        <v>0</v>
      </c>
      <c r="E1587" s="25" t="s">
        <v>4935</v>
      </c>
      <c r="F1587" s="26" t="str">
        <f t="shared" si="142"/>
        <v>LAL832357</v>
      </c>
      <c r="G1587" s="26">
        <f t="shared" si="137"/>
        <v>2</v>
      </c>
      <c r="H1587" s="27" t="str">
        <f t="shared" si="143"/>
        <v>LAL832357IO.Mode</v>
      </c>
      <c r="I1587" s="23">
        <f t="shared" si="144"/>
        <v>2</v>
      </c>
    </row>
    <row r="1588" spans="2:9" x14ac:dyDescent="0.25">
      <c r="B1588" s="25" t="s">
        <v>3834</v>
      </c>
      <c r="C1588" s="25" t="s">
        <v>4936</v>
      </c>
      <c r="D1588" s="25">
        <v>0</v>
      </c>
      <c r="E1588" s="25" t="s">
        <v>4937</v>
      </c>
      <c r="F1588" s="26" t="str">
        <f t="shared" si="142"/>
        <v>PAL843642</v>
      </c>
      <c r="G1588" s="26">
        <f t="shared" si="137"/>
        <v>2</v>
      </c>
      <c r="H1588" s="27" t="str">
        <f>+CONCATENATE(C1588,".MA")</f>
        <v>PAL843642IO.MA</v>
      </c>
      <c r="I1588" s="23">
        <f>+G1588</f>
        <v>2</v>
      </c>
    </row>
    <row r="1589" spans="2:9" x14ac:dyDescent="0.25">
      <c r="B1589" s="25" t="s">
        <v>3834</v>
      </c>
      <c r="C1589" s="25" t="s">
        <v>4938</v>
      </c>
      <c r="D1589" s="25">
        <v>0</v>
      </c>
      <c r="E1589" s="25" t="s">
        <v>4939</v>
      </c>
      <c r="F1589" s="26" t="str">
        <f t="shared" si="142"/>
        <v>XA800001</v>
      </c>
      <c r="G1589" s="26">
        <f t="shared" si="137"/>
        <v>2</v>
      </c>
      <c r="H1589" s="27" t="str">
        <f t="shared" ref="H1589:H1600" si="145">+CONCATENATE(C1589,".Mode")</f>
        <v>XA800001IO.Mode</v>
      </c>
      <c r="I1589" s="23">
        <f t="shared" ref="I1589:I1600" si="146">+G1589</f>
        <v>2</v>
      </c>
    </row>
    <row r="1590" spans="2:9" x14ac:dyDescent="0.25">
      <c r="B1590" s="25" t="s">
        <v>3834</v>
      </c>
      <c r="C1590" s="25" t="s">
        <v>4940</v>
      </c>
      <c r="D1590" s="25">
        <v>0</v>
      </c>
      <c r="E1590" s="25" t="s">
        <v>4941</v>
      </c>
      <c r="F1590" s="26" t="str">
        <f t="shared" si="142"/>
        <v>XA800101</v>
      </c>
      <c r="G1590" s="26">
        <f t="shared" si="137"/>
        <v>2</v>
      </c>
      <c r="H1590" s="27" t="str">
        <f t="shared" si="145"/>
        <v>XA800101IO.Mode</v>
      </c>
      <c r="I1590" s="23">
        <f t="shared" si="146"/>
        <v>2</v>
      </c>
    </row>
    <row r="1591" spans="2:9" hidden="1" x14ac:dyDescent="0.25">
      <c r="B1591" s="25" t="s">
        <v>3834</v>
      </c>
      <c r="C1591" s="25" t="s">
        <v>4942</v>
      </c>
      <c r="D1591" s="25">
        <v>0</v>
      </c>
      <c r="E1591" s="25" t="s">
        <v>4943</v>
      </c>
      <c r="F1591" s="26" t="str">
        <f t="shared" si="142"/>
        <v>XS802002</v>
      </c>
      <c r="G1591" s="26">
        <f t="shared" si="137"/>
        <v>0</v>
      </c>
      <c r="H1591" s="27" t="str">
        <f t="shared" si="145"/>
        <v>XA802002IO.Mode</v>
      </c>
      <c r="I1591" s="23">
        <f t="shared" si="146"/>
        <v>0</v>
      </c>
    </row>
    <row r="1592" spans="2:9" hidden="1" x14ac:dyDescent="0.25">
      <c r="B1592" s="25" t="s">
        <v>3834</v>
      </c>
      <c r="C1592" s="25" t="s">
        <v>4944</v>
      </c>
      <c r="D1592" s="25">
        <v>0</v>
      </c>
      <c r="E1592" s="25" t="s">
        <v>4945</v>
      </c>
      <c r="F1592" s="26" t="str">
        <f t="shared" si="142"/>
        <v>XS802005</v>
      </c>
      <c r="G1592" s="26">
        <f t="shared" si="137"/>
        <v>0</v>
      </c>
      <c r="H1592" s="27" t="str">
        <f t="shared" si="145"/>
        <v>XA802005IO.Mode</v>
      </c>
      <c r="I1592" s="23">
        <f t="shared" si="146"/>
        <v>0</v>
      </c>
    </row>
    <row r="1593" spans="2:9" hidden="1" x14ac:dyDescent="0.25">
      <c r="B1593" s="25" t="s">
        <v>3834</v>
      </c>
      <c r="C1593" s="25" t="s">
        <v>4946</v>
      </c>
      <c r="D1593" s="25">
        <v>0</v>
      </c>
      <c r="E1593" s="25" t="s">
        <v>4947</v>
      </c>
      <c r="F1593" s="26" t="str">
        <f t="shared" si="142"/>
        <v>XS802008</v>
      </c>
      <c r="G1593" s="26">
        <f t="shared" si="137"/>
        <v>0</v>
      </c>
      <c r="H1593" s="27" t="str">
        <f t="shared" si="145"/>
        <v>XA802008IO.Mode</v>
      </c>
      <c r="I1593" s="23">
        <f t="shared" si="146"/>
        <v>0</v>
      </c>
    </row>
    <row r="1594" spans="2:9" x14ac:dyDescent="0.25">
      <c r="B1594" s="25" t="s">
        <v>3834</v>
      </c>
      <c r="C1594" s="25" t="s">
        <v>4948</v>
      </c>
      <c r="D1594" s="25">
        <v>0</v>
      </c>
      <c r="E1594" s="25" t="s">
        <v>4949</v>
      </c>
      <c r="F1594" s="26" t="str">
        <f t="shared" si="142"/>
        <v>HS821818</v>
      </c>
      <c r="G1594" s="26">
        <f t="shared" si="137"/>
        <v>2</v>
      </c>
      <c r="H1594" s="27" t="str">
        <f t="shared" si="145"/>
        <v>XA821818IO.Mode</v>
      </c>
      <c r="I1594" s="23">
        <f t="shared" si="146"/>
        <v>2</v>
      </c>
    </row>
    <row r="1595" spans="2:9" x14ac:dyDescent="0.25">
      <c r="B1595" s="25" t="s">
        <v>3834</v>
      </c>
      <c r="C1595" s="25" t="s">
        <v>4950</v>
      </c>
      <c r="D1595" s="25">
        <v>0</v>
      </c>
      <c r="E1595" s="25" t="s">
        <v>4951</v>
      </c>
      <c r="F1595" s="26" t="str">
        <f t="shared" si="142"/>
        <v>HS821820</v>
      </c>
      <c r="G1595" s="26">
        <f t="shared" si="137"/>
        <v>2</v>
      </c>
      <c r="H1595" s="27" t="str">
        <f t="shared" si="145"/>
        <v>XA821820IO.Mode</v>
      </c>
      <c r="I1595" s="23">
        <f t="shared" si="146"/>
        <v>2</v>
      </c>
    </row>
    <row r="1596" spans="2:9" hidden="1" x14ac:dyDescent="0.25">
      <c r="B1596" s="25" t="s">
        <v>3834</v>
      </c>
      <c r="C1596" s="25" t="s">
        <v>4952</v>
      </c>
      <c r="D1596" s="25">
        <v>0</v>
      </c>
      <c r="E1596" s="25" t="s">
        <v>4953</v>
      </c>
      <c r="F1596" s="26" t="str">
        <f t="shared" si="142"/>
        <v>HS821917</v>
      </c>
      <c r="G1596" s="26">
        <f t="shared" si="137"/>
        <v>0</v>
      </c>
      <c r="H1596" s="27" t="str">
        <f t="shared" si="145"/>
        <v>XA821917IO.Mode</v>
      </c>
      <c r="I1596" s="23">
        <f t="shared" si="146"/>
        <v>0</v>
      </c>
    </row>
    <row r="1597" spans="2:9" hidden="1" x14ac:dyDescent="0.25">
      <c r="B1597" s="25" t="s">
        <v>3834</v>
      </c>
      <c r="C1597" s="25" t="s">
        <v>4954</v>
      </c>
      <c r="D1597" s="25">
        <v>0</v>
      </c>
      <c r="E1597" s="25" t="s">
        <v>4955</v>
      </c>
      <c r="F1597" s="26" t="str">
        <f t="shared" si="142"/>
        <v>HS830001</v>
      </c>
      <c r="G1597" s="26">
        <f t="shared" si="137"/>
        <v>0</v>
      </c>
      <c r="H1597" s="27" t="str">
        <f t="shared" si="145"/>
        <v>XA830001IO.Mode</v>
      </c>
      <c r="I1597" s="23">
        <f t="shared" si="146"/>
        <v>0</v>
      </c>
    </row>
    <row r="1598" spans="2:9" x14ac:dyDescent="0.25">
      <c r="B1598" s="25" t="s">
        <v>3834</v>
      </c>
      <c r="C1598" s="25" t="s">
        <v>4956</v>
      </c>
      <c r="D1598" s="25">
        <v>0</v>
      </c>
      <c r="E1598" s="25" t="s">
        <v>4957</v>
      </c>
      <c r="F1598" s="26" t="str">
        <f t="shared" si="142"/>
        <v>XA830645</v>
      </c>
      <c r="G1598" s="26">
        <f t="shared" si="137"/>
        <v>2</v>
      </c>
      <c r="H1598" s="27" t="str">
        <f t="shared" si="145"/>
        <v>XA830645IO.Mode</v>
      </c>
      <c r="I1598" s="23">
        <f t="shared" si="146"/>
        <v>2</v>
      </c>
    </row>
    <row r="1599" spans="2:9" x14ac:dyDescent="0.25">
      <c r="B1599" s="25" t="s">
        <v>3834</v>
      </c>
      <c r="C1599" s="25" t="s">
        <v>4958</v>
      </c>
      <c r="D1599" s="25">
        <v>0</v>
      </c>
      <c r="E1599" s="25" t="s">
        <v>4959</v>
      </c>
      <c r="F1599" s="26" t="str">
        <f t="shared" si="142"/>
        <v>XS843007</v>
      </c>
      <c r="G1599" s="26">
        <f t="shared" si="137"/>
        <v>2</v>
      </c>
      <c r="H1599" s="27" t="str">
        <f t="shared" si="145"/>
        <v>XA843007IO.Mode</v>
      </c>
      <c r="I1599" s="23">
        <f t="shared" si="146"/>
        <v>2</v>
      </c>
    </row>
    <row r="1600" spans="2:9" x14ac:dyDescent="0.25">
      <c r="B1600" s="25" t="s">
        <v>3834</v>
      </c>
      <c r="C1600" s="25" t="s">
        <v>4960</v>
      </c>
      <c r="D1600" s="25">
        <v>0</v>
      </c>
      <c r="E1600" s="25" t="s">
        <v>4961</v>
      </c>
      <c r="F1600" s="26" t="str">
        <f t="shared" si="142"/>
        <v>XS843008</v>
      </c>
      <c r="G1600" s="26">
        <f t="shared" si="137"/>
        <v>2</v>
      </c>
      <c r="H1600" s="27" t="str">
        <f t="shared" si="145"/>
        <v>XA843008IO.Mode</v>
      </c>
      <c r="I1600" s="23">
        <f t="shared" si="146"/>
        <v>2</v>
      </c>
    </row>
    <row r="1601" spans="2:9" x14ac:dyDescent="0.25">
      <c r="B1601" s="25" t="s">
        <v>3834</v>
      </c>
      <c r="C1601" s="25" t="s">
        <v>4962</v>
      </c>
      <c r="D1601" s="25">
        <v>0</v>
      </c>
      <c r="E1601" s="25" t="s">
        <v>4963</v>
      </c>
      <c r="F1601" s="26" t="str">
        <f t="shared" si="142"/>
        <v>XS843010</v>
      </c>
      <c r="G1601" s="26">
        <f t="shared" si="137"/>
        <v>2</v>
      </c>
      <c r="H1601" s="27" t="str">
        <f>+CONCATENATE(C1601,".MA")</f>
        <v>XA843010IO.MA</v>
      </c>
      <c r="I1601" s="23">
        <f>+G1601</f>
        <v>2</v>
      </c>
    </row>
    <row r="1602" spans="2:9" x14ac:dyDescent="0.25">
      <c r="B1602" s="25" t="s">
        <v>3834</v>
      </c>
      <c r="C1602" s="25" t="s">
        <v>4964</v>
      </c>
      <c r="D1602" s="25">
        <v>0</v>
      </c>
      <c r="E1602" s="25" t="s">
        <v>4965</v>
      </c>
      <c r="F1602" s="26" t="str">
        <f t="shared" si="142"/>
        <v>XS859001</v>
      </c>
      <c r="G1602" s="26">
        <f t="shared" ref="G1602:G1665" si="147">+IFERROR(IF(VLOOKUP(F1602,DI,2,FALSE)="IO",2,0),"N/A")</f>
        <v>2</v>
      </c>
      <c r="H1602" s="27" t="str">
        <f t="shared" ref="H1602:H1603" si="148">+CONCATENATE(C1602,".Mode")</f>
        <v>XA859001IO.Mode</v>
      </c>
      <c r="I1602" s="23">
        <f t="shared" ref="I1602:I1603" si="149">+G1602</f>
        <v>2</v>
      </c>
    </row>
    <row r="1603" spans="2:9" x14ac:dyDescent="0.25">
      <c r="B1603" s="25" t="s">
        <v>3834</v>
      </c>
      <c r="C1603" s="25" t="s">
        <v>4966</v>
      </c>
      <c r="D1603" s="25">
        <v>0</v>
      </c>
      <c r="E1603" s="25" t="s">
        <v>4967</v>
      </c>
      <c r="F1603" s="26" t="str">
        <f t="shared" si="142"/>
        <v>XS896210</v>
      </c>
      <c r="G1603" s="26">
        <f t="shared" si="147"/>
        <v>2</v>
      </c>
      <c r="H1603" s="27" t="str">
        <f t="shared" si="148"/>
        <v>XA896210IO.Mode</v>
      </c>
      <c r="I1603" s="23">
        <f t="shared" si="149"/>
        <v>2</v>
      </c>
    </row>
    <row r="1604" spans="2:9" x14ac:dyDescent="0.25">
      <c r="B1604" s="25" t="s">
        <v>3834</v>
      </c>
      <c r="C1604" s="25" t="s">
        <v>4968</v>
      </c>
      <c r="D1604" s="25">
        <v>0</v>
      </c>
      <c r="E1604" s="25" t="s">
        <v>4969</v>
      </c>
      <c r="F1604" s="26" t="str">
        <f t="shared" si="142"/>
        <v>XS896211</v>
      </c>
      <c r="G1604" s="26">
        <f t="shared" si="147"/>
        <v>2</v>
      </c>
      <c r="H1604" s="27" t="str">
        <f>+CONCATENATE(C1604,".MA")</f>
        <v>XA896211IO.MA</v>
      </c>
      <c r="I1604" s="23">
        <f>+G1604</f>
        <v>2</v>
      </c>
    </row>
    <row r="1605" spans="2:9" x14ac:dyDescent="0.25">
      <c r="B1605" s="25" t="s">
        <v>3834</v>
      </c>
      <c r="C1605" s="25" t="s">
        <v>4970</v>
      </c>
      <c r="D1605" s="25">
        <v>0</v>
      </c>
      <c r="E1605" s="25" t="s">
        <v>4971</v>
      </c>
      <c r="F1605" s="26" t="str">
        <f t="shared" si="142"/>
        <v>XS897920</v>
      </c>
      <c r="G1605" s="26">
        <f t="shared" si="147"/>
        <v>2</v>
      </c>
      <c r="H1605" s="27" t="str">
        <f t="shared" ref="H1605:H1606" si="150">+CONCATENATE(C1605,".Mode")</f>
        <v>XA897920IO.Mode</v>
      </c>
      <c r="I1605" s="23">
        <f t="shared" ref="I1605:I1606" si="151">+G1605</f>
        <v>2</v>
      </c>
    </row>
    <row r="1606" spans="2:9" x14ac:dyDescent="0.25">
      <c r="B1606" s="25" t="s">
        <v>3834</v>
      </c>
      <c r="C1606" s="25" t="s">
        <v>4972</v>
      </c>
      <c r="D1606" s="25">
        <v>0</v>
      </c>
      <c r="E1606" s="25" t="s">
        <v>4973</v>
      </c>
      <c r="F1606" s="26" t="str">
        <f t="shared" si="142"/>
        <v>XS897921</v>
      </c>
      <c r="G1606" s="26">
        <f t="shared" si="147"/>
        <v>2</v>
      </c>
      <c r="H1606" s="27" t="str">
        <f t="shared" si="150"/>
        <v>XA897921IO.Mode</v>
      </c>
      <c r="I1606" s="23">
        <f t="shared" si="151"/>
        <v>2</v>
      </c>
    </row>
    <row r="1607" spans="2:9" x14ac:dyDescent="0.25">
      <c r="B1607" s="25" t="s">
        <v>3834</v>
      </c>
      <c r="C1607" s="25" t="s">
        <v>4974</v>
      </c>
      <c r="D1607" s="25">
        <v>0</v>
      </c>
      <c r="E1607" s="25" t="s">
        <v>4975</v>
      </c>
      <c r="F1607" s="26" t="str">
        <f t="shared" si="142"/>
        <v>XS897922</v>
      </c>
      <c r="G1607" s="26">
        <f t="shared" si="147"/>
        <v>2</v>
      </c>
      <c r="H1607" s="27" t="str">
        <f>+CONCATENATE(C1607,".MA")</f>
        <v>XA897922IO.MA</v>
      </c>
      <c r="I1607" s="23">
        <f>+G1607</f>
        <v>2</v>
      </c>
    </row>
    <row r="1608" spans="2:9" x14ac:dyDescent="0.25">
      <c r="B1608" s="25" t="s">
        <v>3834</v>
      </c>
      <c r="C1608" s="25" t="s">
        <v>4976</v>
      </c>
      <c r="D1608" s="25">
        <v>0</v>
      </c>
      <c r="E1608" s="25" t="s">
        <v>4977</v>
      </c>
      <c r="F1608" s="26" t="str">
        <f t="shared" si="142"/>
        <v>XS897923</v>
      </c>
      <c r="G1608" s="26">
        <f t="shared" si="147"/>
        <v>2</v>
      </c>
      <c r="H1608" s="27" t="str">
        <f t="shared" ref="H1608:H1615" si="152">+CONCATENATE(C1608,".Mode")</f>
        <v>XA897923IO.Mode</v>
      </c>
      <c r="I1608" s="23">
        <f t="shared" ref="I1608:I1615" si="153">+G1608</f>
        <v>2</v>
      </c>
    </row>
    <row r="1609" spans="2:9" x14ac:dyDescent="0.25">
      <c r="B1609" s="25" t="s">
        <v>3834</v>
      </c>
      <c r="C1609" s="25" t="s">
        <v>4978</v>
      </c>
      <c r="D1609" s="25">
        <v>0</v>
      </c>
      <c r="E1609" s="25" t="s">
        <v>4979</v>
      </c>
      <c r="F1609" s="26" t="str">
        <f t="shared" si="142"/>
        <v>XS897924</v>
      </c>
      <c r="G1609" s="26">
        <f t="shared" si="147"/>
        <v>2</v>
      </c>
      <c r="H1609" s="27" t="str">
        <f t="shared" si="152"/>
        <v>XA897924IO.Mode</v>
      </c>
      <c r="I1609" s="23">
        <f t="shared" si="153"/>
        <v>2</v>
      </c>
    </row>
    <row r="1610" spans="2:9" x14ac:dyDescent="0.25">
      <c r="B1610" s="25" t="s">
        <v>3834</v>
      </c>
      <c r="C1610" s="25" t="s">
        <v>4980</v>
      </c>
      <c r="D1610" s="25">
        <v>0</v>
      </c>
      <c r="E1610" s="25" t="s">
        <v>4981</v>
      </c>
      <c r="F1610" s="26" t="str">
        <f t="shared" si="142"/>
        <v>XS897925</v>
      </c>
      <c r="G1610" s="26">
        <f t="shared" si="147"/>
        <v>2</v>
      </c>
      <c r="H1610" s="27" t="str">
        <f t="shared" si="152"/>
        <v>XA897925IO.Mode</v>
      </c>
      <c r="I1610" s="23">
        <f t="shared" si="153"/>
        <v>2</v>
      </c>
    </row>
    <row r="1611" spans="2:9" x14ac:dyDescent="0.25">
      <c r="B1611" s="25" t="s">
        <v>3834</v>
      </c>
      <c r="C1611" s="25" t="s">
        <v>4982</v>
      </c>
      <c r="D1611" s="25">
        <v>0</v>
      </c>
      <c r="E1611" s="25" t="s">
        <v>4983</v>
      </c>
      <c r="F1611" s="26" t="str">
        <f t="shared" si="142"/>
        <v>XS897930</v>
      </c>
      <c r="G1611" s="26">
        <f t="shared" si="147"/>
        <v>2</v>
      </c>
      <c r="H1611" s="27" t="str">
        <f t="shared" si="152"/>
        <v>XA897930IO.Mode</v>
      </c>
      <c r="I1611" s="23">
        <f t="shared" si="153"/>
        <v>2</v>
      </c>
    </row>
    <row r="1612" spans="2:9" x14ac:dyDescent="0.25">
      <c r="B1612" s="25" t="s">
        <v>3834</v>
      </c>
      <c r="C1612" s="25" t="s">
        <v>4984</v>
      </c>
      <c r="D1612" s="25">
        <v>0</v>
      </c>
      <c r="E1612" s="25" t="s">
        <v>4985</v>
      </c>
      <c r="F1612" s="26" t="str">
        <f t="shared" si="142"/>
        <v>XS897931</v>
      </c>
      <c r="G1612" s="26">
        <f t="shared" si="147"/>
        <v>2</v>
      </c>
      <c r="H1612" s="27" t="str">
        <f t="shared" si="152"/>
        <v>XA897931IO.Mode</v>
      </c>
      <c r="I1612" s="23">
        <f t="shared" si="153"/>
        <v>2</v>
      </c>
    </row>
    <row r="1613" spans="2:9" x14ac:dyDescent="0.25">
      <c r="B1613" s="25" t="s">
        <v>3834</v>
      </c>
      <c r="C1613" s="25" t="s">
        <v>4986</v>
      </c>
      <c r="D1613" s="25">
        <v>0</v>
      </c>
      <c r="E1613" s="25" t="s">
        <v>4987</v>
      </c>
      <c r="F1613" s="26" t="str">
        <f t="shared" si="142"/>
        <v>XS897934</v>
      </c>
      <c r="G1613" s="26">
        <f t="shared" si="147"/>
        <v>2</v>
      </c>
      <c r="H1613" s="27" t="str">
        <f t="shared" si="152"/>
        <v>XA897934IO.Mode</v>
      </c>
      <c r="I1613" s="23">
        <f t="shared" si="153"/>
        <v>2</v>
      </c>
    </row>
    <row r="1614" spans="2:9" x14ac:dyDescent="0.25">
      <c r="B1614" s="25" t="s">
        <v>3834</v>
      </c>
      <c r="C1614" s="25" t="s">
        <v>4988</v>
      </c>
      <c r="D1614" s="25">
        <v>0</v>
      </c>
      <c r="E1614" s="25" t="s">
        <v>4989</v>
      </c>
      <c r="F1614" s="26" t="str">
        <f t="shared" si="142"/>
        <v>XS897938</v>
      </c>
      <c r="G1614" s="26">
        <f t="shared" si="147"/>
        <v>2</v>
      </c>
      <c r="H1614" s="27" t="str">
        <f t="shared" si="152"/>
        <v>XA897938IO.Mode</v>
      </c>
      <c r="I1614" s="23">
        <f t="shared" si="153"/>
        <v>2</v>
      </c>
    </row>
    <row r="1615" spans="2:9" x14ac:dyDescent="0.25">
      <c r="B1615" s="25" t="s">
        <v>3834</v>
      </c>
      <c r="C1615" s="25" t="s">
        <v>4990</v>
      </c>
      <c r="D1615" s="25">
        <v>0</v>
      </c>
      <c r="E1615" s="25" t="s">
        <v>4991</v>
      </c>
      <c r="F1615" s="26" t="str">
        <f t="shared" si="142"/>
        <v>XS897941</v>
      </c>
      <c r="G1615" s="26">
        <f t="shared" si="147"/>
        <v>2</v>
      </c>
      <c r="H1615" s="27" t="str">
        <f t="shared" si="152"/>
        <v>XA897941IO.Mode</v>
      </c>
      <c r="I1615" s="23">
        <f t="shared" si="153"/>
        <v>2</v>
      </c>
    </row>
    <row r="1616" spans="2:9" x14ac:dyDescent="0.25">
      <c r="B1616" s="25" t="s">
        <v>3834</v>
      </c>
      <c r="C1616" s="25" t="s">
        <v>4992</v>
      </c>
      <c r="D1616" s="25">
        <v>0</v>
      </c>
      <c r="E1616" s="25" t="s">
        <v>4993</v>
      </c>
      <c r="F1616" s="26" t="str">
        <f t="shared" si="142"/>
        <v>XS897947</v>
      </c>
      <c r="G1616" s="26">
        <f t="shared" si="147"/>
        <v>2</v>
      </c>
      <c r="H1616" s="27" t="str">
        <f>+CONCATENATE(C1616,".MA")</f>
        <v>XA897947IO.MA</v>
      </c>
      <c r="I1616" s="23">
        <f>+G1616</f>
        <v>2</v>
      </c>
    </row>
    <row r="1617" spans="2:9" x14ac:dyDescent="0.25">
      <c r="B1617" s="25" t="s">
        <v>3834</v>
      </c>
      <c r="C1617" s="25" t="s">
        <v>4994</v>
      </c>
      <c r="D1617" s="25">
        <v>0</v>
      </c>
      <c r="E1617" s="25" t="s">
        <v>4995</v>
      </c>
      <c r="F1617" s="26" t="str">
        <f t="shared" si="142"/>
        <v>XS897948</v>
      </c>
      <c r="G1617" s="26">
        <f t="shared" si="147"/>
        <v>2</v>
      </c>
      <c r="H1617" s="27" t="str">
        <f t="shared" ref="H1617:H1618" si="154">+CONCATENATE(C1617,".Mode")</f>
        <v>XA897948IO.Mode</v>
      </c>
      <c r="I1617" s="23">
        <f t="shared" ref="I1617:I1618" si="155">+G1617</f>
        <v>2</v>
      </c>
    </row>
    <row r="1618" spans="2:9" x14ac:dyDescent="0.25">
      <c r="B1618" s="25" t="s">
        <v>3834</v>
      </c>
      <c r="C1618" s="25" t="s">
        <v>4996</v>
      </c>
      <c r="D1618" s="25">
        <v>0</v>
      </c>
      <c r="E1618" s="25" t="s">
        <v>4997</v>
      </c>
      <c r="F1618" s="26" t="str">
        <f t="shared" si="142"/>
        <v>XS897949</v>
      </c>
      <c r="G1618" s="26">
        <f t="shared" si="147"/>
        <v>2</v>
      </c>
      <c r="H1618" s="27" t="str">
        <f t="shared" si="154"/>
        <v>XA897949IO.Mode</v>
      </c>
      <c r="I1618" s="23">
        <f t="shared" si="155"/>
        <v>2</v>
      </c>
    </row>
    <row r="1619" spans="2:9" x14ac:dyDescent="0.25">
      <c r="B1619" s="25" t="s">
        <v>3834</v>
      </c>
      <c r="C1619" s="25" t="s">
        <v>4998</v>
      </c>
      <c r="D1619" s="25">
        <v>0</v>
      </c>
      <c r="E1619" s="25" t="s">
        <v>4999</v>
      </c>
      <c r="F1619" s="26" t="str">
        <f t="shared" si="142"/>
        <v>XS897950</v>
      </c>
      <c r="G1619" s="26">
        <f t="shared" si="147"/>
        <v>2</v>
      </c>
      <c r="H1619" s="27" t="str">
        <f>+CONCATENATE(C1619,".MA")</f>
        <v>XA897950IO.MA</v>
      </c>
      <c r="I1619" s="23">
        <f>+G1619</f>
        <v>2</v>
      </c>
    </row>
    <row r="1620" spans="2:9" x14ac:dyDescent="0.25">
      <c r="B1620" s="25" t="s">
        <v>3834</v>
      </c>
      <c r="C1620" s="25" t="s">
        <v>5000</v>
      </c>
      <c r="D1620" s="25">
        <v>0</v>
      </c>
      <c r="E1620" s="25" t="s">
        <v>5001</v>
      </c>
      <c r="F1620" s="26" t="str">
        <f t="shared" si="142"/>
        <v>XS897951</v>
      </c>
      <c r="G1620" s="26">
        <f t="shared" si="147"/>
        <v>2</v>
      </c>
      <c r="H1620" s="27" t="str">
        <f t="shared" ref="H1620:H1621" si="156">+CONCATENATE(C1620,".Mode")</f>
        <v>XA897951IO.Mode</v>
      </c>
      <c r="I1620" s="23">
        <f t="shared" ref="I1620:I1621" si="157">+G1620</f>
        <v>2</v>
      </c>
    </row>
    <row r="1621" spans="2:9" x14ac:dyDescent="0.25">
      <c r="B1621" s="25" t="s">
        <v>3834</v>
      </c>
      <c r="C1621" s="25" t="s">
        <v>5002</v>
      </c>
      <c r="D1621" s="25">
        <v>0</v>
      </c>
      <c r="E1621" s="25" t="s">
        <v>5003</v>
      </c>
      <c r="F1621" s="26" t="str">
        <f t="shared" si="142"/>
        <v>XS897955</v>
      </c>
      <c r="G1621" s="26">
        <f t="shared" si="147"/>
        <v>2</v>
      </c>
      <c r="H1621" s="27" t="str">
        <f t="shared" si="156"/>
        <v>XA897955IO.Mode</v>
      </c>
      <c r="I1621" s="23">
        <f t="shared" si="157"/>
        <v>2</v>
      </c>
    </row>
    <row r="1622" spans="2:9" x14ac:dyDescent="0.25">
      <c r="B1622" s="25" t="s">
        <v>3834</v>
      </c>
      <c r="C1622" s="25" t="s">
        <v>5004</v>
      </c>
      <c r="D1622" s="25">
        <v>0</v>
      </c>
      <c r="E1622" s="25" t="s">
        <v>5005</v>
      </c>
      <c r="F1622" s="26" t="str">
        <f t="shared" si="142"/>
        <v>XS897956</v>
      </c>
      <c r="G1622" s="26">
        <f t="shared" si="147"/>
        <v>2</v>
      </c>
      <c r="H1622" s="27" t="str">
        <f>+CONCATENATE(C1622,".MA")</f>
        <v>XA897956IO.MA</v>
      </c>
      <c r="I1622" s="23">
        <f>+G1622</f>
        <v>2</v>
      </c>
    </row>
    <row r="1623" spans="2:9" x14ac:dyDescent="0.25">
      <c r="B1623" s="25" t="s">
        <v>3834</v>
      </c>
      <c r="C1623" s="25" t="s">
        <v>5006</v>
      </c>
      <c r="D1623" s="25">
        <v>0</v>
      </c>
      <c r="E1623" s="25" t="s">
        <v>5007</v>
      </c>
      <c r="F1623" s="26" t="str">
        <f t="shared" si="142"/>
        <v>XS897957</v>
      </c>
      <c r="G1623" s="26">
        <f t="shared" si="147"/>
        <v>2</v>
      </c>
      <c r="H1623" s="27" t="str">
        <f t="shared" ref="H1623:H1626" si="158">+CONCATENATE(C1623,".Mode")</f>
        <v>XA897957IO.Mode</v>
      </c>
      <c r="I1623" s="23">
        <f t="shared" ref="I1623:I1626" si="159">+G1623</f>
        <v>2</v>
      </c>
    </row>
    <row r="1624" spans="2:9" x14ac:dyDescent="0.25">
      <c r="B1624" s="25" t="s">
        <v>3834</v>
      </c>
      <c r="C1624" s="25" t="s">
        <v>5008</v>
      </c>
      <c r="D1624" s="25">
        <v>0</v>
      </c>
      <c r="E1624" s="25" t="s">
        <v>5009</v>
      </c>
      <c r="F1624" s="26" t="str">
        <f t="shared" si="142"/>
        <v>XS897958</v>
      </c>
      <c r="G1624" s="26">
        <f t="shared" si="147"/>
        <v>2</v>
      </c>
      <c r="H1624" s="27" t="str">
        <f t="shared" si="158"/>
        <v>XA897958IO.Mode</v>
      </c>
      <c r="I1624" s="23">
        <f t="shared" si="159"/>
        <v>2</v>
      </c>
    </row>
    <row r="1625" spans="2:9" x14ac:dyDescent="0.25">
      <c r="B1625" s="25" t="s">
        <v>3834</v>
      </c>
      <c r="C1625" s="25" t="s">
        <v>5010</v>
      </c>
      <c r="D1625" s="25">
        <v>0</v>
      </c>
      <c r="E1625" s="25" t="s">
        <v>5011</v>
      </c>
      <c r="F1625" s="26" t="str">
        <f t="shared" si="142"/>
        <v>XS897959</v>
      </c>
      <c r="G1625" s="26">
        <f t="shared" si="147"/>
        <v>2</v>
      </c>
      <c r="H1625" s="27" t="str">
        <f t="shared" si="158"/>
        <v>XA897959IO.Mode</v>
      </c>
      <c r="I1625" s="23">
        <f t="shared" si="159"/>
        <v>2</v>
      </c>
    </row>
    <row r="1626" spans="2:9" x14ac:dyDescent="0.25">
      <c r="B1626" s="25" t="s">
        <v>3834</v>
      </c>
      <c r="C1626" s="25" t="s">
        <v>5012</v>
      </c>
      <c r="D1626" s="25">
        <v>0</v>
      </c>
      <c r="E1626" s="25" t="s">
        <v>5013</v>
      </c>
      <c r="F1626" s="26" t="str">
        <f t="shared" si="142"/>
        <v>XS897960</v>
      </c>
      <c r="G1626" s="26">
        <f t="shared" si="147"/>
        <v>2</v>
      </c>
      <c r="H1626" s="27" t="str">
        <f t="shared" si="158"/>
        <v>XA897960IO.Mode</v>
      </c>
      <c r="I1626" s="23">
        <f t="shared" si="159"/>
        <v>2</v>
      </c>
    </row>
    <row r="1627" spans="2:9" x14ac:dyDescent="0.25">
      <c r="B1627" s="25" t="s">
        <v>3834</v>
      </c>
      <c r="C1627" s="25" t="s">
        <v>5014</v>
      </c>
      <c r="D1627" s="25">
        <v>0</v>
      </c>
      <c r="E1627" s="25" t="s">
        <v>5015</v>
      </c>
      <c r="F1627" s="26" t="str">
        <f t="shared" si="142"/>
        <v>XS897961</v>
      </c>
      <c r="G1627" s="26">
        <f t="shared" si="147"/>
        <v>2</v>
      </c>
      <c r="H1627" s="27" t="str">
        <f>+CONCATENATE(C1627,".MA")</f>
        <v>XA897961IO.MA</v>
      </c>
      <c r="I1627" s="23">
        <f>+G1627</f>
        <v>2</v>
      </c>
    </row>
    <row r="1628" spans="2:9" x14ac:dyDescent="0.25">
      <c r="B1628" s="25" t="s">
        <v>3834</v>
      </c>
      <c r="C1628" s="25" t="s">
        <v>5016</v>
      </c>
      <c r="D1628" s="25">
        <v>0</v>
      </c>
      <c r="E1628" s="25" t="s">
        <v>5017</v>
      </c>
      <c r="F1628" s="26" t="str">
        <f t="shared" si="142"/>
        <v>XS897962</v>
      </c>
      <c r="G1628" s="26">
        <f t="shared" si="147"/>
        <v>2</v>
      </c>
      <c r="H1628" s="27" t="str">
        <f>+CONCATENATE(C1628,".MA")</f>
        <v>XA897962IO.MA</v>
      </c>
      <c r="I1628" s="23">
        <f>+G1628</f>
        <v>2</v>
      </c>
    </row>
    <row r="1629" spans="2:9" x14ac:dyDescent="0.25">
      <c r="B1629" s="25" t="s">
        <v>3834</v>
      </c>
      <c r="C1629" s="25" t="s">
        <v>5018</v>
      </c>
      <c r="D1629" s="25">
        <v>0</v>
      </c>
      <c r="E1629" s="25" t="s">
        <v>5019</v>
      </c>
      <c r="F1629" s="26" t="str">
        <f t="shared" si="142"/>
        <v>XS897963</v>
      </c>
      <c r="G1629" s="26">
        <f t="shared" si="147"/>
        <v>2</v>
      </c>
      <c r="H1629" s="27" t="str">
        <f t="shared" ref="H1629:H1632" si="160">+CONCATENATE(C1629,".Mode")</f>
        <v>XA897963IO.Mode</v>
      </c>
      <c r="I1629" s="23">
        <f t="shared" ref="I1629:I1632" si="161">+G1629</f>
        <v>2</v>
      </c>
    </row>
    <row r="1630" spans="2:9" x14ac:dyDescent="0.25">
      <c r="B1630" s="25" t="s">
        <v>3834</v>
      </c>
      <c r="C1630" s="25" t="s">
        <v>5020</v>
      </c>
      <c r="D1630" s="25">
        <v>0</v>
      </c>
      <c r="E1630" s="25" t="s">
        <v>5021</v>
      </c>
      <c r="F1630" s="26" t="str">
        <f t="shared" si="142"/>
        <v>XS897964</v>
      </c>
      <c r="G1630" s="26">
        <f t="shared" si="147"/>
        <v>2</v>
      </c>
      <c r="H1630" s="27" t="str">
        <f t="shared" si="160"/>
        <v>XA897964IO.Mode</v>
      </c>
      <c r="I1630" s="23">
        <f t="shared" si="161"/>
        <v>2</v>
      </c>
    </row>
    <row r="1631" spans="2:9" x14ac:dyDescent="0.25">
      <c r="B1631" s="25" t="s">
        <v>3834</v>
      </c>
      <c r="C1631" s="25" t="s">
        <v>5022</v>
      </c>
      <c r="D1631" s="25">
        <v>0</v>
      </c>
      <c r="E1631" s="25" t="s">
        <v>5023</v>
      </c>
      <c r="F1631" s="26" t="str">
        <f t="shared" si="142"/>
        <v>XS897970</v>
      </c>
      <c r="G1631" s="26">
        <f t="shared" si="147"/>
        <v>2</v>
      </c>
      <c r="H1631" s="27" t="str">
        <f t="shared" si="160"/>
        <v>XA897970IO.Mode</v>
      </c>
      <c r="I1631" s="23">
        <f t="shared" si="161"/>
        <v>2</v>
      </c>
    </row>
    <row r="1632" spans="2:9" x14ac:dyDescent="0.25">
      <c r="B1632" s="25" t="s">
        <v>3834</v>
      </c>
      <c r="C1632" s="25" t="s">
        <v>5024</v>
      </c>
      <c r="D1632" s="25">
        <v>0</v>
      </c>
      <c r="E1632" s="25" t="s">
        <v>5025</v>
      </c>
      <c r="F1632" s="26" t="str">
        <f t="shared" si="142"/>
        <v>XS897973</v>
      </c>
      <c r="G1632" s="26">
        <f t="shared" si="147"/>
        <v>2</v>
      </c>
      <c r="H1632" s="27" t="str">
        <f t="shared" si="160"/>
        <v>XA897973IO.Mode</v>
      </c>
      <c r="I1632" s="23">
        <f t="shared" si="161"/>
        <v>2</v>
      </c>
    </row>
    <row r="1633" spans="2:9" x14ac:dyDescent="0.25">
      <c r="B1633" s="25" t="s">
        <v>3834</v>
      </c>
      <c r="C1633" s="25" t="s">
        <v>5026</v>
      </c>
      <c r="D1633" s="25">
        <v>0</v>
      </c>
      <c r="E1633" s="25" t="s">
        <v>5027</v>
      </c>
      <c r="F1633" s="26" t="str">
        <f t="shared" si="142"/>
        <v>XS897975</v>
      </c>
      <c r="G1633" s="26">
        <f t="shared" si="147"/>
        <v>2</v>
      </c>
      <c r="H1633" s="27" t="str">
        <f>+CONCATENATE(C1633,".MA")</f>
        <v>XA897975IO.MA</v>
      </c>
      <c r="I1633" s="23">
        <f>+G1633</f>
        <v>2</v>
      </c>
    </row>
    <row r="1634" spans="2:9" x14ac:dyDescent="0.25">
      <c r="B1634" s="25" t="s">
        <v>3834</v>
      </c>
      <c r="C1634" s="25" t="s">
        <v>5028</v>
      </c>
      <c r="D1634" s="25">
        <v>0</v>
      </c>
      <c r="E1634" s="25" t="s">
        <v>5029</v>
      </c>
      <c r="F1634" s="26" t="str">
        <f t="shared" si="142"/>
        <v>XS897978</v>
      </c>
      <c r="G1634" s="26">
        <f t="shared" si="147"/>
        <v>2</v>
      </c>
      <c r="H1634" s="27" t="str">
        <f t="shared" ref="H1634:H1635" si="162">+CONCATENATE(C1634,".Mode")</f>
        <v>XA897978IO.Mode</v>
      </c>
      <c r="I1634" s="23">
        <f t="shared" ref="I1634:I1635" si="163">+G1634</f>
        <v>2</v>
      </c>
    </row>
    <row r="1635" spans="2:9" x14ac:dyDescent="0.25">
      <c r="B1635" s="25" t="s">
        <v>3834</v>
      </c>
      <c r="C1635" s="25" t="s">
        <v>5030</v>
      </c>
      <c r="D1635" s="25">
        <v>0</v>
      </c>
      <c r="E1635" s="25" t="s">
        <v>5031</v>
      </c>
      <c r="F1635" s="26" t="str">
        <f t="shared" si="142"/>
        <v>XS897980</v>
      </c>
      <c r="G1635" s="26">
        <f t="shared" si="147"/>
        <v>2</v>
      </c>
      <c r="H1635" s="27" t="str">
        <f t="shared" si="162"/>
        <v>XA897980IO.Mode</v>
      </c>
      <c r="I1635" s="23">
        <f t="shared" si="163"/>
        <v>2</v>
      </c>
    </row>
    <row r="1636" spans="2:9" x14ac:dyDescent="0.25">
      <c r="B1636" s="25" t="s">
        <v>3834</v>
      </c>
      <c r="C1636" s="25" t="s">
        <v>5032</v>
      </c>
      <c r="D1636" s="25">
        <v>0</v>
      </c>
      <c r="E1636" s="25" t="s">
        <v>5033</v>
      </c>
      <c r="F1636" s="26" t="str">
        <f t="shared" si="142"/>
        <v>XS897981</v>
      </c>
      <c r="G1636" s="26">
        <f t="shared" si="147"/>
        <v>2</v>
      </c>
      <c r="H1636" s="27" t="str">
        <f>+CONCATENATE(C1636,".MA")</f>
        <v>XA897981IO.MA</v>
      </c>
      <c r="I1636" s="23">
        <f>+G1636</f>
        <v>2</v>
      </c>
    </row>
    <row r="1637" spans="2:9" x14ac:dyDescent="0.25">
      <c r="B1637" s="25" t="s">
        <v>3834</v>
      </c>
      <c r="C1637" s="25" t="s">
        <v>5034</v>
      </c>
      <c r="D1637" s="25">
        <v>0</v>
      </c>
      <c r="E1637" s="25" t="s">
        <v>5035</v>
      </c>
      <c r="F1637" s="26" t="str">
        <f t="shared" ref="F1637:F1700" si="164">+LEFT(E1637,FIND(".",E1637,1)-1)</f>
        <v>XS897983</v>
      </c>
      <c r="G1637" s="26">
        <f t="shared" si="147"/>
        <v>2</v>
      </c>
      <c r="H1637" s="27" t="str">
        <f t="shared" ref="H1637:H1648" si="165">+CONCATENATE(C1637,".Mode")</f>
        <v>XA897983IO.Mode</v>
      </c>
      <c r="I1637" s="23">
        <f t="shared" ref="I1637:I1648" si="166">+G1637</f>
        <v>2</v>
      </c>
    </row>
    <row r="1638" spans="2:9" x14ac:dyDescent="0.25">
      <c r="B1638" s="25" t="s">
        <v>3834</v>
      </c>
      <c r="C1638" s="25" t="s">
        <v>5036</v>
      </c>
      <c r="D1638" s="25">
        <v>0</v>
      </c>
      <c r="E1638" s="25" t="s">
        <v>5037</v>
      </c>
      <c r="F1638" s="26" t="str">
        <f t="shared" si="164"/>
        <v>XS897995</v>
      </c>
      <c r="G1638" s="26">
        <f t="shared" si="147"/>
        <v>2</v>
      </c>
      <c r="H1638" s="27" t="str">
        <f t="shared" si="165"/>
        <v>XA897995IO.Mode</v>
      </c>
      <c r="I1638" s="23">
        <f t="shared" si="166"/>
        <v>2</v>
      </c>
    </row>
    <row r="1639" spans="2:9" x14ac:dyDescent="0.25">
      <c r="B1639" s="25" t="s">
        <v>3834</v>
      </c>
      <c r="C1639" s="25" t="s">
        <v>5038</v>
      </c>
      <c r="D1639" s="25">
        <v>0</v>
      </c>
      <c r="E1639" s="25" t="s">
        <v>5039</v>
      </c>
      <c r="F1639" s="26" t="str">
        <f t="shared" si="164"/>
        <v>XS897996</v>
      </c>
      <c r="G1639" s="26">
        <f t="shared" si="147"/>
        <v>2</v>
      </c>
      <c r="H1639" s="27" t="str">
        <f t="shared" si="165"/>
        <v>XA897996IO.Mode</v>
      </c>
      <c r="I1639" s="23">
        <f t="shared" si="166"/>
        <v>2</v>
      </c>
    </row>
    <row r="1640" spans="2:9" x14ac:dyDescent="0.25">
      <c r="B1640" s="25" t="s">
        <v>3834</v>
      </c>
      <c r="C1640" s="25" t="s">
        <v>5040</v>
      </c>
      <c r="D1640" s="25">
        <v>0</v>
      </c>
      <c r="E1640" s="25" t="s">
        <v>5041</v>
      </c>
      <c r="F1640" s="26" t="str">
        <f t="shared" si="164"/>
        <v>XS897997</v>
      </c>
      <c r="G1640" s="26">
        <f t="shared" si="147"/>
        <v>2</v>
      </c>
      <c r="H1640" s="27" t="str">
        <f t="shared" si="165"/>
        <v>XA897997IO.Mode</v>
      </c>
      <c r="I1640" s="23">
        <f t="shared" si="166"/>
        <v>2</v>
      </c>
    </row>
    <row r="1641" spans="2:9" x14ac:dyDescent="0.25">
      <c r="B1641" s="25" t="s">
        <v>3834</v>
      </c>
      <c r="C1641" s="25" t="s">
        <v>5042</v>
      </c>
      <c r="D1641" s="25">
        <v>0</v>
      </c>
      <c r="E1641" s="25" t="s">
        <v>5043</v>
      </c>
      <c r="F1641" s="26" t="str">
        <f t="shared" si="164"/>
        <v>XS897998</v>
      </c>
      <c r="G1641" s="26">
        <f t="shared" si="147"/>
        <v>2</v>
      </c>
      <c r="H1641" s="27" t="str">
        <f t="shared" si="165"/>
        <v>XA897998IO.Mode</v>
      </c>
      <c r="I1641" s="23">
        <f t="shared" si="166"/>
        <v>2</v>
      </c>
    </row>
    <row r="1642" spans="2:9" x14ac:dyDescent="0.25">
      <c r="B1642" s="25" t="s">
        <v>3834</v>
      </c>
      <c r="C1642" s="25" t="s">
        <v>5044</v>
      </c>
      <c r="D1642" s="25">
        <v>0</v>
      </c>
      <c r="E1642" s="25" t="s">
        <v>5045</v>
      </c>
      <c r="F1642" s="26" t="str">
        <f t="shared" si="164"/>
        <v>XS897999</v>
      </c>
      <c r="G1642" s="26">
        <f t="shared" si="147"/>
        <v>2</v>
      </c>
      <c r="H1642" s="27" t="str">
        <f t="shared" si="165"/>
        <v>XA897999IO.Mode</v>
      </c>
      <c r="I1642" s="23">
        <f t="shared" si="166"/>
        <v>2</v>
      </c>
    </row>
    <row r="1643" spans="2:9" hidden="1" x14ac:dyDescent="0.25">
      <c r="B1643" s="25" t="s">
        <v>3834</v>
      </c>
      <c r="C1643" s="25" t="s">
        <v>5046</v>
      </c>
      <c r="D1643" s="25">
        <v>0</v>
      </c>
      <c r="E1643" s="25" t="s">
        <v>5047</v>
      </c>
      <c r="F1643" s="26" t="str">
        <f t="shared" si="164"/>
        <v>XS899013</v>
      </c>
      <c r="G1643" s="26">
        <f t="shared" si="147"/>
        <v>0</v>
      </c>
      <c r="H1643" s="27" t="str">
        <f t="shared" si="165"/>
        <v>XA899013IO.Mode</v>
      </c>
      <c r="I1643" s="23">
        <f t="shared" si="166"/>
        <v>0</v>
      </c>
    </row>
    <row r="1644" spans="2:9" x14ac:dyDescent="0.25">
      <c r="B1644" s="25" t="s">
        <v>3834</v>
      </c>
      <c r="C1644" s="25" t="s">
        <v>5048</v>
      </c>
      <c r="D1644" s="25">
        <v>0</v>
      </c>
      <c r="E1644" s="25" t="s">
        <v>5049</v>
      </c>
      <c r="F1644" s="26" t="str">
        <f t="shared" si="164"/>
        <v>XS899205</v>
      </c>
      <c r="G1644" s="26">
        <f t="shared" si="147"/>
        <v>2</v>
      </c>
      <c r="H1644" s="27" t="str">
        <f t="shared" si="165"/>
        <v>XA899205IO.Mode</v>
      </c>
      <c r="I1644" s="23">
        <f t="shared" si="166"/>
        <v>2</v>
      </c>
    </row>
    <row r="1645" spans="2:9" x14ac:dyDescent="0.25">
      <c r="B1645" s="25" t="s">
        <v>3834</v>
      </c>
      <c r="C1645" s="25" t="s">
        <v>5050</v>
      </c>
      <c r="D1645" s="25">
        <v>0</v>
      </c>
      <c r="E1645" s="25" t="s">
        <v>5051</v>
      </c>
      <c r="F1645" s="26" t="str">
        <f t="shared" si="164"/>
        <v>ZS897945</v>
      </c>
      <c r="G1645" s="26">
        <f t="shared" si="147"/>
        <v>2</v>
      </c>
      <c r="H1645" s="27" t="str">
        <f t="shared" si="165"/>
        <v>ZA897945IO.Mode</v>
      </c>
      <c r="I1645" s="23">
        <f t="shared" si="166"/>
        <v>2</v>
      </c>
    </row>
    <row r="1646" spans="2:9" x14ac:dyDescent="0.25">
      <c r="B1646" s="25" t="s">
        <v>3834</v>
      </c>
      <c r="C1646" s="25" t="s">
        <v>5052</v>
      </c>
      <c r="D1646" s="25">
        <v>0</v>
      </c>
      <c r="E1646" s="25" t="s">
        <v>5053</v>
      </c>
      <c r="F1646" s="26" t="str">
        <f t="shared" si="164"/>
        <v>ZS897946</v>
      </c>
      <c r="G1646" s="26">
        <f t="shared" si="147"/>
        <v>2</v>
      </c>
      <c r="H1646" s="27" t="str">
        <f t="shared" si="165"/>
        <v>ZA897946IO.Mode</v>
      </c>
      <c r="I1646" s="23">
        <f t="shared" si="166"/>
        <v>2</v>
      </c>
    </row>
    <row r="1647" spans="2:9" x14ac:dyDescent="0.25">
      <c r="B1647" s="25" t="s">
        <v>3834</v>
      </c>
      <c r="C1647" s="25" t="s">
        <v>5054</v>
      </c>
      <c r="D1647" s="25">
        <v>0</v>
      </c>
      <c r="E1647" s="25" t="s">
        <v>5055</v>
      </c>
      <c r="F1647" s="26" t="str">
        <f t="shared" si="164"/>
        <v>ZS897981</v>
      </c>
      <c r="G1647" s="26">
        <f t="shared" si="147"/>
        <v>2</v>
      </c>
      <c r="H1647" s="27" t="str">
        <f t="shared" si="165"/>
        <v>ZA897981IO.Mode</v>
      </c>
      <c r="I1647" s="23">
        <f t="shared" si="166"/>
        <v>2</v>
      </c>
    </row>
    <row r="1648" spans="2:9" x14ac:dyDescent="0.25">
      <c r="B1648" s="25" t="s">
        <v>3834</v>
      </c>
      <c r="C1648" s="25" t="s">
        <v>5056</v>
      </c>
      <c r="D1648" s="25">
        <v>0</v>
      </c>
      <c r="E1648" s="25" t="s">
        <v>5057</v>
      </c>
      <c r="F1648" s="26" t="str">
        <f t="shared" si="164"/>
        <v>ZS897982</v>
      </c>
      <c r="G1648" s="26">
        <f t="shared" si="147"/>
        <v>2</v>
      </c>
      <c r="H1648" s="27" t="str">
        <f t="shared" si="165"/>
        <v>ZA897982IO.Mode</v>
      </c>
      <c r="I1648" s="23">
        <f t="shared" si="166"/>
        <v>2</v>
      </c>
    </row>
    <row r="1649" spans="2:9" hidden="1" x14ac:dyDescent="0.25">
      <c r="B1649" s="25" t="s">
        <v>3834</v>
      </c>
      <c r="C1649" s="25" t="s">
        <v>5058</v>
      </c>
      <c r="D1649" s="25">
        <v>0</v>
      </c>
      <c r="E1649" s="25" t="s">
        <v>5059</v>
      </c>
      <c r="F1649" s="26" t="str">
        <f t="shared" si="164"/>
        <v>ZSC802001</v>
      </c>
      <c r="G1649" s="26">
        <f t="shared" si="147"/>
        <v>0</v>
      </c>
      <c r="H1649" s="27" t="str">
        <f>+CONCATENATE(C1649,".MA")</f>
        <v>ZI802001IO_FB0.MA</v>
      </c>
      <c r="I1649" s="23">
        <f>+G1649</f>
        <v>0</v>
      </c>
    </row>
    <row r="1650" spans="2:9" hidden="1" x14ac:dyDescent="0.25">
      <c r="B1650" s="25" t="s">
        <v>3834</v>
      </c>
      <c r="C1650" s="25" t="s">
        <v>5060</v>
      </c>
      <c r="D1650" s="25">
        <v>0</v>
      </c>
      <c r="E1650" s="25" t="s">
        <v>5061</v>
      </c>
      <c r="F1650" s="26" t="str">
        <f t="shared" si="164"/>
        <v>A_HV802004</v>
      </c>
      <c r="G1650" s="26" t="str">
        <f t="shared" si="147"/>
        <v>N/A</v>
      </c>
      <c r="H1650" s="27" t="str">
        <f t="shared" ref="H1650:H1651" si="167">+CONCATENATE(C1650,".Mode")</f>
        <v>ZI802004IO_FB0.Mode</v>
      </c>
      <c r="I1650" s="23" t="str">
        <f t="shared" ref="I1650:I1651" si="168">+G1650</f>
        <v>N/A</v>
      </c>
    </row>
    <row r="1651" spans="2:9" hidden="1" x14ac:dyDescent="0.25">
      <c r="B1651" s="25" t="s">
        <v>3834</v>
      </c>
      <c r="C1651" s="25" t="s">
        <v>5062</v>
      </c>
      <c r="D1651" s="25">
        <v>0</v>
      </c>
      <c r="E1651" s="25" t="s">
        <v>5063</v>
      </c>
      <c r="F1651" s="26" t="str">
        <f t="shared" si="164"/>
        <v>A_HV802007</v>
      </c>
      <c r="G1651" s="26" t="str">
        <f t="shared" si="147"/>
        <v>N/A</v>
      </c>
      <c r="H1651" s="27" t="str">
        <f t="shared" si="167"/>
        <v>ZI802007IO_FB0.Mode</v>
      </c>
      <c r="I1651" s="23" t="str">
        <f t="shared" si="168"/>
        <v>N/A</v>
      </c>
    </row>
    <row r="1652" spans="2:9" hidden="1" x14ac:dyDescent="0.25">
      <c r="B1652" s="25" t="s">
        <v>3834</v>
      </c>
      <c r="C1652" s="25" t="s">
        <v>5064</v>
      </c>
      <c r="D1652" s="25">
        <v>0</v>
      </c>
      <c r="E1652" s="25" t="s">
        <v>5065</v>
      </c>
      <c r="F1652" s="26" t="str">
        <f t="shared" si="164"/>
        <v>A_HV808112</v>
      </c>
      <c r="G1652" s="26" t="str">
        <f t="shared" si="147"/>
        <v>N/A</v>
      </c>
      <c r="H1652" s="27" t="str">
        <f>+CONCATENATE(C1652,".MA")</f>
        <v>ZI808112IO_FB0.MA</v>
      </c>
      <c r="I1652" s="23" t="str">
        <f t="shared" ref="I1652:I1658" si="169">+G1652</f>
        <v>N/A</v>
      </c>
    </row>
    <row r="1653" spans="2:9" hidden="1" x14ac:dyDescent="0.25">
      <c r="B1653" s="25" t="s">
        <v>3834</v>
      </c>
      <c r="C1653" s="25" t="s">
        <v>5066</v>
      </c>
      <c r="D1653" s="25">
        <v>0</v>
      </c>
      <c r="E1653" s="25" t="s">
        <v>5067</v>
      </c>
      <c r="F1653" s="26" t="str">
        <f t="shared" si="164"/>
        <v>A_HV808113</v>
      </c>
      <c r="G1653" s="26" t="str">
        <f t="shared" si="147"/>
        <v>N/A</v>
      </c>
      <c r="H1653" s="27" t="str">
        <f>+CONCATENATE(C1653,".MA")</f>
        <v>ZI808113IO_FB0.MA</v>
      </c>
      <c r="I1653" s="23" t="str">
        <f t="shared" si="169"/>
        <v>N/A</v>
      </c>
    </row>
    <row r="1654" spans="2:9" hidden="1" x14ac:dyDescent="0.25">
      <c r="B1654" s="25" t="s">
        <v>3834</v>
      </c>
      <c r="C1654" s="25" t="s">
        <v>5068</v>
      </c>
      <c r="D1654" s="25">
        <v>0</v>
      </c>
      <c r="E1654" s="25" t="s">
        <v>5069</v>
      </c>
      <c r="F1654" s="26" t="str">
        <f t="shared" si="164"/>
        <v>A_FOD3808083B03</v>
      </c>
      <c r="G1654" s="26" t="str">
        <f t="shared" si="147"/>
        <v>N/A</v>
      </c>
      <c r="H1654" s="27" t="str">
        <f>+CONCATENATE(C1654,".Mode")</f>
        <v>ZI808317IO_FB0.Mode</v>
      </c>
      <c r="I1654" s="23" t="str">
        <f t="shared" si="169"/>
        <v>N/A</v>
      </c>
    </row>
    <row r="1655" spans="2:9" hidden="1" x14ac:dyDescent="0.25">
      <c r="B1655" s="25" t="s">
        <v>3834</v>
      </c>
      <c r="C1655" s="25" t="s">
        <v>5070</v>
      </c>
      <c r="D1655" s="25">
        <v>0</v>
      </c>
      <c r="E1655" s="25" t="s">
        <v>5071</v>
      </c>
      <c r="F1655" s="26" t="str">
        <f t="shared" si="164"/>
        <v>A_FOD3808083B02</v>
      </c>
      <c r="G1655" s="26" t="str">
        <f t="shared" si="147"/>
        <v>N/A</v>
      </c>
      <c r="H1655" s="27" t="str">
        <f>+CONCATENATE(C1655,".MA")</f>
        <v>ZI808318IO_FB0.MA</v>
      </c>
      <c r="I1655" s="23" t="str">
        <f t="shared" si="169"/>
        <v>N/A</v>
      </c>
    </row>
    <row r="1656" spans="2:9" hidden="1" x14ac:dyDescent="0.25">
      <c r="B1656" s="25" t="s">
        <v>3834</v>
      </c>
      <c r="C1656" s="25" t="s">
        <v>5072</v>
      </c>
      <c r="D1656" s="25">
        <v>0</v>
      </c>
      <c r="E1656" s="25" t="s">
        <v>5073</v>
      </c>
      <c r="F1656" s="26" t="str">
        <f t="shared" si="164"/>
        <v>A_FOD3808083B01</v>
      </c>
      <c r="G1656" s="26" t="str">
        <f t="shared" si="147"/>
        <v>N/A</v>
      </c>
      <c r="H1656" s="27" t="str">
        <f>+CONCATENATE(C1656,".MA")</f>
        <v>ZI808319IO_FB0.MA</v>
      </c>
      <c r="I1656" s="23" t="str">
        <f t="shared" si="169"/>
        <v>N/A</v>
      </c>
    </row>
    <row r="1657" spans="2:9" hidden="1" x14ac:dyDescent="0.25">
      <c r="B1657" s="25" t="s">
        <v>3834</v>
      </c>
      <c r="C1657" s="25" t="s">
        <v>5074</v>
      </c>
      <c r="D1657" s="25">
        <v>0</v>
      </c>
      <c r="E1657" s="25" t="s">
        <v>5075</v>
      </c>
      <c r="F1657" s="26" t="str">
        <f t="shared" si="164"/>
        <v>A_FOD3808083B04</v>
      </c>
      <c r="G1657" s="26" t="str">
        <f t="shared" si="147"/>
        <v>N/A</v>
      </c>
      <c r="H1657" s="27" t="str">
        <f>+CONCATENATE(C1657,".MA")</f>
        <v>ZI808321IO_FB0.MA</v>
      </c>
      <c r="I1657" s="23" t="str">
        <f t="shared" si="169"/>
        <v>N/A</v>
      </c>
    </row>
    <row r="1658" spans="2:9" hidden="1" x14ac:dyDescent="0.25">
      <c r="B1658" s="25" t="s">
        <v>3834</v>
      </c>
      <c r="C1658" s="25" t="s">
        <v>5076</v>
      </c>
      <c r="D1658" s="25">
        <v>0</v>
      </c>
      <c r="E1658" s="25" t="s">
        <v>5077</v>
      </c>
      <c r="F1658" s="26" t="str">
        <f t="shared" si="164"/>
        <v>A_HV809014</v>
      </c>
      <c r="G1658" s="26" t="str">
        <f t="shared" si="147"/>
        <v>N/A</v>
      </c>
      <c r="H1658" s="27" t="str">
        <f>+CONCATENATE(C1658,".MA")</f>
        <v>ZI809014IO_FB0.MA</v>
      </c>
      <c r="I1658" s="23" t="str">
        <f t="shared" si="169"/>
        <v>N/A</v>
      </c>
    </row>
    <row r="1659" spans="2:9" hidden="1" x14ac:dyDescent="0.25">
      <c r="B1659" s="25" t="s">
        <v>3834</v>
      </c>
      <c r="C1659" s="25" t="s">
        <v>5078</v>
      </c>
      <c r="D1659" s="25">
        <v>0</v>
      </c>
      <c r="E1659" s="25" t="s">
        <v>5079</v>
      </c>
      <c r="F1659" s="26" t="str">
        <f t="shared" si="164"/>
        <v>A_HV809015</v>
      </c>
      <c r="G1659" s="26" t="str">
        <f t="shared" si="147"/>
        <v>N/A</v>
      </c>
      <c r="H1659" s="27" t="str">
        <f t="shared" ref="H1659:H1662" si="170">+CONCATENATE(C1659,".Mode")</f>
        <v>ZI809015IO_FB0.Mode</v>
      </c>
      <c r="I1659" s="23" t="str">
        <f t="shared" ref="I1659:I1662" si="171">+G1659</f>
        <v>N/A</v>
      </c>
    </row>
    <row r="1660" spans="2:9" hidden="1" x14ac:dyDescent="0.25">
      <c r="B1660" s="25" t="s">
        <v>3834</v>
      </c>
      <c r="C1660" s="25" t="s">
        <v>5080</v>
      </c>
      <c r="D1660" s="25">
        <v>0</v>
      </c>
      <c r="E1660" s="25" t="s">
        <v>5081</v>
      </c>
      <c r="F1660" s="26" t="str">
        <f t="shared" si="164"/>
        <v>A_HV809016</v>
      </c>
      <c r="G1660" s="26" t="str">
        <f t="shared" si="147"/>
        <v>N/A</v>
      </c>
      <c r="H1660" s="27" t="str">
        <f t="shared" si="170"/>
        <v>ZI809016IO_FB0.Mode</v>
      </c>
      <c r="I1660" s="23" t="str">
        <f t="shared" si="171"/>
        <v>N/A</v>
      </c>
    </row>
    <row r="1661" spans="2:9" hidden="1" x14ac:dyDescent="0.25">
      <c r="B1661" s="25" t="s">
        <v>3834</v>
      </c>
      <c r="C1661" s="25" t="s">
        <v>5082</v>
      </c>
      <c r="D1661" s="25">
        <v>0</v>
      </c>
      <c r="E1661" s="25" t="s">
        <v>5083</v>
      </c>
      <c r="F1661" s="26" t="str">
        <f t="shared" si="164"/>
        <v>A_EBV821828</v>
      </c>
      <c r="G1661" s="26" t="str">
        <f t="shared" si="147"/>
        <v>N/A</v>
      </c>
      <c r="H1661" s="27" t="str">
        <f t="shared" si="170"/>
        <v>ZI821828IO_FB0.Mode</v>
      </c>
      <c r="I1661" s="23" t="str">
        <f t="shared" si="171"/>
        <v>N/A</v>
      </c>
    </row>
    <row r="1662" spans="2:9" hidden="1" x14ac:dyDescent="0.25">
      <c r="B1662" s="25" t="s">
        <v>3834</v>
      </c>
      <c r="C1662" s="25" t="s">
        <v>5084</v>
      </c>
      <c r="D1662" s="25">
        <v>0</v>
      </c>
      <c r="E1662" s="25" t="s">
        <v>5085</v>
      </c>
      <c r="F1662" s="26" t="str">
        <f t="shared" si="164"/>
        <v>A_FOD3808218B01</v>
      </c>
      <c r="G1662" s="26" t="str">
        <f t="shared" si="147"/>
        <v>N/A</v>
      </c>
      <c r="H1662" s="27" t="str">
        <f t="shared" si="170"/>
        <v>ZI821838IO_FB0.Mode</v>
      </c>
      <c r="I1662" s="23" t="str">
        <f t="shared" si="171"/>
        <v>N/A</v>
      </c>
    </row>
    <row r="1663" spans="2:9" hidden="1" x14ac:dyDescent="0.25">
      <c r="B1663" s="25" t="s">
        <v>3834</v>
      </c>
      <c r="C1663" s="25" t="s">
        <v>5086</v>
      </c>
      <c r="D1663" s="25">
        <v>0</v>
      </c>
      <c r="E1663" s="25" t="s">
        <v>5087</v>
      </c>
      <c r="F1663" s="26" t="str">
        <f t="shared" si="164"/>
        <v>A_FOD3808218A01</v>
      </c>
      <c r="G1663" s="26" t="str">
        <f t="shared" si="147"/>
        <v>N/A</v>
      </c>
      <c r="H1663" s="27" t="str">
        <f>+CONCATENATE(C1663,".MA")</f>
        <v>ZI821862IO_FB0.MA</v>
      </c>
      <c r="I1663" s="23" t="str">
        <f>+G1663</f>
        <v>N/A</v>
      </c>
    </row>
    <row r="1664" spans="2:9" hidden="1" x14ac:dyDescent="0.25">
      <c r="B1664" s="25" t="s">
        <v>3834</v>
      </c>
      <c r="C1664" s="25" t="s">
        <v>5088</v>
      </c>
      <c r="D1664" s="25">
        <v>0</v>
      </c>
      <c r="E1664" s="25" t="s">
        <v>5089</v>
      </c>
      <c r="F1664" s="26" t="str">
        <f t="shared" si="164"/>
        <v>ZSC821916</v>
      </c>
      <c r="G1664" s="26">
        <f t="shared" si="147"/>
        <v>0</v>
      </c>
      <c r="H1664" s="27" t="str">
        <f t="shared" ref="H1664:H1686" si="172">+CONCATENATE(C1664,".Mode")</f>
        <v>ZI821916IO_FB0.Mode</v>
      </c>
      <c r="I1664" s="23">
        <f t="shared" ref="I1664:I1686" si="173">+G1664</f>
        <v>0</v>
      </c>
    </row>
    <row r="1665" spans="2:9" hidden="1" x14ac:dyDescent="0.25">
      <c r="B1665" s="25" t="s">
        <v>3834</v>
      </c>
      <c r="C1665" s="25" t="s">
        <v>5090</v>
      </c>
      <c r="D1665" s="25">
        <v>0</v>
      </c>
      <c r="E1665" s="25" t="s">
        <v>5091</v>
      </c>
      <c r="F1665" s="26" t="str">
        <f t="shared" si="164"/>
        <v>A_FOD3808223B01</v>
      </c>
      <c r="G1665" s="26" t="str">
        <f t="shared" si="147"/>
        <v>N/A</v>
      </c>
      <c r="H1665" s="27" t="str">
        <f t="shared" si="172"/>
        <v>ZI822315IO_FB0.Mode</v>
      </c>
      <c r="I1665" s="23" t="str">
        <f t="shared" si="173"/>
        <v>N/A</v>
      </c>
    </row>
    <row r="1666" spans="2:9" hidden="1" x14ac:dyDescent="0.25">
      <c r="B1666" s="25" t="s">
        <v>3834</v>
      </c>
      <c r="C1666" s="25" t="s">
        <v>5092</v>
      </c>
      <c r="D1666" s="25">
        <v>0</v>
      </c>
      <c r="E1666" s="25" t="s">
        <v>5093</v>
      </c>
      <c r="F1666" s="26" t="str">
        <f t="shared" si="164"/>
        <v>A_FOD3808223B02</v>
      </c>
      <c r="G1666" s="26" t="str">
        <f t="shared" ref="G1666:G1729" si="174">+IFERROR(IF(VLOOKUP(F1666,DI,2,FALSE)="IO",2,0),"N/A")</f>
        <v>N/A</v>
      </c>
      <c r="H1666" s="27" t="str">
        <f t="shared" si="172"/>
        <v>ZI822316IO_FB0.Mode</v>
      </c>
      <c r="I1666" s="23" t="str">
        <f t="shared" si="173"/>
        <v>N/A</v>
      </c>
    </row>
    <row r="1667" spans="2:9" hidden="1" x14ac:dyDescent="0.25">
      <c r="B1667" s="25" t="s">
        <v>3834</v>
      </c>
      <c r="C1667" s="25" t="s">
        <v>5094</v>
      </c>
      <c r="D1667" s="25">
        <v>0</v>
      </c>
      <c r="E1667" s="25" t="s">
        <v>5095</v>
      </c>
      <c r="F1667" s="26" t="str">
        <f t="shared" si="164"/>
        <v>A_FOD3808224B02</v>
      </c>
      <c r="G1667" s="26" t="str">
        <f t="shared" si="174"/>
        <v>N/A</v>
      </c>
      <c r="H1667" s="27" t="str">
        <f t="shared" si="172"/>
        <v>ZI822415IO_FB0.Mode</v>
      </c>
      <c r="I1667" s="23" t="str">
        <f t="shared" si="173"/>
        <v>N/A</v>
      </c>
    </row>
    <row r="1668" spans="2:9" hidden="1" x14ac:dyDescent="0.25">
      <c r="B1668" s="25" t="s">
        <v>3834</v>
      </c>
      <c r="C1668" s="25" t="s">
        <v>5096</v>
      </c>
      <c r="D1668" s="25">
        <v>0</v>
      </c>
      <c r="E1668" s="25" t="s">
        <v>5097</v>
      </c>
      <c r="F1668" s="26" t="str">
        <f t="shared" si="164"/>
        <v>A_FOD3808224B01</v>
      </c>
      <c r="G1668" s="26" t="str">
        <f t="shared" si="174"/>
        <v>N/A</v>
      </c>
      <c r="H1668" s="27" t="str">
        <f t="shared" si="172"/>
        <v>ZI822416IO_FB0.Mode</v>
      </c>
      <c r="I1668" s="23" t="str">
        <f t="shared" si="173"/>
        <v>N/A</v>
      </c>
    </row>
    <row r="1669" spans="2:9" hidden="1" x14ac:dyDescent="0.25">
      <c r="B1669" s="25" t="s">
        <v>3834</v>
      </c>
      <c r="C1669" s="25" t="s">
        <v>5098</v>
      </c>
      <c r="D1669" s="25">
        <v>0</v>
      </c>
      <c r="E1669" s="25" t="s">
        <v>5099</v>
      </c>
      <c r="F1669" s="26" t="str">
        <f t="shared" si="164"/>
        <v>ZS825007</v>
      </c>
      <c r="G1669" s="26">
        <f t="shared" si="174"/>
        <v>0</v>
      </c>
      <c r="H1669" s="27" t="str">
        <f t="shared" si="172"/>
        <v>ZI825007IO.Mode</v>
      </c>
      <c r="I1669" s="23">
        <f t="shared" si="173"/>
        <v>0</v>
      </c>
    </row>
    <row r="1670" spans="2:9" hidden="1" x14ac:dyDescent="0.25">
      <c r="B1670" s="25" t="s">
        <v>3834</v>
      </c>
      <c r="C1670" s="25" t="s">
        <v>5100</v>
      </c>
      <c r="D1670" s="25">
        <v>0</v>
      </c>
      <c r="E1670" s="25" t="s">
        <v>5101</v>
      </c>
      <c r="F1670" s="26" t="str">
        <f t="shared" si="164"/>
        <v>ZS825009</v>
      </c>
      <c r="G1670" s="26">
        <f t="shared" si="174"/>
        <v>0</v>
      </c>
      <c r="H1670" s="27" t="str">
        <f t="shared" si="172"/>
        <v>ZI825009IO.Mode</v>
      </c>
      <c r="I1670" s="23">
        <f t="shared" si="173"/>
        <v>0</v>
      </c>
    </row>
    <row r="1671" spans="2:9" hidden="1" x14ac:dyDescent="0.25">
      <c r="B1671" s="25" t="s">
        <v>3834</v>
      </c>
      <c r="C1671" s="25" t="s">
        <v>5102</v>
      </c>
      <c r="D1671" s="25">
        <v>0</v>
      </c>
      <c r="E1671" s="25" t="s">
        <v>5103</v>
      </c>
      <c r="F1671" s="26" t="str">
        <f t="shared" si="164"/>
        <v>ZSO830005</v>
      </c>
      <c r="G1671" s="26">
        <f t="shared" si="174"/>
        <v>0</v>
      </c>
      <c r="H1671" s="27" t="str">
        <f t="shared" si="172"/>
        <v>ZI830005IO_FB1.Mode</v>
      </c>
      <c r="I1671" s="23">
        <f t="shared" si="173"/>
        <v>0</v>
      </c>
    </row>
    <row r="1672" spans="2:9" hidden="1" x14ac:dyDescent="0.25">
      <c r="B1672" s="25" t="s">
        <v>3834</v>
      </c>
      <c r="C1672" s="25" t="s">
        <v>5104</v>
      </c>
      <c r="D1672" s="25">
        <v>0</v>
      </c>
      <c r="E1672" s="25" t="s">
        <v>5105</v>
      </c>
      <c r="F1672" s="26" t="str">
        <f t="shared" si="164"/>
        <v>ZS830017</v>
      </c>
      <c r="G1672" s="26">
        <f t="shared" si="174"/>
        <v>0</v>
      </c>
      <c r="H1672" s="27" t="str">
        <f t="shared" si="172"/>
        <v>ZI830017IO.Mode</v>
      </c>
      <c r="I1672" s="23">
        <f t="shared" si="173"/>
        <v>0</v>
      </c>
    </row>
    <row r="1673" spans="2:9" hidden="1" x14ac:dyDescent="0.25">
      <c r="B1673" s="25" t="s">
        <v>3834</v>
      </c>
      <c r="C1673" s="25" t="s">
        <v>5106</v>
      </c>
      <c r="D1673" s="25">
        <v>0</v>
      </c>
      <c r="E1673" s="25" t="s">
        <v>5107</v>
      </c>
      <c r="F1673" s="26" t="str">
        <f t="shared" si="164"/>
        <v>A_HV830121</v>
      </c>
      <c r="G1673" s="26" t="str">
        <f t="shared" si="174"/>
        <v>N/A</v>
      </c>
      <c r="H1673" s="27" t="str">
        <f t="shared" si="172"/>
        <v>ZI830121IO_FB0.Mode</v>
      </c>
      <c r="I1673" s="23" t="str">
        <f t="shared" si="173"/>
        <v>N/A</v>
      </c>
    </row>
    <row r="1674" spans="2:9" hidden="1" x14ac:dyDescent="0.25">
      <c r="B1674" s="25" t="s">
        <v>3834</v>
      </c>
      <c r="C1674" s="25" t="s">
        <v>5108</v>
      </c>
      <c r="D1674" s="25">
        <v>0</v>
      </c>
      <c r="E1674" s="25" t="s">
        <v>5109</v>
      </c>
      <c r="F1674" s="26" t="str">
        <f t="shared" si="164"/>
        <v>A_HV830415</v>
      </c>
      <c r="G1674" s="26" t="str">
        <f t="shared" si="174"/>
        <v>N/A</v>
      </c>
      <c r="H1674" s="27" t="str">
        <f t="shared" si="172"/>
        <v>ZI830415IO_FB0.Mode</v>
      </c>
      <c r="I1674" s="23" t="str">
        <f t="shared" si="173"/>
        <v>N/A</v>
      </c>
    </row>
    <row r="1675" spans="2:9" hidden="1" x14ac:dyDescent="0.25">
      <c r="B1675" s="25" t="s">
        <v>3834</v>
      </c>
      <c r="C1675" s="25" t="s">
        <v>5110</v>
      </c>
      <c r="D1675" s="25">
        <v>0</v>
      </c>
      <c r="E1675" s="25" t="s">
        <v>5111</v>
      </c>
      <c r="F1675" s="26" t="str">
        <f t="shared" si="164"/>
        <v>A_HV830526</v>
      </c>
      <c r="G1675" s="26" t="str">
        <f t="shared" si="174"/>
        <v>N/A</v>
      </c>
      <c r="H1675" s="27" t="str">
        <f t="shared" si="172"/>
        <v>ZI830526IO_FB0.Mode</v>
      </c>
      <c r="I1675" s="23" t="str">
        <f t="shared" si="173"/>
        <v>N/A</v>
      </c>
    </row>
    <row r="1676" spans="2:9" hidden="1" x14ac:dyDescent="0.25">
      <c r="B1676" s="25" t="s">
        <v>3834</v>
      </c>
      <c r="C1676" s="25" t="s">
        <v>5112</v>
      </c>
      <c r="D1676" s="25">
        <v>0</v>
      </c>
      <c r="E1676" s="25" t="s">
        <v>5113</v>
      </c>
      <c r="F1676" s="26" t="str">
        <f t="shared" si="164"/>
        <v>A_HV830527</v>
      </c>
      <c r="G1676" s="26" t="str">
        <f t="shared" si="174"/>
        <v>N/A</v>
      </c>
      <c r="H1676" s="27" t="str">
        <f t="shared" si="172"/>
        <v>ZI830527IO_FB0.Mode</v>
      </c>
      <c r="I1676" s="23" t="str">
        <f t="shared" si="173"/>
        <v>N/A</v>
      </c>
    </row>
    <row r="1677" spans="2:9" hidden="1" x14ac:dyDescent="0.25">
      <c r="B1677" s="25" t="s">
        <v>3834</v>
      </c>
      <c r="C1677" s="25" t="s">
        <v>5114</v>
      </c>
      <c r="D1677" s="25">
        <v>0</v>
      </c>
      <c r="E1677" s="25" t="s">
        <v>5115</v>
      </c>
      <c r="F1677" s="26" t="str">
        <f t="shared" si="164"/>
        <v>A_HV831112</v>
      </c>
      <c r="G1677" s="26" t="str">
        <f t="shared" si="174"/>
        <v>N/A</v>
      </c>
      <c r="H1677" s="27" t="str">
        <f t="shared" si="172"/>
        <v>ZI831112IO_FB0.Mode</v>
      </c>
      <c r="I1677" s="23" t="str">
        <f t="shared" si="173"/>
        <v>N/A</v>
      </c>
    </row>
    <row r="1678" spans="2:9" hidden="1" x14ac:dyDescent="0.25">
      <c r="B1678" s="25" t="s">
        <v>3834</v>
      </c>
      <c r="C1678" s="25" t="s">
        <v>5116</v>
      </c>
      <c r="D1678" s="25">
        <v>0</v>
      </c>
      <c r="E1678" s="25" t="s">
        <v>5117</v>
      </c>
      <c r="F1678" s="26" t="str">
        <f t="shared" si="164"/>
        <v>A_HV831113</v>
      </c>
      <c r="G1678" s="26" t="str">
        <f t="shared" si="174"/>
        <v>N/A</v>
      </c>
      <c r="H1678" s="27" t="str">
        <f t="shared" si="172"/>
        <v>ZI831113IO_FB0.Mode</v>
      </c>
      <c r="I1678" s="23" t="str">
        <f t="shared" si="173"/>
        <v>N/A</v>
      </c>
    </row>
    <row r="1679" spans="2:9" hidden="1" x14ac:dyDescent="0.25">
      <c r="B1679" s="25" t="s">
        <v>3834</v>
      </c>
      <c r="C1679" s="25" t="s">
        <v>5118</v>
      </c>
      <c r="D1679" s="25">
        <v>0</v>
      </c>
      <c r="E1679" s="25" t="s">
        <v>5119</v>
      </c>
      <c r="F1679" s="26" t="str">
        <f t="shared" si="164"/>
        <v>A_HV831212</v>
      </c>
      <c r="G1679" s="26" t="str">
        <f t="shared" si="174"/>
        <v>N/A</v>
      </c>
      <c r="H1679" s="27" t="str">
        <f t="shared" si="172"/>
        <v>ZI831212IO_FB0.Mode</v>
      </c>
      <c r="I1679" s="23" t="str">
        <f t="shared" si="173"/>
        <v>N/A</v>
      </c>
    </row>
    <row r="1680" spans="2:9" hidden="1" x14ac:dyDescent="0.25">
      <c r="B1680" s="25" t="s">
        <v>3834</v>
      </c>
      <c r="C1680" s="25" t="s">
        <v>5120</v>
      </c>
      <c r="D1680" s="25">
        <v>0</v>
      </c>
      <c r="E1680" s="25" t="s">
        <v>5121</v>
      </c>
      <c r="F1680" s="26" t="str">
        <f t="shared" si="164"/>
        <v>A_HV831213</v>
      </c>
      <c r="G1680" s="26" t="str">
        <f t="shared" si="174"/>
        <v>N/A</v>
      </c>
      <c r="H1680" s="27" t="str">
        <f t="shared" si="172"/>
        <v>ZI831213IO_FB0.Mode</v>
      </c>
      <c r="I1680" s="23" t="str">
        <f t="shared" si="173"/>
        <v>N/A</v>
      </c>
    </row>
    <row r="1681" spans="2:9" hidden="1" x14ac:dyDescent="0.25">
      <c r="B1681" s="25" t="s">
        <v>3834</v>
      </c>
      <c r="C1681" s="25" t="s">
        <v>5122</v>
      </c>
      <c r="D1681" s="25">
        <v>0</v>
      </c>
      <c r="E1681" s="25" t="s">
        <v>5123</v>
      </c>
      <c r="F1681" s="26" t="str">
        <f t="shared" si="164"/>
        <v>ZS835007</v>
      </c>
      <c r="G1681" s="26">
        <f t="shared" si="174"/>
        <v>0</v>
      </c>
      <c r="H1681" s="27" t="str">
        <f t="shared" si="172"/>
        <v>ZI835007IO.Mode</v>
      </c>
      <c r="I1681" s="23">
        <f t="shared" si="173"/>
        <v>0</v>
      </c>
    </row>
    <row r="1682" spans="2:9" hidden="1" x14ac:dyDescent="0.25">
      <c r="B1682" s="25" t="s">
        <v>3834</v>
      </c>
      <c r="C1682" s="25" t="s">
        <v>5124</v>
      </c>
      <c r="D1682" s="25">
        <v>0</v>
      </c>
      <c r="E1682" s="25" t="s">
        <v>5125</v>
      </c>
      <c r="F1682" s="26" t="str">
        <f t="shared" si="164"/>
        <v>ZS835009</v>
      </c>
      <c r="G1682" s="26">
        <f t="shared" si="174"/>
        <v>0</v>
      </c>
      <c r="H1682" s="27" t="str">
        <f t="shared" si="172"/>
        <v>ZI835009IO.Mode</v>
      </c>
      <c r="I1682" s="23">
        <f t="shared" si="173"/>
        <v>0</v>
      </c>
    </row>
    <row r="1683" spans="2:9" hidden="1" x14ac:dyDescent="0.25">
      <c r="B1683" s="25" t="s">
        <v>3834</v>
      </c>
      <c r="C1683" s="25" t="s">
        <v>5126</v>
      </c>
      <c r="D1683" s="25">
        <v>0</v>
      </c>
      <c r="E1683" s="25" t="s">
        <v>5127</v>
      </c>
      <c r="F1683" s="26" t="str">
        <f t="shared" si="164"/>
        <v>A_HV850019</v>
      </c>
      <c r="G1683" s="26" t="str">
        <f t="shared" si="174"/>
        <v>N/A</v>
      </c>
      <c r="H1683" s="27" t="str">
        <f t="shared" si="172"/>
        <v>ZI850019IO_FB0.Mode</v>
      </c>
      <c r="I1683" s="23" t="str">
        <f t="shared" si="173"/>
        <v>N/A</v>
      </c>
    </row>
    <row r="1684" spans="2:9" hidden="1" x14ac:dyDescent="0.25">
      <c r="B1684" s="25" t="s">
        <v>3834</v>
      </c>
      <c r="C1684" s="25" t="s">
        <v>5128</v>
      </c>
      <c r="D1684" s="25">
        <v>0</v>
      </c>
      <c r="E1684" s="25" t="s">
        <v>5129</v>
      </c>
      <c r="F1684" s="26" t="str">
        <f t="shared" si="164"/>
        <v>A_HV850020</v>
      </c>
      <c r="G1684" s="26" t="str">
        <f t="shared" si="174"/>
        <v>N/A</v>
      </c>
      <c r="H1684" s="27" t="str">
        <f t="shared" si="172"/>
        <v>ZI850020IO_FB0.Mode</v>
      </c>
      <c r="I1684" s="23" t="str">
        <f t="shared" si="173"/>
        <v>N/A</v>
      </c>
    </row>
    <row r="1685" spans="2:9" hidden="1" x14ac:dyDescent="0.25">
      <c r="B1685" s="25" t="s">
        <v>3834</v>
      </c>
      <c r="C1685" s="25" t="s">
        <v>5130</v>
      </c>
      <c r="D1685" s="25">
        <v>0</v>
      </c>
      <c r="E1685" s="25" t="s">
        <v>5131</v>
      </c>
      <c r="F1685" s="26" t="str">
        <f t="shared" si="164"/>
        <v>A_HV850132</v>
      </c>
      <c r="G1685" s="26" t="str">
        <f t="shared" si="174"/>
        <v>N/A</v>
      </c>
      <c r="H1685" s="27" t="str">
        <f t="shared" si="172"/>
        <v>ZI850132IO_FB0.Mode</v>
      </c>
      <c r="I1685" s="23" t="str">
        <f t="shared" si="173"/>
        <v>N/A</v>
      </c>
    </row>
    <row r="1686" spans="2:9" hidden="1" x14ac:dyDescent="0.25">
      <c r="B1686" s="25" t="s">
        <v>3834</v>
      </c>
      <c r="C1686" s="25" t="s">
        <v>5132</v>
      </c>
      <c r="D1686" s="25">
        <v>0</v>
      </c>
      <c r="E1686" s="25" t="s">
        <v>5133</v>
      </c>
      <c r="F1686" s="26" t="str">
        <f t="shared" si="164"/>
        <v>A_HV850216</v>
      </c>
      <c r="G1686" s="26" t="str">
        <f t="shared" si="174"/>
        <v>N/A</v>
      </c>
      <c r="H1686" s="27" t="str">
        <f t="shared" si="172"/>
        <v>ZI850216IO_FB0.Mode</v>
      </c>
      <c r="I1686" s="23" t="str">
        <f t="shared" si="173"/>
        <v>N/A</v>
      </c>
    </row>
    <row r="1687" spans="2:9" x14ac:dyDescent="0.25">
      <c r="B1687" s="25" t="s">
        <v>3834</v>
      </c>
      <c r="C1687" s="25" t="s">
        <v>5134</v>
      </c>
      <c r="D1687" s="25">
        <v>0</v>
      </c>
      <c r="E1687" s="25" t="s">
        <v>5135</v>
      </c>
      <c r="F1687" s="26" t="str">
        <f t="shared" si="164"/>
        <v>ZS897932</v>
      </c>
      <c r="G1687" s="26">
        <f t="shared" si="174"/>
        <v>2</v>
      </c>
      <c r="H1687" s="27" t="str">
        <f>+CONCATENATE(C1687,".MA")</f>
        <v>ZI897932IO.MA</v>
      </c>
      <c r="I1687" s="23">
        <f>+G1687</f>
        <v>2</v>
      </c>
    </row>
    <row r="1688" spans="2:9" x14ac:dyDescent="0.25">
      <c r="B1688" s="25" t="s">
        <v>3834</v>
      </c>
      <c r="C1688" s="25" t="s">
        <v>5136</v>
      </c>
      <c r="D1688" s="25">
        <v>0</v>
      </c>
      <c r="E1688" s="25" t="s">
        <v>5137</v>
      </c>
      <c r="F1688" s="26" t="str">
        <f t="shared" si="164"/>
        <v>ZS897939</v>
      </c>
      <c r="G1688" s="26">
        <f t="shared" si="174"/>
        <v>2</v>
      </c>
      <c r="H1688" s="27" t="str">
        <f>+CONCATENATE(C1688,".MA")</f>
        <v>ZI897939IO.MA</v>
      </c>
      <c r="I1688" s="23">
        <f>+G1688</f>
        <v>2</v>
      </c>
    </row>
    <row r="1689" spans="2:9" x14ac:dyDescent="0.25">
      <c r="B1689" s="25" t="s">
        <v>3834</v>
      </c>
      <c r="C1689" s="25" t="s">
        <v>5138</v>
      </c>
      <c r="D1689" s="25">
        <v>0</v>
      </c>
      <c r="E1689" s="25" t="s">
        <v>5139</v>
      </c>
      <c r="F1689" s="26" t="str">
        <f t="shared" si="164"/>
        <v>ZS897944</v>
      </c>
      <c r="G1689" s="26">
        <f t="shared" si="174"/>
        <v>2</v>
      </c>
      <c r="H1689" s="27" t="str">
        <f t="shared" ref="H1689:H1709" si="175">+CONCATENATE(C1689,".Mode")</f>
        <v>ZI897944IO.Mode</v>
      </c>
      <c r="I1689" s="23">
        <f t="shared" ref="I1689:I1709" si="176">+G1689</f>
        <v>2</v>
      </c>
    </row>
    <row r="1690" spans="2:9" x14ac:dyDescent="0.25">
      <c r="B1690" s="25" t="s">
        <v>3834</v>
      </c>
      <c r="C1690" s="25" t="s">
        <v>5140</v>
      </c>
      <c r="D1690" s="25">
        <v>0</v>
      </c>
      <c r="E1690" s="25" t="s">
        <v>5141</v>
      </c>
      <c r="F1690" s="26" t="str">
        <f t="shared" si="164"/>
        <v>ZS897971</v>
      </c>
      <c r="G1690" s="26">
        <f t="shared" si="174"/>
        <v>2</v>
      </c>
      <c r="H1690" s="27" t="str">
        <f t="shared" si="175"/>
        <v>ZI897971IO.Mode</v>
      </c>
      <c r="I1690" s="23">
        <f t="shared" si="176"/>
        <v>2</v>
      </c>
    </row>
    <row r="1691" spans="2:9" x14ac:dyDescent="0.25">
      <c r="B1691" s="25" t="s">
        <v>3834</v>
      </c>
      <c r="C1691" s="25" t="s">
        <v>5142</v>
      </c>
      <c r="D1691" s="25">
        <v>0</v>
      </c>
      <c r="E1691" s="25" t="s">
        <v>5143</v>
      </c>
      <c r="F1691" s="26" t="str">
        <f t="shared" si="164"/>
        <v>ZS897976</v>
      </c>
      <c r="G1691" s="26">
        <f t="shared" si="174"/>
        <v>2</v>
      </c>
      <c r="H1691" s="27" t="str">
        <f t="shared" si="175"/>
        <v>ZI897976IO.Mode</v>
      </c>
      <c r="I1691" s="23">
        <f t="shared" si="176"/>
        <v>2</v>
      </c>
    </row>
    <row r="1692" spans="2:9" x14ac:dyDescent="0.25">
      <c r="B1692" s="25" t="s">
        <v>3834</v>
      </c>
      <c r="C1692" s="25" t="s">
        <v>5144</v>
      </c>
      <c r="D1692" s="25">
        <v>0</v>
      </c>
      <c r="E1692" s="25" t="s">
        <v>5145</v>
      </c>
      <c r="F1692" s="26" t="str">
        <f t="shared" si="164"/>
        <v>ZS897980</v>
      </c>
      <c r="G1692" s="26">
        <f t="shared" si="174"/>
        <v>2</v>
      </c>
      <c r="H1692" s="27" t="str">
        <f t="shared" si="175"/>
        <v>ZI897980IO.Mode</v>
      </c>
      <c r="I1692" s="23">
        <f t="shared" si="176"/>
        <v>2</v>
      </c>
    </row>
    <row r="1693" spans="2:9" x14ac:dyDescent="0.25">
      <c r="B1693" s="25" t="s">
        <v>3834</v>
      </c>
      <c r="C1693" s="25" t="s">
        <v>5146</v>
      </c>
      <c r="D1693" s="25">
        <v>0</v>
      </c>
      <c r="E1693" s="25" t="s">
        <v>5147</v>
      </c>
      <c r="F1693" s="26" t="str">
        <f t="shared" si="164"/>
        <v>ZSC899101</v>
      </c>
      <c r="G1693" s="26">
        <f t="shared" si="174"/>
        <v>2</v>
      </c>
      <c r="H1693" s="27" t="str">
        <f t="shared" si="175"/>
        <v>ZI899101AIO.Mode</v>
      </c>
      <c r="I1693" s="23">
        <f t="shared" si="176"/>
        <v>2</v>
      </c>
    </row>
    <row r="1694" spans="2:9" x14ac:dyDescent="0.25">
      <c r="B1694" s="25" t="s">
        <v>3834</v>
      </c>
      <c r="C1694" s="25" t="s">
        <v>5148</v>
      </c>
      <c r="D1694" s="25">
        <v>0</v>
      </c>
      <c r="E1694" s="25" t="s">
        <v>5149</v>
      </c>
      <c r="F1694" s="26" t="str">
        <f t="shared" si="164"/>
        <v>ZS899101</v>
      </c>
      <c r="G1694" s="26">
        <f t="shared" si="174"/>
        <v>2</v>
      </c>
      <c r="H1694" s="27" t="str">
        <f t="shared" si="175"/>
        <v>ZI899101IO.Mode</v>
      </c>
      <c r="I1694" s="23">
        <f t="shared" si="176"/>
        <v>2</v>
      </c>
    </row>
    <row r="1695" spans="2:9" x14ac:dyDescent="0.25">
      <c r="B1695" s="25" t="s">
        <v>3834</v>
      </c>
      <c r="C1695" s="25" t="s">
        <v>5150</v>
      </c>
      <c r="D1695" s="25">
        <v>0</v>
      </c>
      <c r="E1695" s="25" t="s">
        <v>5151</v>
      </c>
      <c r="F1695" s="26" t="str">
        <f t="shared" si="164"/>
        <v>ZSC899102</v>
      </c>
      <c r="G1695" s="26">
        <f t="shared" si="174"/>
        <v>2</v>
      </c>
      <c r="H1695" s="27" t="str">
        <f t="shared" si="175"/>
        <v>ZI899102AIO.Mode</v>
      </c>
      <c r="I1695" s="23">
        <f t="shared" si="176"/>
        <v>2</v>
      </c>
    </row>
    <row r="1696" spans="2:9" x14ac:dyDescent="0.25">
      <c r="B1696" s="25" t="s">
        <v>3834</v>
      </c>
      <c r="C1696" s="25" t="s">
        <v>5152</v>
      </c>
      <c r="D1696" s="25">
        <v>0</v>
      </c>
      <c r="E1696" s="25" t="s">
        <v>5153</v>
      </c>
      <c r="F1696" s="26" t="str">
        <f t="shared" si="164"/>
        <v>ZS899102</v>
      </c>
      <c r="G1696" s="26">
        <f t="shared" si="174"/>
        <v>2</v>
      </c>
      <c r="H1696" s="27" t="str">
        <f t="shared" si="175"/>
        <v>ZI899102IO.Mode</v>
      </c>
      <c r="I1696" s="23">
        <f t="shared" si="176"/>
        <v>2</v>
      </c>
    </row>
    <row r="1697" spans="2:9" x14ac:dyDescent="0.25">
      <c r="B1697" s="25" t="s">
        <v>3834</v>
      </c>
      <c r="C1697" s="25" t="s">
        <v>5154</v>
      </c>
      <c r="D1697" s="25">
        <v>0</v>
      </c>
      <c r="E1697" s="25" t="s">
        <v>5155</v>
      </c>
      <c r="F1697" s="26" t="str">
        <f t="shared" si="164"/>
        <v>ZSC899103</v>
      </c>
      <c r="G1697" s="26">
        <f t="shared" si="174"/>
        <v>2</v>
      </c>
      <c r="H1697" s="27" t="str">
        <f t="shared" si="175"/>
        <v>ZI899103AIO.Mode</v>
      </c>
      <c r="I1697" s="23">
        <f t="shared" si="176"/>
        <v>2</v>
      </c>
    </row>
    <row r="1698" spans="2:9" x14ac:dyDescent="0.25">
      <c r="B1698" s="25" t="s">
        <v>3834</v>
      </c>
      <c r="C1698" s="25" t="s">
        <v>5156</v>
      </c>
      <c r="D1698" s="25">
        <v>2</v>
      </c>
      <c r="E1698" s="25" t="s">
        <v>5157</v>
      </c>
      <c r="F1698" s="26" t="str">
        <f t="shared" si="164"/>
        <v>ZS899103</v>
      </c>
      <c r="G1698" s="26">
        <f t="shared" si="174"/>
        <v>2</v>
      </c>
      <c r="H1698" s="27" t="str">
        <f t="shared" si="175"/>
        <v>ZI899103IO.Mode</v>
      </c>
      <c r="I1698" s="23">
        <f t="shared" si="176"/>
        <v>2</v>
      </c>
    </row>
    <row r="1699" spans="2:9" x14ac:dyDescent="0.25">
      <c r="B1699" s="25" t="s">
        <v>3834</v>
      </c>
      <c r="C1699" s="25" t="s">
        <v>5158</v>
      </c>
      <c r="D1699" s="25">
        <v>0</v>
      </c>
      <c r="E1699" s="25" t="s">
        <v>5159</v>
      </c>
      <c r="F1699" s="26" t="str">
        <f t="shared" si="164"/>
        <v>ZSC899104</v>
      </c>
      <c r="G1699" s="26">
        <f t="shared" si="174"/>
        <v>2</v>
      </c>
      <c r="H1699" s="27" t="str">
        <f t="shared" si="175"/>
        <v>ZI899104AIO.Mode</v>
      </c>
      <c r="I1699" s="23">
        <f t="shared" si="176"/>
        <v>2</v>
      </c>
    </row>
    <row r="1700" spans="2:9" x14ac:dyDescent="0.25">
      <c r="B1700" s="25" t="s">
        <v>3834</v>
      </c>
      <c r="C1700" s="25" t="s">
        <v>5160</v>
      </c>
      <c r="D1700" s="25">
        <v>0</v>
      </c>
      <c r="E1700" s="25" t="s">
        <v>5161</v>
      </c>
      <c r="F1700" s="26" t="str">
        <f t="shared" si="164"/>
        <v>ZS899104</v>
      </c>
      <c r="G1700" s="26">
        <f t="shared" si="174"/>
        <v>2</v>
      </c>
      <c r="H1700" s="27" t="str">
        <f t="shared" si="175"/>
        <v>ZI899104IO.Mode</v>
      </c>
      <c r="I1700" s="23">
        <f t="shared" si="176"/>
        <v>2</v>
      </c>
    </row>
    <row r="1701" spans="2:9" x14ac:dyDescent="0.25">
      <c r="B1701" s="25" t="s">
        <v>3834</v>
      </c>
      <c r="C1701" s="25" t="s">
        <v>5162</v>
      </c>
      <c r="D1701" s="25">
        <v>0</v>
      </c>
      <c r="E1701" s="25" t="s">
        <v>5163</v>
      </c>
      <c r="F1701" s="26" t="str">
        <f t="shared" ref="F1701:F1742" si="177">+LEFT(E1701,FIND(".",E1701,1)-1)</f>
        <v>ZSC899105</v>
      </c>
      <c r="G1701" s="26">
        <f t="shared" si="174"/>
        <v>2</v>
      </c>
      <c r="H1701" s="27" t="str">
        <f t="shared" si="175"/>
        <v>ZI899105AIO.Mode</v>
      </c>
      <c r="I1701" s="23">
        <f t="shared" si="176"/>
        <v>2</v>
      </c>
    </row>
    <row r="1702" spans="2:9" x14ac:dyDescent="0.25">
      <c r="B1702" s="25" t="s">
        <v>3834</v>
      </c>
      <c r="C1702" s="25" t="s">
        <v>5164</v>
      </c>
      <c r="D1702" s="25">
        <v>0</v>
      </c>
      <c r="E1702" s="25" t="s">
        <v>5165</v>
      </c>
      <c r="F1702" s="26" t="str">
        <f t="shared" si="177"/>
        <v>ZS899105</v>
      </c>
      <c r="G1702" s="26">
        <f t="shared" si="174"/>
        <v>2</v>
      </c>
      <c r="H1702" s="27" t="str">
        <f t="shared" si="175"/>
        <v>ZI899105IO.Mode</v>
      </c>
      <c r="I1702" s="23">
        <f t="shared" si="176"/>
        <v>2</v>
      </c>
    </row>
    <row r="1703" spans="2:9" x14ac:dyDescent="0.25">
      <c r="B1703" s="25" t="s">
        <v>3834</v>
      </c>
      <c r="C1703" s="25" t="s">
        <v>5166</v>
      </c>
      <c r="D1703" s="25">
        <v>0</v>
      </c>
      <c r="E1703" s="25" t="s">
        <v>5167</v>
      </c>
      <c r="F1703" s="26" t="str">
        <f t="shared" si="177"/>
        <v>ZSC899106</v>
      </c>
      <c r="G1703" s="26">
        <f t="shared" si="174"/>
        <v>2</v>
      </c>
      <c r="H1703" s="27" t="str">
        <f t="shared" si="175"/>
        <v>ZI899106AIO.Mode</v>
      </c>
      <c r="I1703" s="23">
        <f t="shared" si="176"/>
        <v>2</v>
      </c>
    </row>
    <row r="1704" spans="2:9" x14ac:dyDescent="0.25">
      <c r="B1704" s="25" t="s">
        <v>3834</v>
      </c>
      <c r="C1704" s="25" t="s">
        <v>5168</v>
      </c>
      <c r="D1704" s="25">
        <v>0</v>
      </c>
      <c r="E1704" s="25" t="s">
        <v>5169</v>
      </c>
      <c r="F1704" s="26" t="str">
        <f t="shared" si="177"/>
        <v>ZS899106</v>
      </c>
      <c r="G1704" s="26">
        <f t="shared" si="174"/>
        <v>2</v>
      </c>
      <c r="H1704" s="27" t="str">
        <f t="shared" si="175"/>
        <v>ZI899106IO.Mode</v>
      </c>
      <c r="I1704" s="23">
        <f t="shared" si="176"/>
        <v>2</v>
      </c>
    </row>
    <row r="1705" spans="2:9" x14ac:dyDescent="0.25">
      <c r="B1705" s="25" t="s">
        <v>3834</v>
      </c>
      <c r="C1705" s="25" t="s">
        <v>5170</v>
      </c>
      <c r="D1705" s="25">
        <v>0</v>
      </c>
      <c r="E1705" s="25" t="s">
        <v>5171</v>
      </c>
      <c r="F1705" s="26" t="str">
        <f t="shared" si="177"/>
        <v>ZSC899108</v>
      </c>
      <c r="G1705" s="26">
        <f t="shared" si="174"/>
        <v>2</v>
      </c>
      <c r="H1705" s="27" t="str">
        <f t="shared" si="175"/>
        <v>ZI899108AIO.Mode</v>
      </c>
      <c r="I1705" s="23">
        <f t="shared" si="176"/>
        <v>2</v>
      </c>
    </row>
    <row r="1706" spans="2:9" x14ac:dyDescent="0.25">
      <c r="B1706" s="25" t="s">
        <v>3834</v>
      </c>
      <c r="C1706" s="25" t="s">
        <v>5172</v>
      </c>
      <c r="D1706" s="25">
        <v>0</v>
      </c>
      <c r="E1706" s="25" t="s">
        <v>5173</v>
      </c>
      <c r="F1706" s="26" t="str">
        <f t="shared" si="177"/>
        <v>ZS899108</v>
      </c>
      <c r="G1706" s="26">
        <f t="shared" si="174"/>
        <v>2</v>
      </c>
      <c r="H1706" s="27" t="str">
        <f t="shared" si="175"/>
        <v>ZI899108IO.Mode</v>
      </c>
      <c r="I1706" s="23">
        <f t="shared" si="176"/>
        <v>2</v>
      </c>
    </row>
    <row r="1707" spans="2:9" x14ac:dyDescent="0.25">
      <c r="B1707" s="25" t="s">
        <v>3834</v>
      </c>
      <c r="C1707" s="25" t="s">
        <v>5174</v>
      </c>
      <c r="D1707" s="25">
        <v>0</v>
      </c>
      <c r="E1707" s="25" t="s">
        <v>5175</v>
      </c>
      <c r="F1707" s="26" t="str">
        <f t="shared" si="177"/>
        <v>ZSC899109</v>
      </c>
      <c r="G1707" s="26">
        <f t="shared" si="174"/>
        <v>2</v>
      </c>
      <c r="H1707" s="27" t="str">
        <f t="shared" si="175"/>
        <v>ZI899109AIO.Mode</v>
      </c>
      <c r="I1707" s="23">
        <f t="shared" si="176"/>
        <v>2</v>
      </c>
    </row>
    <row r="1708" spans="2:9" x14ac:dyDescent="0.25">
      <c r="B1708" s="25" t="s">
        <v>3834</v>
      </c>
      <c r="C1708" s="25" t="s">
        <v>5176</v>
      </c>
      <c r="D1708" s="25">
        <v>0</v>
      </c>
      <c r="E1708" s="25" t="s">
        <v>5177</v>
      </c>
      <c r="F1708" s="26" t="str">
        <f t="shared" si="177"/>
        <v>ZS899109</v>
      </c>
      <c r="G1708" s="26">
        <f t="shared" si="174"/>
        <v>2</v>
      </c>
      <c r="H1708" s="27" t="str">
        <f t="shared" si="175"/>
        <v>ZI899109IO.Mode</v>
      </c>
      <c r="I1708" s="23">
        <f t="shared" si="176"/>
        <v>2</v>
      </c>
    </row>
    <row r="1709" spans="2:9" x14ac:dyDescent="0.25">
      <c r="B1709" s="25" t="s">
        <v>3834</v>
      </c>
      <c r="C1709" s="25" t="s">
        <v>5178</v>
      </c>
      <c r="D1709" s="25">
        <v>0</v>
      </c>
      <c r="E1709" s="25" t="s">
        <v>5179</v>
      </c>
      <c r="F1709" s="26" t="str">
        <f t="shared" si="177"/>
        <v>ZSC899110</v>
      </c>
      <c r="G1709" s="26">
        <f t="shared" si="174"/>
        <v>2</v>
      </c>
      <c r="H1709" s="27" t="str">
        <f t="shared" si="175"/>
        <v>ZI899110AIO.Mode</v>
      </c>
      <c r="I1709" s="23">
        <f t="shared" si="176"/>
        <v>2</v>
      </c>
    </row>
    <row r="1710" spans="2:9" x14ac:dyDescent="0.25">
      <c r="B1710" s="25" t="s">
        <v>3834</v>
      </c>
      <c r="C1710" s="25" t="s">
        <v>5180</v>
      </c>
      <c r="D1710" s="25">
        <v>0</v>
      </c>
      <c r="E1710" s="25" t="s">
        <v>5181</v>
      </c>
      <c r="F1710" s="26" t="str">
        <f t="shared" si="177"/>
        <v>ZS899110</v>
      </c>
      <c r="G1710" s="26">
        <f t="shared" si="174"/>
        <v>2</v>
      </c>
      <c r="H1710" s="27" t="str">
        <f>+CONCATENATE(C1710,".MA")</f>
        <v>ZI899110IO.MA</v>
      </c>
      <c r="I1710" s="23">
        <f>+G1710</f>
        <v>2</v>
      </c>
    </row>
    <row r="1711" spans="2:9" x14ac:dyDescent="0.25">
      <c r="B1711" s="25" t="s">
        <v>3834</v>
      </c>
      <c r="C1711" s="25" t="s">
        <v>5182</v>
      </c>
      <c r="D1711" s="25">
        <v>0</v>
      </c>
      <c r="E1711" s="25" t="s">
        <v>5183</v>
      </c>
      <c r="F1711" s="26" t="str">
        <f t="shared" si="177"/>
        <v>ZSC899111</v>
      </c>
      <c r="G1711" s="26">
        <f t="shared" si="174"/>
        <v>2</v>
      </c>
      <c r="H1711" s="27" t="str">
        <f>+CONCATENATE(C1711,".Mode")</f>
        <v>ZI899111AIO.Mode</v>
      </c>
      <c r="I1711" s="23">
        <f>+G1711</f>
        <v>2</v>
      </c>
    </row>
    <row r="1712" spans="2:9" x14ac:dyDescent="0.25">
      <c r="B1712" s="25" t="s">
        <v>3834</v>
      </c>
      <c r="C1712" s="25" t="s">
        <v>5184</v>
      </c>
      <c r="D1712" s="25">
        <v>0</v>
      </c>
      <c r="E1712" s="25" t="s">
        <v>5185</v>
      </c>
      <c r="F1712" s="26" t="str">
        <f t="shared" si="177"/>
        <v>ZS899111</v>
      </c>
      <c r="G1712" s="26">
        <f t="shared" si="174"/>
        <v>2</v>
      </c>
      <c r="H1712" s="27" t="str">
        <f>+CONCATENATE(C1712,".MA")</f>
        <v>ZI899111IO.MA</v>
      </c>
      <c r="I1712" s="23">
        <f>+G1712</f>
        <v>2</v>
      </c>
    </row>
    <row r="1713" spans="2:9" x14ac:dyDescent="0.25">
      <c r="B1713" s="25" t="s">
        <v>3834</v>
      </c>
      <c r="C1713" s="25" t="s">
        <v>5186</v>
      </c>
      <c r="D1713" s="25">
        <v>0</v>
      </c>
      <c r="E1713" s="25" t="s">
        <v>5187</v>
      </c>
      <c r="F1713" s="26" t="str">
        <f t="shared" si="177"/>
        <v>ZSC899112</v>
      </c>
      <c r="G1713" s="26">
        <f t="shared" si="174"/>
        <v>2</v>
      </c>
      <c r="H1713" s="27" t="str">
        <f>+CONCATENATE(C1713,".MA")</f>
        <v>ZI899112AIO.MA</v>
      </c>
      <c r="I1713" s="23">
        <f>+G1713</f>
        <v>2</v>
      </c>
    </row>
    <row r="1714" spans="2:9" x14ac:dyDescent="0.25">
      <c r="B1714" s="25" t="s">
        <v>3834</v>
      </c>
      <c r="C1714" s="25" t="s">
        <v>5188</v>
      </c>
      <c r="D1714" s="25">
        <v>0</v>
      </c>
      <c r="E1714" s="25" t="s">
        <v>5189</v>
      </c>
      <c r="F1714" s="26" t="str">
        <f t="shared" si="177"/>
        <v>ZS899112</v>
      </c>
      <c r="G1714" s="26">
        <f t="shared" si="174"/>
        <v>2</v>
      </c>
      <c r="H1714" s="27" t="str">
        <f t="shared" ref="H1714:H1715" si="178">+CONCATENATE(C1714,".Mode")</f>
        <v>ZI899112IO.Mode</v>
      </c>
      <c r="I1714" s="23">
        <f t="shared" ref="I1714:I1715" si="179">+G1714</f>
        <v>2</v>
      </c>
    </row>
    <row r="1715" spans="2:9" x14ac:dyDescent="0.25">
      <c r="B1715" s="25" t="s">
        <v>3834</v>
      </c>
      <c r="C1715" s="25" t="s">
        <v>5190</v>
      </c>
      <c r="D1715" s="25">
        <v>0</v>
      </c>
      <c r="E1715" s="25" t="s">
        <v>5191</v>
      </c>
      <c r="F1715" s="26" t="str">
        <f t="shared" si="177"/>
        <v>ZSC899113</v>
      </c>
      <c r="G1715" s="26">
        <f t="shared" si="174"/>
        <v>2</v>
      </c>
      <c r="H1715" s="27" t="str">
        <f t="shared" si="178"/>
        <v>ZI899113AIO.Mode</v>
      </c>
      <c r="I1715" s="23">
        <f t="shared" si="179"/>
        <v>2</v>
      </c>
    </row>
    <row r="1716" spans="2:9" x14ac:dyDescent="0.25">
      <c r="B1716" s="25" t="s">
        <v>3834</v>
      </c>
      <c r="C1716" s="25" t="s">
        <v>5192</v>
      </c>
      <c r="D1716" s="25">
        <v>0</v>
      </c>
      <c r="E1716" s="25" t="s">
        <v>5193</v>
      </c>
      <c r="F1716" s="26" t="str">
        <f t="shared" si="177"/>
        <v>ZS899113</v>
      </c>
      <c r="G1716" s="26">
        <f t="shared" si="174"/>
        <v>2</v>
      </c>
      <c r="H1716" s="27" t="str">
        <f>+CONCATENATE(C1716,".MA")</f>
        <v>ZI899113IO.MA</v>
      </c>
      <c r="I1716" s="23">
        <f>+G1716</f>
        <v>2</v>
      </c>
    </row>
    <row r="1717" spans="2:9" x14ac:dyDescent="0.25">
      <c r="B1717" s="25" t="s">
        <v>3834</v>
      </c>
      <c r="C1717" s="25" t="s">
        <v>5194</v>
      </c>
      <c r="D1717" s="25">
        <v>0</v>
      </c>
      <c r="E1717" s="25" t="s">
        <v>5195</v>
      </c>
      <c r="F1717" s="26" t="str">
        <f t="shared" si="177"/>
        <v>ZSC899114</v>
      </c>
      <c r="G1717" s="26">
        <f t="shared" si="174"/>
        <v>2</v>
      </c>
      <c r="H1717" s="27" t="str">
        <f t="shared" ref="H1717:H1719" si="180">+CONCATENATE(C1717,".Mode")</f>
        <v>ZI899114AIO.Mode</v>
      </c>
      <c r="I1717" s="23">
        <f t="shared" ref="I1717:I1719" si="181">+G1717</f>
        <v>2</v>
      </c>
    </row>
    <row r="1718" spans="2:9" x14ac:dyDescent="0.25">
      <c r="B1718" s="25" t="s">
        <v>3834</v>
      </c>
      <c r="C1718" s="25" t="s">
        <v>5196</v>
      </c>
      <c r="D1718" s="25">
        <v>0</v>
      </c>
      <c r="E1718" s="25" t="s">
        <v>5197</v>
      </c>
      <c r="F1718" s="26" t="str">
        <f t="shared" si="177"/>
        <v>ZS899114</v>
      </c>
      <c r="G1718" s="26">
        <f t="shared" si="174"/>
        <v>2</v>
      </c>
      <c r="H1718" s="27" t="str">
        <f t="shared" si="180"/>
        <v>ZI899114IO.Mode</v>
      </c>
      <c r="I1718" s="23">
        <f t="shared" si="181"/>
        <v>2</v>
      </c>
    </row>
    <row r="1719" spans="2:9" x14ac:dyDescent="0.25">
      <c r="B1719" s="25" t="s">
        <v>3834</v>
      </c>
      <c r="C1719" s="25" t="s">
        <v>5198</v>
      </c>
      <c r="D1719" s="25">
        <v>0</v>
      </c>
      <c r="E1719" s="25" t="s">
        <v>5199</v>
      </c>
      <c r="F1719" s="26" t="str">
        <f t="shared" si="177"/>
        <v>ZSC899116</v>
      </c>
      <c r="G1719" s="26">
        <f t="shared" si="174"/>
        <v>2</v>
      </c>
      <c r="H1719" s="27" t="str">
        <f t="shared" si="180"/>
        <v>ZI899116AIO.Mode</v>
      </c>
      <c r="I1719" s="23">
        <f t="shared" si="181"/>
        <v>2</v>
      </c>
    </row>
    <row r="1720" spans="2:9" x14ac:dyDescent="0.25">
      <c r="B1720" s="25" t="s">
        <v>3834</v>
      </c>
      <c r="C1720" s="25" t="s">
        <v>5200</v>
      </c>
      <c r="D1720" s="25">
        <v>0</v>
      </c>
      <c r="E1720" s="25" t="s">
        <v>5201</v>
      </c>
      <c r="F1720" s="26" t="str">
        <f t="shared" si="177"/>
        <v>ZS899116</v>
      </c>
      <c r="G1720" s="26">
        <f t="shared" si="174"/>
        <v>2</v>
      </c>
      <c r="H1720" s="27" t="str">
        <f>+CONCATENATE(C1720,".MA")</f>
        <v>ZI899116IO.MA</v>
      </c>
      <c r="I1720" s="23">
        <f>+G1720</f>
        <v>2</v>
      </c>
    </row>
    <row r="1721" spans="2:9" x14ac:dyDescent="0.25">
      <c r="B1721" s="25" t="s">
        <v>3834</v>
      </c>
      <c r="C1721" s="25" t="s">
        <v>5202</v>
      </c>
      <c r="D1721" s="25">
        <v>0</v>
      </c>
      <c r="E1721" s="25" t="s">
        <v>5203</v>
      </c>
      <c r="F1721" s="26" t="str">
        <f t="shared" si="177"/>
        <v>ZSC899117</v>
      </c>
      <c r="G1721" s="26">
        <f t="shared" si="174"/>
        <v>2</v>
      </c>
      <c r="H1721" s="27" t="str">
        <f t="shared" ref="H1721:H1742" si="182">+CONCATENATE(C1721,".Mode")</f>
        <v>ZI899117AIO.Mode</v>
      </c>
      <c r="I1721" s="23">
        <f t="shared" ref="I1721:I1742" si="183">+G1721</f>
        <v>2</v>
      </c>
    </row>
    <row r="1722" spans="2:9" x14ac:dyDescent="0.25">
      <c r="B1722" s="25" t="s">
        <v>3834</v>
      </c>
      <c r="C1722" s="25" t="s">
        <v>5204</v>
      </c>
      <c r="D1722" s="25">
        <v>2</v>
      </c>
      <c r="E1722" s="25" t="s">
        <v>5205</v>
      </c>
      <c r="F1722" s="26" t="str">
        <f t="shared" si="177"/>
        <v>ZS899117</v>
      </c>
      <c r="G1722" s="26">
        <f t="shared" si="174"/>
        <v>2</v>
      </c>
      <c r="H1722" s="27" t="str">
        <f t="shared" si="182"/>
        <v>ZI899117IO.Mode</v>
      </c>
      <c r="I1722" s="23">
        <f t="shared" si="183"/>
        <v>2</v>
      </c>
    </row>
    <row r="1723" spans="2:9" x14ac:dyDescent="0.25">
      <c r="B1723" s="25" t="s">
        <v>3834</v>
      </c>
      <c r="C1723" s="25" t="s">
        <v>5206</v>
      </c>
      <c r="D1723" s="25">
        <v>0</v>
      </c>
      <c r="E1723" s="25" t="s">
        <v>5207</v>
      </c>
      <c r="F1723" s="26" t="str">
        <f t="shared" si="177"/>
        <v>ZSC899118</v>
      </c>
      <c r="G1723" s="26">
        <f t="shared" si="174"/>
        <v>2</v>
      </c>
      <c r="H1723" s="27" t="str">
        <f t="shared" si="182"/>
        <v>ZI899118AIO.Mode</v>
      </c>
      <c r="I1723" s="23">
        <f t="shared" si="183"/>
        <v>2</v>
      </c>
    </row>
    <row r="1724" spans="2:9" x14ac:dyDescent="0.25">
      <c r="B1724" s="25" t="s">
        <v>3834</v>
      </c>
      <c r="C1724" s="25" t="s">
        <v>5208</v>
      </c>
      <c r="D1724" s="25">
        <v>0</v>
      </c>
      <c r="E1724" s="25" t="s">
        <v>5209</v>
      </c>
      <c r="F1724" s="26" t="str">
        <f t="shared" si="177"/>
        <v>ZS899118</v>
      </c>
      <c r="G1724" s="26">
        <f t="shared" si="174"/>
        <v>2</v>
      </c>
      <c r="H1724" s="27" t="str">
        <f t="shared" si="182"/>
        <v>ZI899118IO.Mode</v>
      </c>
      <c r="I1724" s="23">
        <f t="shared" si="183"/>
        <v>2</v>
      </c>
    </row>
    <row r="1725" spans="2:9" x14ac:dyDescent="0.25">
      <c r="B1725" s="25" t="s">
        <v>3834</v>
      </c>
      <c r="C1725" s="25" t="s">
        <v>5210</v>
      </c>
      <c r="D1725" s="25">
        <v>0</v>
      </c>
      <c r="E1725" s="25" t="s">
        <v>5211</v>
      </c>
      <c r="F1725" s="26" t="str">
        <f t="shared" si="177"/>
        <v>ZSC899119</v>
      </c>
      <c r="G1725" s="26">
        <f t="shared" si="174"/>
        <v>2</v>
      </c>
      <c r="H1725" s="27" t="str">
        <f t="shared" si="182"/>
        <v>ZI899119AIO.Mode</v>
      </c>
      <c r="I1725" s="23">
        <f t="shared" si="183"/>
        <v>2</v>
      </c>
    </row>
    <row r="1726" spans="2:9" x14ac:dyDescent="0.25">
      <c r="B1726" s="25" t="s">
        <v>3834</v>
      </c>
      <c r="C1726" s="25" t="s">
        <v>5212</v>
      </c>
      <c r="D1726" s="25">
        <v>0</v>
      </c>
      <c r="E1726" s="25" t="s">
        <v>5213</v>
      </c>
      <c r="F1726" s="26" t="str">
        <f t="shared" si="177"/>
        <v>ZS899119</v>
      </c>
      <c r="G1726" s="26">
        <f t="shared" si="174"/>
        <v>2</v>
      </c>
      <c r="H1726" s="27" t="str">
        <f t="shared" si="182"/>
        <v>ZI899119IO.Mode</v>
      </c>
      <c r="I1726" s="23">
        <f t="shared" si="183"/>
        <v>2</v>
      </c>
    </row>
    <row r="1727" spans="2:9" x14ac:dyDescent="0.25">
      <c r="B1727" s="25" t="s">
        <v>3834</v>
      </c>
      <c r="C1727" s="25" t="s">
        <v>5214</v>
      </c>
      <c r="D1727" s="25">
        <v>0</v>
      </c>
      <c r="E1727" s="25" t="s">
        <v>5215</v>
      </c>
      <c r="F1727" s="26" t="str">
        <f t="shared" si="177"/>
        <v>ZSC899120</v>
      </c>
      <c r="G1727" s="26">
        <f t="shared" si="174"/>
        <v>2</v>
      </c>
      <c r="H1727" s="27" t="str">
        <f t="shared" si="182"/>
        <v>ZI899120AIO.Mode</v>
      </c>
      <c r="I1727" s="23">
        <f t="shared" si="183"/>
        <v>2</v>
      </c>
    </row>
    <row r="1728" spans="2:9" x14ac:dyDescent="0.25">
      <c r="B1728" s="25" t="s">
        <v>3834</v>
      </c>
      <c r="C1728" s="25" t="s">
        <v>5216</v>
      </c>
      <c r="D1728" s="25">
        <v>0</v>
      </c>
      <c r="E1728" s="25" t="s">
        <v>5217</v>
      </c>
      <c r="F1728" s="26" t="str">
        <f t="shared" si="177"/>
        <v>ZS899120</v>
      </c>
      <c r="G1728" s="26">
        <f t="shared" si="174"/>
        <v>2</v>
      </c>
      <c r="H1728" s="27" t="str">
        <f t="shared" si="182"/>
        <v>ZI899120IO.Mode</v>
      </c>
      <c r="I1728" s="23">
        <f t="shared" si="183"/>
        <v>2</v>
      </c>
    </row>
    <row r="1729" spans="2:9" x14ac:dyDescent="0.25">
      <c r="B1729" s="25" t="s">
        <v>3834</v>
      </c>
      <c r="C1729" s="25" t="s">
        <v>5218</v>
      </c>
      <c r="D1729" s="25">
        <v>0</v>
      </c>
      <c r="E1729" s="25" t="s">
        <v>5219</v>
      </c>
      <c r="F1729" s="26" t="str">
        <f t="shared" si="177"/>
        <v>ZSC899121</v>
      </c>
      <c r="G1729" s="26">
        <f t="shared" si="174"/>
        <v>2</v>
      </c>
      <c r="H1729" s="27" t="str">
        <f t="shared" si="182"/>
        <v>ZI899121AIO.Mode</v>
      </c>
      <c r="I1729" s="23">
        <f t="shared" si="183"/>
        <v>2</v>
      </c>
    </row>
    <row r="1730" spans="2:9" x14ac:dyDescent="0.25">
      <c r="B1730" s="25" t="s">
        <v>3834</v>
      </c>
      <c r="C1730" s="25" t="s">
        <v>5220</v>
      </c>
      <c r="D1730" s="25">
        <v>0</v>
      </c>
      <c r="E1730" s="25" t="s">
        <v>5221</v>
      </c>
      <c r="F1730" s="26" t="str">
        <f t="shared" si="177"/>
        <v>ZS899121</v>
      </c>
      <c r="G1730" s="26">
        <f t="shared" ref="G1730:G1742" si="184">+IFERROR(IF(VLOOKUP(F1730,DI,2,FALSE)="IO",2,0),"N/A")</f>
        <v>2</v>
      </c>
      <c r="H1730" s="27" t="str">
        <f t="shared" si="182"/>
        <v>ZI899121IO.Mode</v>
      </c>
      <c r="I1730" s="23">
        <f t="shared" si="183"/>
        <v>2</v>
      </c>
    </row>
    <row r="1731" spans="2:9" x14ac:dyDescent="0.25">
      <c r="B1731" s="25" t="s">
        <v>3834</v>
      </c>
      <c r="C1731" s="25" t="s">
        <v>5222</v>
      </c>
      <c r="D1731" s="25">
        <v>0</v>
      </c>
      <c r="E1731" s="25" t="s">
        <v>5223</v>
      </c>
      <c r="F1731" s="26" t="str">
        <f t="shared" si="177"/>
        <v>ZSC899122</v>
      </c>
      <c r="G1731" s="26">
        <f t="shared" si="184"/>
        <v>2</v>
      </c>
      <c r="H1731" s="27" t="str">
        <f t="shared" si="182"/>
        <v>ZI899122AIO.Mode</v>
      </c>
      <c r="I1731" s="23">
        <f t="shared" si="183"/>
        <v>2</v>
      </c>
    </row>
    <row r="1732" spans="2:9" x14ac:dyDescent="0.25">
      <c r="B1732" s="25" t="s">
        <v>3834</v>
      </c>
      <c r="C1732" s="25" t="s">
        <v>5224</v>
      </c>
      <c r="D1732" s="25">
        <v>0</v>
      </c>
      <c r="E1732" s="25" t="s">
        <v>5225</v>
      </c>
      <c r="F1732" s="26" t="str">
        <f t="shared" si="177"/>
        <v>ZS899122</v>
      </c>
      <c r="G1732" s="26">
        <f t="shared" si="184"/>
        <v>2</v>
      </c>
      <c r="H1732" s="27" t="str">
        <f t="shared" si="182"/>
        <v>ZI899122IO.Mode</v>
      </c>
      <c r="I1732" s="23">
        <f t="shared" si="183"/>
        <v>2</v>
      </c>
    </row>
    <row r="1733" spans="2:9" x14ac:dyDescent="0.25">
      <c r="B1733" s="25" t="s">
        <v>3834</v>
      </c>
      <c r="C1733" s="25" t="s">
        <v>5226</v>
      </c>
      <c r="D1733" s="25">
        <v>0</v>
      </c>
      <c r="E1733" s="25" t="s">
        <v>5227</v>
      </c>
      <c r="F1733" s="26" t="str">
        <f t="shared" si="177"/>
        <v>ZSC899123</v>
      </c>
      <c r="G1733" s="26">
        <f t="shared" si="184"/>
        <v>2</v>
      </c>
      <c r="H1733" s="27" t="str">
        <f t="shared" si="182"/>
        <v>ZI899123AIO.Mode</v>
      </c>
      <c r="I1733" s="23">
        <f t="shared" si="183"/>
        <v>2</v>
      </c>
    </row>
    <row r="1734" spans="2:9" x14ac:dyDescent="0.25">
      <c r="B1734" s="25" t="s">
        <v>3834</v>
      </c>
      <c r="C1734" s="25" t="s">
        <v>5228</v>
      </c>
      <c r="D1734" s="25">
        <v>2</v>
      </c>
      <c r="E1734" s="25" t="s">
        <v>5229</v>
      </c>
      <c r="F1734" s="26" t="str">
        <f t="shared" si="177"/>
        <v>ZS899123</v>
      </c>
      <c r="G1734" s="26">
        <f t="shared" si="184"/>
        <v>2</v>
      </c>
      <c r="H1734" s="27" t="str">
        <f t="shared" si="182"/>
        <v>ZI899123IO.Mode</v>
      </c>
      <c r="I1734" s="23">
        <f t="shared" si="183"/>
        <v>2</v>
      </c>
    </row>
    <row r="1735" spans="2:9" x14ac:dyDescent="0.25">
      <c r="B1735" s="25" t="s">
        <v>3834</v>
      </c>
      <c r="C1735" s="25" t="s">
        <v>5230</v>
      </c>
      <c r="D1735" s="25">
        <v>0</v>
      </c>
      <c r="E1735" s="25" t="s">
        <v>5231</v>
      </c>
      <c r="F1735" s="26" t="str">
        <f t="shared" si="177"/>
        <v>ZSC899124</v>
      </c>
      <c r="G1735" s="26">
        <f t="shared" si="184"/>
        <v>2</v>
      </c>
      <c r="H1735" s="27" t="str">
        <f t="shared" si="182"/>
        <v>ZI899124AIO.Mode</v>
      </c>
      <c r="I1735" s="23">
        <f t="shared" si="183"/>
        <v>2</v>
      </c>
    </row>
    <row r="1736" spans="2:9" x14ac:dyDescent="0.25">
      <c r="B1736" s="25" t="s">
        <v>3834</v>
      </c>
      <c r="C1736" s="25" t="s">
        <v>5232</v>
      </c>
      <c r="D1736" s="25">
        <v>0</v>
      </c>
      <c r="E1736" s="25" t="s">
        <v>5233</v>
      </c>
      <c r="F1736" s="26" t="str">
        <f t="shared" si="177"/>
        <v>ZS899124</v>
      </c>
      <c r="G1736" s="26">
        <f t="shared" si="184"/>
        <v>2</v>
      </c>
      <c r="H1736" s="27" t="str">
        <f t="shared" si="182"/>
        <v>ZI899124IO.Mode</v>
      </c>
      <c r="I1736" s="23">
        <f t="shared" si="183"/>
        <v>2</v>
      </c>
    </row>
    <row r="1737" spans="2:9" x14ac:dyDescent="0.25">
      <c r="B1737" s="25" t="s">
        <v>3834</v>
      </c>
      <c r="C1737" s="25" t="s">
        <v>5234</v>
      </c>
      <c r="D1737" s="25">
        <v>2</v>
      </c>
      <c r="E1737" s="25" t="s">
        <v>5235</v>
      </c>
      <c r="F1737" s="26" t="str">
        <f t="shared" si="177"/>
        <v>ZSC899125</v>
      </c>
      <c r="G1737" s="26">
        <f t="shared" si="184"/>
        <v>2</v>
      </c>
      <c r="H1737" s="27" t="str">
        <f t="shared" si="182"/>
        <v>ZI899125AIO.Mode</v>
      </c>
      <c r="I1737" s="23">
        <f t="shared" si="183"/>
        <v>2</v>
      </c>
    </row>
    <row r="1738" spans="2:9" x14ac:dyDescent="0.25">
      <c r="B1738" s="25" t="s">
        <v>3834</v>
      </c>
      <c r="C1738" s="25" t="s">
        <v>5236</v>
      </c>
      <c r="D1738" s="25">
        <v>2</v>
      </c>
      <c r="E1738" s="25" t="s">
        <v>5237</v>
      </c>
      <c r="F1738" s="26" t="str">
        <f t="shared" si="177"/>
        <v>ZS899125</v>
      </c>
      <c r="G1738" s="26">
        <f t="shared" si="184"/>
        <v>2</v>
      </c>
      <c r="H1738" s="27" t="str">
        <f t="shared" si="182"/>
        <v>ZI899125IO.Mode</v>
      </c>
      <c r="I1738" s="23">
        <f t="shared" si="183"/>
        <v>2</v>
      </c>
    </row>
    <row r="1739" spans="2:9" x14ac:dyDescent="0.25">
      <c r="B1739" s="25" t="s">
        <v>3834</v>
      </c>
      <c r="C1739" s="25" t="s">
        <v>5238</v>
      </c>
      <c r="D1739" s="25">
        <v>0</v>
      </c>
      <c r="E1739" s="25" t="s">
        <v>5239</v>
      </c>
      <c r="F1739" s="26" t="str">
        <f t="shared" si="177"/>
        <v>ZSC899126</v>
      </c>
      <c r="G1739" s="26">
        <f t="shared" si="184"/>
        <v>2</v>
      </c>
      <c r="H1739" s="27" t="str">
        <f t="shared" si="182"/>
        <v>ZI899126AIO.Mode</v>
      </c>
      <c r="I1739" s="23">
        <f t="shared" si="183"/>
        <v>2</v>
      </c>
    </row>
    <row r="1740" spans="2:9" x14ac:dyDescent="0.25">
      <c r="B1740" s="25" t="s">
        <v>3834</v>
      </c>
      <c r="C1740" s="25" t="s">
        <v>5240</v>
      </c>
      <c r="D1740" s="25">
        <v>2</v>
      </c>
      <c r="E1740" s="25" t="s">
        <v>5241</v>
      </c>
      <c r="F1740" s="26" t="str">
        <f t="shared" si="177"/>
        <v>ZS899126</v>
      </c>
      <c r="G1740" s="26">
        <f t="shared" si="184"/>
        <v>2</v>
      </c>
      <c r="H1740" s="27" t="str">
        <f t="shared" si="182"/>
        <v>ZI899126IO.Mode</v>
      </c>
      <c r="I1740" s="23">
        <f t="shared" si="183"/>
        <v>2</v>
      </c>
    </row>
    <row r="1741" spans="2:9" x14ac:dyDescent="0.25">
      <c r="B1741" s="25" t="s">
        <v>3834</v>
      </c>
      <c r="C1741" s="25" t="s">
        <v>5242</v>
      </c>
      <c r="D1741" s="25">
        <v>0</v>
      </c>
      <c r="E1741" s="25" t="s">
        <v>4922</v>
      </c>
      <c r="F1741" s="26" t="str">
        <f t="shared" si="177"/>
        <v>ZSC899127</v>
      </c>
      <c r="G1741" s="26">
        <f t="shared" si="184"/>
        <v>2</v>
      </c>
      <c r="H1741" s="27" t="str">
        <f t="shared" si="182"/>
        <v>ZI899127AIO.Mode</v>
      </c>
      <c r="I1741" s="23">
        <f t="shared" si="183"/>
        <v>2</v>
      </c>
    </row>
    <row r="1742" spans="2:9" x14ac:dyDescent="0.25">
      <c r="B1742" s="25" t="s">
        <v>3834</v>
      </c>
      <c r="C1742" s="25" t="s">
        <v>5243</v>
      </c>
      <c r="D1742" s="25">
        <v>0</v>
      </c>
      <c r="E1742" s="25" t="s">
        <v>5244</v>
      </c>
      <c r="F1742" s="26" t="str">
        <f t="shared" si="177"/>
        <v>ZS899127</v>
      </c>
      <c r="G1742" s="26">
        <f t="shared" si="184"/>
        <v>2</v>
      </c>
      <c r="H1742" s="27" t="str">
        <f t="shared" si="182"/>
        <v>ZI899127IO.Mode</v>
      </c>
      <c r="I1742" s="23">
        <f t="shared" si="183"/>
        <v>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dm:cachedDataManifest xmlns:cdm="http://schemas.microsoft.com/2004/VisualStudio/Tools/Applications/CachedDataManifest.xsd" cdm:revision="1"/>
</file>

<file path=customXml/itemProps1.xml><?xml version="1.0" encoding="utf-8"?>
<ds:datastoreItem xmlns:ds="http://schemas.openxmlformats.org/officeDocument/2006/customXml" ds:itemID="{F2BE52EA-3E20-4486-937E-48D4B270A52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GetSend_380</vt:lpstr>
      <vt:lpstr>Dummy_Transmitters</vt:lpstr>
      <vt:lpstr>IO_Block_to_be_Inactive</vt:lpstr>
      <vt:lpstr>DI</vt:lpstr>
      <vt:lpstr>DI_Source</vt:lpstr>
      <vt:lpstr>FirstColumn</vt:lpstr>
      <vt:lpstr>FirstLine</vt:lpstr>
      <vt:lpstr>IpAddress</vt:lpstr>
      <vt:lpstr>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Frédéric POINDRON</dc:creator>
  <cp:lastModifiedBy>Claudi Martí</cp:lastModifiedBy>
  <dcterms:created xsi:type="dcterms:W3CDTF">2010-03-15T14:59:12Z</dcterms:created>
  <dcterms:modified xsi:type="dcterms:W3CDTF">2016-01-13T10:49:15Z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IndissPlus GetSend Excel.vsto|bbfdf003-de21-4a0f-9603-ae90d914d727</vt:lpwstr>
  </property>
  <property fmtid="{D5CDD505-2E9C-101B-9397-08002B2CF9AE}" pid="3" name="_AssemblyName">
    <vt:lpwstr>4E3C66D5-58D4-491E-A7D4-64AF99AF6E8B</vt:lpwstr>
  </property>
</Properties>
</file>